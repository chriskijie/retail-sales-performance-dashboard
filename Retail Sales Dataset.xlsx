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C:\Users\pc\Desktop\Microsoft_Excel IT 2026\DA_6 Project_1\INS Students Project\"/>
    </mc:Choice>
  </mc:AlternateContent>
  <xr:revisionPtr revIDLastSave="0" documentId="13_ncr:1_{9038CB9D-50CE-4623-B3EE-F56357AE44ED}" xr6:coauthVersionLast="47" xr6:coauthVersionMax="47" xr10:uidLastSave="{00000000-0000-0000-0000-000000000000}"/>
  <bookViews>
    <workbookView xWindow="-108" yWindow="-108" windowWidth="23256" windowHeight="12456" xr2:uid="{00000000-000D-0000-FFFF-FFFF00000000}"/>
  </bookViews>
  <sheets>
    <sheet name="MessySalesData" sheetId="1" r:id="rId1"/>
    <sheet name="Cleaned Data" sheetId="2" r:id="rId2"/>
    <sheet name="Analysis" sheetId="4" r:id="rId3"/>
    <sheet name="Dashboard" sheetId="5" r:id="rId4"/>
    <sheet name="Data Validation" sheetId="3" state="veryHidden" r:id="rId5"/>
  </sheets>
  <definedNames>
    <definedName name="ExternalData_1" localSheetId="1" hidden="1">'Cleaned Data'!$A$1:$R$1534</definedName>
    <definedName name="Slicer_Delivery_Score">#N/A</definedName>
    <definedName name="Slicer_Gender">#N/A</definedName>
    <definedName name="Slicer_Months__Order_Date">#N/A</definedName>
    <definedName name="Slicer_Payment_Method">#N/A</definedName>
    <definedName name="Slicer_Product_Categor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 l="1"/>
  <c r="I3" i="4"/>
  <c r="A3" i="4"/>
  <c r="G3" i="4"/>
  <c r="C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D14B92-BCD5-4329-A525-F893BE84FB12}" keepAlive="1" name="Query - Retail Sales" description="Connection to the 'Retail Sales' query in the workbook." type="5" refreshedVersion="8" background="1" saveData="1">
    <dbPr connection="Provider=Microsoft.Mashup.OleDb.1;Data Source=$Workbook$;Location=&quot;Retail Sales&quot;;Extended Properties=&quot;&quot;" command="SELECT * FROM [Retail Sales]"/>
  </connection>
</connections>
</file>

<file path=xl/sharedStrings.xml><?xml version="1.0" encoding="utf-8"?>
<sst xmlns="http://schemas.openxmlformats.org/spreadsheetml/2006/main" count="37428" uniqueCount="3322">
  <si>
    <t>Order ID</t>
  </si>
  <si>
    <t>Order Date</t>
  </si>
  <si>
    <t>Customer Name</t>
  </si>
  <si>
    <t>Gender</t>
  </si>
  <si>
    <t>Age</t>
  </si>
  <si>
    <t>State</t>
  </si>
  <si>
    <t>City</t>
  </si>
  <si>
    <t>Product Category</t>
  </si>
  <si>
    <t>Product Name</t>
  </si>
  <si>
    <t>Sales Representative</t>
  </si>
  <si>
    <t>Quantity</t>
  </si>
  <si>
    <t>Unit Price</t>
  </si>
  <si>
    <t>Discount (%)</t>
  </si>
  <si>
    <t>Sales Revenue</t>
  </si>
  <si>
    <t>Payment Method</t>
  </si>
  <si>
    <t>Customer Rating</t>
  </si>
  <si>
    <t>Delivery Status</t>
  </si>
  <si>
    <t>ORD10000</t>
  </si>
  <si>
    <t>10/11/2025</t>
  </si>
  <si>
    <t>John</t>
  </si>
  <si>
    <t>Male</t>
  </si>
  <si>
    <t>Enugu</t>
  </si>
  <si>
    <t>Fashion</t>
  </si>
  <si>
    <t>Shoes</t>
  </si>
  <si>
    <t>James</t>
  </si>
  <si>
    <t>Card</t>
  </si>
  <si>
    <t>In Transit</t>
  </si>
  <si>
    <t>ORD10001</t>
  </si>
  <si>
    <t>05-31-2026</t>
  </si>
  <si>
    <t>Ruth</t>
  </si>
  <si>
    <t>Abuja</t>
  </si>
  <si>
    <t>Garki</t>
  </si>
  <si>
    <t>Electronics</t>
  </si>
  <si>
    <t>Laptop</t>
  </si>
  <si>
    <t>Kelvin</t>
  </si>
  <si>
    <t xml:space="preserve">cash </t>
  </si>
  <si>
    <t>ORD10002</t>
  </si>
  <si>
    <t>09-28-2025</t>
  </si>
  <si>
    <t>Peter</t>
  </si>
  <si>
    <t>Female</t>
  </si>
  <si>
    <t>Bank Transfer</t>
  </si>
  <si>
    <t>Delivered</t>
  </si>
  <si>
    <t>ORD10003</t>
  </si>
  <si>
    <t>02-22-2025</t>
  </si>
  <si>
    <t>Oyo</t>
  </si>
  <si>
    <t>Ibadan</t>
  </si>
  <si>
    <t>Groceries</t>
  </si>
  <si>
    <t>Rice</t>
  </si>
  <si>
    <t>bank transfer</t>
  </si>
  <si>
    <t>ORD10004</t>
  </si>
  <si>
    <t>24/02/2025</t>
  </si>
  <si>
    <t>Lagos</t>
  </si>
  <si>
    <t>Ikeja</t>
  </si>
  <si>
    <t>Phone</t>
  </si>
  <si>
    <t>ORD10005</t>
  </si>
  <si>
    <t>26/04/2026</t>
  </si>
  <si>
    <t>ABUJA</t>
  </si>
  <si>
    <t>Wuse</t>
  </si>
  <si>
    <t>ORD10006</t>
  </si>
  <si>
    <t>21/06/2026</t>
  </si>
  <si>
    <t>Emeka</t>
  </si>
  <si>
    <t>Kano</t>
  </si>
  <si>
    <t>Furniture</t>
  </si>
  <si>
    <t>Chair</t>
  </si>
  <si>
    <t>Faith</t>
  </si>
  <si>
    <t>Pending</t>
  </si>
  <si>
    <t>ORD10007</t>
  </si>
  <si>
    <t>30/10/2025</t>
  </si>
  <si>
    <t>David</t>
  </si>
  <si>
    <t>ORD10008</t>
  </si>
  <si>
    <t>12-05-2025</t>
  </si>
  <si>
    <t>Mary</t>
  </si>
  <si>
    <t>Sandra</t>
  </si>
  <si>
    <t>Cash</t>
  </si>
  <si>
    <t>Cancelled</t>
  </si>
  <si>
    <t>ORD10009</t>
  </si>
  <si>
    <t>01-13-2025</t>
  </si>
  <si>
    <t>Rivers</t>
  </si>
  <si>
    <t>Obio</t>
  </si>
  <si>
    <t>Beans</t>
  </si>
  <si>
    <t>Musa</t>
  </si>
  <si>
    <t>ORD10010</t>
  </si>
  <si>
    <t>23/03/2025</t>
  </si>
  <si>
    <t>male</t>
  </si>
  <si>
    <t>Shirt</t>
  </si>
  <si>
    <t>Transfer</t>
  </si>
  <si>
    <t>ORD10011</t>
  </si>
  <si>
    <t>14/06/2026</t>
  </si>
  <si>
    <t>Chioma</t>
  </si>
  <si>
    <t>Ada</t>
  </si>
  <si>
    <t>ORD10012</t>
  </si>
  <si>
    <t>02/05/2026</t>
  </si>
  <si>
    <t>ORD10013</t>
  </si>
  <si>
    <t>03-10-2026</t>
  </si>
  <si>
    <t>Aisha</t>
  </si>
  <si>
    <t>Port Harcourt</t>
  </si>
  <si>
    <t>ORD10014</t>
  </si>
  <si>
    <t>12-21-2025</t>
  </si>
  <si>
    <t>ORD10015</t>
  </si>
  <si>
    <t>23/06/2026</t>
  </si>
  <si>
    <t>Ogbomosho</t>
  </si>
  <si>
    <t>ORD10016</t>
  </si>
  <si>
    <t>10/04/2026</t>
  </si>
  <si>
    <t>FEMALE</t>
  </si>
  <si>
    <t>Lekki</t>
  </si>
  <si>
    <t>CARD</t>
  </si>
  <si>
    <t>ORD10017</t>
  </si>
  <si>
    <t>LAGOS</t>
  </si>
  <si>
    <t>ORD10018</t>
  </si>
  <si>
    <t>2025-09-22</t>
  </si>
  <si>
    <t>electronics</t>
  </si>
  <si>
    <t>ORD10019</t>
  </si>
  <si>
    <t>09/01/2026</t>
  </si>
  <si>
    <t>Daniel</t>
  </si>
  <si>
    <t>ORD10020</t>
  </si>
  <si>
    <t>06-08-2025</t>
  </si>
  <si>
    <t>fashion</t>
  </si>
  <si>
    <t>ORD10021</t>
  </si>
  <si>
    <t>18/07/2025</t>
  </si>
  <si>
    <t>ORD10022</t>
  </si>
  <si>
    <t>2025-11-30</t>
  </si>
  <si>
    <t>Grace</t>
  </si>
  <si>
    <t>ORD10023</t>
  </si>
  <si>
    <t>2025-04-10</t>
  </si>
  <si>
    <t>ORD10024</t>
  </si>
  <si>
    <t>20/10/2025</t>
  </si>
  <si>
    <t>ORD10025</t>
  </si>
  <si>
    <t>26/06/2025</t>
  </si>
  <si>
    <t>ORD10026</t>
  </si>
  <si>
    <t>23/02/2025</t>
  </si>
  <si>
    <t>ORD10027</t>
  </si>
  <si>
    <t>05-05-2026</t>
  </si>
  <si>
    <t>ORD10028</t>
  </si>
  <si>
    <t>2026-03-28</t>
  </si>
  <si>
    <t>ORD10029</t>
  </si>
  <si>
    <t>17/11/2025</t>
  </si>
  <si>
    <t>ORD10030</t>
  </si>
  <si>
    <t>2025-04-24</t>
  </si>
  <si>
    <t>ORD10031</t>
  </si>
  <si>
    <t>32/13/2025</t>
  </si>
  <si>
    <t>Desk</t>
  </si>
  <si>
    <t>ORD10032</t>
  </si>
  <si>
    <t>2026-04-12</t>
  </si>
  <si>
    <t>ORD10033</t>
  </si>
  <si>
    <t>02/04/2026</t>
  </si>
  <si>
    <t>ORD10034</t>
  </si>
  <si>
    <t>11-20-2025</t>
  </si>
  <si>
    <t>ORD10035</t>
  </si>
  <si>
    <t>20/06/2025</t>
  </si>
  <si>
    <t>ORD10036</t>
  </si>
  <si>
    <t>2025-09-18</t>
  </si>
  <si>
    <t>ORD10037</t>
  </si>
  <si>
    <t>14/02/2026</t>
  </si>
  <si>
    <t>ORD10038</t>
  </si>
  <si>
    <t>20/11/2025</t>
  </si>
  <si>
    <t>₦88,065</t>
  </si>
  <si>
    <t>ORD10039</t>
  </si>
  <si>
    <t>09/10/2025</t>
  </si>
  <si>
    <t>ORD10040</t>
  </si>
  <si>
    <t>01-08-2026</t>
  </si>
  <si>
    <t>ORD10041</t>
  </si>
  <si>
    <t>15/01/2025</t>
  </si>
  <si>
    <t>NULL</t>
  </si>
  <si>
    <t>ORD10042</t>
  </si>
  <si>
    <t>11/08/2025</t>
  </si>
  <si>
    <t>1</t>
  </si>
  <si>
    <t>ORD10043</t>
  </si>
  <si>
    <t>22/01/2026</t>
  </si>
  <si>
    <t>ORD10044</t>
  </si>
  <si>
    <t>ORD10045</t>
  </si>
  <si>
    <t>2025-06-08</t>
  </si>
  <si>
    <t>ORD10046</t>
  </si>
  <si>
    <t>2026-05-15</t>
  </si>
  <si>
    <t>2</t>
  </si>
  <si>
    <t>ORD10047</t>
  </si>
  <si>
    <t>07-14-2025</t>
  </si>
  <si>
    <t>ORD10048</t>
  </si>
  <si>
    <t>08-29-2025</t>
  </si>
  <si>
    <t>ORD10049</t>
  </si>
  <si>
    <t>2025-01-29</t>
  </si>
  <si>
    <t>ORD10050</t>
  </si>
  <si>
    <t>2025-01-12</t>
  </si>
  <si>
    <t>ORD10051</t>
  </si>
  <si>
    <t>10/06/2025</t>
  </si>
  <si>
    <t>5</t>
  </si>
  <si>
    <t>ORD10052</t>
  </si>
  <si>
    <t>12/03/2025</t>
  </si>
  <si>
    <t>₦140,500</t>
  </si>
  <si>
    <t>ORD10053</t>
  </si>
  <si>
    <t>07-13-2025</t>
  </si>
  <si>
    <t>ORD10054</t>
  </si>
  <si>
    <t>15/03/2025</t>
  </si>
  <si>
    <t>ORD10055</t>
  </si>
  <si>
    <t>2026-05-03</t>
  </si>
  <si>
    <t>ORD10056</t>
  </si>
  <si>
    <t>11-14-2025</t>
  </si>
  <si>
    <t>ORD10057</t>
  </si>
  <si>
    <t>2025-11-02</t>
  </si>
  <si>
    <t>ORD10058</t>
  </si>
  <si>
    <t>2025-10-28</t>
  </si>
  <si>
    <t>ORD10059</t>
  </si>
  <si>
    <t>02-15-2026</t>
  </si>
  <si>
    <t>lagos</t>
  </si>
  <si>
    <t>ORD10060</t>
  </si>
  <si>
    <t>2026-03-26</t>
  </si>
  <si>
    <t>ORD10061</t>
  </si>
  <si>
    <t>03-16-2025</t>
  </si>
  <si>
    <t>ORD10062</t>
  </si>
  <si>
    <t>01-14-2026</t>
  </si>
  <si>
    <t>ORD10063</t>
  </si>
  <si>
    <t>25/08/2025</t>
  </si>
  <si>
    <t>oyo</t>
  </si>
  <si>
    <t>ORD10064</t>
  </si>
  <si>
    <t>06-17-2025</t>
  </si>
  <si>
    <t>ORD10065</t>
  </si>
  <si>
    <t>14/05/2026</t>
  </si>
  <si>
    <t>ORD10066</t>
  </si>
  <si>
    <t>2025-04-19</t>
  </si>
  <si>
    <t>ORD10067</t>
  </si>
  <si>
    <t>2025-02-23</t>
  </si>
  <si>
    <t>enugu</t>
  </si>
  <si>
    <t>ORD10068</t>
  </si>
  <si>
    <t>2025-11-13</t>
  </si>
  <si>
    <t>ORD10069</t>
  </si>
  <si>
    <t>2025-05-06</t>
  </si>
  <si>
    <t>ORD10070</t>
  </si>
  <si>
    <t>2025-05-18</t>
  </si>
  <si>
    <t>ORD10071</t>
  </si>
  <si>
    <t>ORD10072</t>
  </si>
  <si>
    <t>ORD10073</t>
  </si>
  <si>
    <t>09/05/2026</t>
  </si>
  <si>
    <t>ORD10074</t>
  </si>
  <si>
    <t>03-26-2025</t>
  </si>
  <si>
    <t>ORD10075</t>
  </si>
  <si>
    <t>27/02/2025</t>
  </si>
  <si>
    <t>ORD10076</t>
  </si>
  <si>
    <t>2026-01-01</t>
  </si>
  <si>
    <t>ORD10077</t>
  </si>
  <si>
    <t>31/08/2025</t>
  </si>
  <si>
    <t>ORD10078</t>
  </si>
  <si>
    <t>02/03/2025</t>
  </si>
  <si>
    <t>ORD10079</t>
  </si>
  <si>
    <t>ORD10080</t>
  </si>
  <si>
    <t>ORD10081</t>
  </si>
  <si>
    <t>08/12/2025</t>
  </si>
  <si>
    <t>ORD10082</t>
  </si>
  <si>
    <t>07-30-2025</t>
  </si>
  <si>
    <t>ORD10083</t>
  </si>
  <si>
    <t>02-15-2025</t>
  </si>
  <si>
    <t>ORD10084</t>
  </si>
  <si>
    <t>2025-12-23</t>
  </si>
  <si>
    <t>ORD10085</t>
  </si>
  <si>
    <t>02-28-2026</t>
  </si>
  <si>
    <t>ORD10086</t>
  </si>
  <si>
    <t>01-25-2026</t>
  </si>
  <si>
    <t>ORD10087</t>
  </si>
  <si>
    <t>06-23-2026</t>
  </si>
  <si>
    <t>ORD10088</t>
  </si>
  <si>
    <t>12-13-2025</t>
  </si>
  <si>
    <t>ORD10089</t>
  </si>
  <si>
    <t>10-11-2025</t>
  </si>
  <si>
    <t>ORD10090</t>
  </si>
  <si>
    <t>28/07/2025</t>
  </si>
  <si>
    <t>ORD10091</t>
  </si>
  <si>
    <t>2025-01-28</t>
  </si>
  <si>
    <t>₦59,760</t>
  </si>
  <si>
    <t>ORD10092</t>
  </si>
  <si>
    <t>2026-02-24</t>
  </si>
  <si>
    <t>ORD10093</t>
  </si>
  <si>
    <t>2026-05-24</t>
  </si>
  <si>
    <t>ORD10094</t>
  </si>
  <si>
    <t>2026-04-06</t>
  </si>
  <si>
    <t>ORD10095</t>
  </si>
  <si>
    <t>ORD10096</t>
  </si>
  <si>
    <t>2026-06-04</t>
  </si>
  <si>
    <t>ORD10097</t>
  </si>
  <si>
    <t>03-12-2025</t>
  </si>
  <si>
    <t xml:space="preserve"> Oyo </t>
  </si>
  <si>
    <t>9</t>
  </si>
  <si>
    <t>ORD10098</t>
  </si>
  <si>
    <t>05/12/2025</t>
  </si>
  <si>
    <t>₦109,440</t>
  </si>
  <si>
    <t>ORD10099</t>
  </si>
  <si>
    <t>07-22-2025</t>
  </si>
  <si>
    <t>ORD10100</t>
  </si>
  <si>
    <t>09/09/2025</t>
  </si>
  <si>
    <t>ORD10101</t>
  </si>
  <si>
    <t>2025-06-09</t>
  </si>
  <si>
    <t>ORD10102</t>
  </si>
  <si>
    <t>2025-08-09</t>
  </si>
  <si>
    <t>ORD10103</t>
  </si>
  <si>
    <t>02-09-2025</t>
  </si>
  <si>
    <t>ORD10104</t>
  </si>
  <si>
    <t>11-05-2025</t>
  </si>
  <si>
    <t>ORD10105</t>
  </si>
  <si>
    <t>2026-01-09</t>
  </si>
  <si>
    <t>ORD10106</t>
  </si>
  <si>
    <t>05/03/2026</t>
  </si>
  <si>
    <t>ORD10107</t>
  </si>
  <si>
    <t>2025-05-22</t>
  </si>
  <si>
    <t>ORD10108</t>
  </si>
  <si>
    <t>2026-05-01</t>
  </si>
  <si>
    <t>ORD10109</t>
  </si>
  <si>
    <t>09-06-2025</t>
  </si>
  <si>
    <t>ORD10110</t>
  </si>
  <si>
    <t>ORD10111</t>
  </si>
  <si>
    <t>29/06/2025</t>
  </si>
  <si>
    <t>ORD10112</t>
  </si>
  <si>
    <t>01/06/2026</t>
  </si>
  <si>
    <t>ORD10113</t>
  </si>
  <si>
    <t>ORD10114</t>
  </si>
  <si>
    <t>20/02/2026</t>
  </si>
  <si>
    <t>ORD10115</t>
  </si>
  <si>
    <t>28/03/2026</t>
  </si>
  <si>
    <t>ORD10116</t>
  </si>
  <si>
    <t>22/11/2025</t>
  </si>
  <si>
    <t>ORD10117</t>
  </si>
  <si>
    <t>02-22-2026</t>
  </si>
  <si>
    <t>ORD10118</t>
  </si>
  <si>
    <t>12-08-2025</t>
  </si>
  <si>
    <t>ORD10119</t>
  </si>
  <si>
    <t>17/07/2025</t>
  </si>
  <si>
    <t>ORD10120</t>
  </si>
  <si>
    <t>24/08/2025</t>
  </si>
  <si>
    <t>ORD10121</t>
  </si>
  <si>
    <t>2026-01-14</t>
  </si>
  <si>
    <t>ORD10122</t>
  </si>
  <si>
    <t>2025-07-24</t>
  </si>
  <si>
    <t>ORD10123</t>
  </si>
  <si>
    <t>18/08/2025</t>
  </si>
  <si>
    <t>ORD10124</t>
  </si>
  <si>
    <t>2025-12-15</t>
  </si>
  <si>
    <t>₦70,380</t>
  </si>
  <si>
    <t>ORD10125</t>
  </si>
  <si>
    <t>2025-01-22</t>
  </si>
  <si>
    <t>ORD10126</t>
  </si>
  <si>
    <t>2026-04-08</t>
  </si>
  <si>
    <t>ORD10127</t>
  </si>
  <si>
    <t>06-13-2026</t>
  </si>
  <si>
    <t>ORD10128</t>
  </si>
  <si>
    <t>11-16-2025</t>
  </si>
  <si>
    <t>₦330,480</t>
  </si>
  <si>
    <t>ORD10129</t>
  </si>
  <si>
    <t>13/09/2025</t>
  </si>
  <si>
    <t>ORD10130</t>
  </si>
  <si>
    <t>06-03-2025</t>
  </si>
  <si>
    <t>ORD10131</t>
  </si>
  <si>
    <t>04-12-2026</t>
  </si>
  <si>
    <t>ORD10132</t>
  </si>
  <si>
    <t>08-15-2025</t>
  </si>
  <si>
    <t>ORD10133</t>
  </si>
  <si>
    <t>17/04/2025</t>
  </si>
  <si>
    <t>ORD10134</t>
  </si>
  <si>
    <t>07-24-2025</t>
  </si>
  <si>
    <t>ORD10135</t>
  </si>
  <si>
    <t>04-17-2026</t>
  </si>
  <si>
    <t>ORD10136</t>
  </si>
  <si>
    <t>ORD10137</t>
  </si>
  <si>
    <t>04-25-2026</t>
  </si>
  <si>
    <t>ORD10138</t>
  </si>
  <si>
    <t>04-02-2026</t>
  </si>
  <si>
    <t>ORD10139</t>
  </si>
  <si>
    <t>02/09/2025</t>
  </si>
  <si>
    <t>ORD10140</t>
  </si>
  <si>
    <t>13/05/2025</t>
  </si>
  <si>
    <t>ORD10141</t>
  </si>
  <si>
    <t>2025-12-14</t>
  </si>
  <si>
    <t>ORD10142</t>
  </si>
  <si>
    <t>13/01/2025</t>
  </si>
  <si>
    <t>ORD10143</t>
  </si>
  <si>
    <t>04-14-2025</t>
  </si>
  <si>
    <t>ORD10144</t>
  </si>
  <si>
    <t>2025-06-16</t>
  </si>
  <si>
    <t>ORD10145</t>
  </si>
  <si>
    <t>2026-01-27</t>
  </si>
  <si>
    <t>ORD10146</t>
  </si>
  <si>
    <t>ORD10147</t>
  </si>
  <si>
    <t>2025-07-21</t>
  </si>
  <si>
    <t>ORD10148</t>
  </si>
  <si>
    <t>07-17-2025</t>
  </si>
  <si>
    <t>ORD10149</t>
  </si>
  <si>
    <t>26/10/2025</t>
  </si>
  <si>
    <t>ORD10150</t>
  </si>
  <si>
    <t>27/03/2026</t>
  </si>
  <si>
    <t>ORD10151</t>
  </si>
  <si>
    <t>13/04/2025</t>
  </si>
  <si>
    <t>ORD10152</t>
  </si>
  <si>
    <t>11-19-2025</t>
  </si>
  <si>
    <t>ORD10153</t>
  </si>
  <si>
    <t>15/02/2026</t>
  </si>
  <si>
    <t>KANO</t>
  </si>
  <si>
    <t>ORD10154</t>
  </si>
  <si>
    <t>2025-01-05</t>
  </si>
  <si>
    <t>ORD10155</t>
  </si>
  <si>
    <t>2025-03-19</t>
  </si>
  <si>
    <t>₦160,740</t>
  </si>
  <si>
    <t>ORD10156</t>
  </si>
  <si>
    <t>2025-11-07</t>
  </si>
  <si>
    <t>ORD10157</t>
  </si>
  <si>
    <t>09-27-2025</t>
  </si>
  <si>
    <t>ORD10158</t>
  </si>
  <si>
    <t>ORD10159</t>
  </si>
  <si>
    <t>ORD10160</t>
  </si>
  <si>
    <t>03-09-2026</t>
  </si>
  <si>
    <t>ORD10161</t>
  </si>
  <si>
    <t>03-09-2025</t>
  </si>
  <si>
    <t>ORD10162</t>
  </si>
  <si>
    <t>06-16-2025</t>
  </si>
  <si>
    <t>ORD10163</t>
  </si>
  <si>
    <t>29/09/2025</t>
  </si>
  <si>
    <t>ORD10164</t>
  </si>
  <si>
    <t>10-20-2025</t>
  </si>
  <si>
    <t>ORD10165</t>
  </si>
  <si>
    <t>04-12-2025</t>
  </si>
  <si>
    <t>ORD10166</t>
  </si>
  <si>
    <t>08-05-2025</t>
  </si>
  <si>
    <t>ORD10167</t>
  </si>
  <si>
    <t>2025-04-16</t>
  </si>
  <si>
    <t>ORD10168</t>
  </si>
  <si>
    <t>ORD10169</t>
  </si>
  <si>
    <t>2025-10-27</t>
  </si>
  <si>
    <t>ORD10170</t>
  </si>
  <si>
    <t>2026-01-31</t>
  </si>
  <si>
    <t>ORD10171</t>
  </si>
  <si>
    <t>07-21-2025</t>
  </si>
  <si>
    <t>ORD10172</t>
  </si>
  <si>
    <t>19/08/2025</t>
  </si>
  <si>
    <t xml:space="preserve"> Rivers </t>
  </si>
  <si>
    <t>ORD10173</t>
  </si>
  <si>
    <t>2026-03-29</t>
  </si>
  <si>
    <t>ORD10174</t>
  </si>
  <si>
    <t>groceries</t>
  </si>
  <si>
    <t>ORD10175</t>
  </si>
  <si>
    <t>2026-06-08</t>
  </si>
  <si>
    <t>ORD10176</t>
  </si>
  <si>
    <t>2025-11-24</t>
  </si>
  <si>
    <t>ORD10177</t>
  </si>
  <si>
    <t>2026-02-02</t>
  </si>
  <si>
    <t>ORD10178</t>
  </si>
  <si>
    <t>29/01/2025</t>
  </si>
  <si>
    <t>kano</t>
  </si>
  <si>
    <t>ORD10179</t>
  </si>
  <si>
    <t>22/04/2025</t>
  </si>
  <si>
    <t>10</t>
  </si>
  <si>
    <t>ORD10180</t>
  </si>
  <si>
    <t>ORD10181</t>
  </si>
  <si>
    <t>2025-04-29</t>
  </si>
  <si>
    <t>ORD10182</t>
  </si>
  <si>
    <t>08/02/2025</t>
  </si>
  <si>
    <t>ORD10183</t>
  </si>
  <si>
    <t>2026-01-11</t>
  </si>
  <si>
    <t>ORD10184</t>
  </si>
  <si>
    <t>05/03/2025</t>
  </si>
  <si>
    <t>ORD10185</t>
  </si>
  <si>
    <t>05-28-2025</t>
  </si>
  <si>
    <t>furniture</t>
  </si>
  <si>
    <t>ORD10186</t>
  </si>
  <si>
    <t>09/03/2025</t>
  </si>
  <si>
    <t>6</t>
  </si>
  <si>
    <t>ORD10187</t>
  </si>
  <si>
    <t>02-24-2026</t>
  </si>
  <si>
    <t>ENUGU</t>
  </si>
  <si>
    <t>ORD10188</t>
  </si>
  <si>
    <t>03-11-2026</t>
  </si>
  <si>
    <t>ORD10189</t>
  </si>
  <si>
    <t>05-02-2025</t>
  </si>
  <si>
    <t>ORD10190</t>
  </si>
  <si>
    <t>2026-03-10</t>
  </si>
  <si>
    <t>ORD10191</t>
  </si>
  <si>
    <t>17/04/2026</t>
  </si>
  <si>
    <t>ORD10192</t>
  </si>
  <si>
    <t>06/09/2025</t>
  </si>
  <si>
    <t>₦93,075</t>
  </si>
  <si>
    <t>ORD10193</t>
  </si>
  <si>
    <t>2026-06-02</t>
  </si>
  <si>
    <t>ORD10194</t>
  </si>
  <si>
    <t>22/05/2025</t>
  </si>
  <si>
    <t>ORD10195</t>
  </si>
  <si>
    <t>09/12/2025</t>
  </si>
  <si>
    <t>ORD10196</t>
  </si>
  <si>
    <t>14/03/2025</t>
  </si>
  <si>
    <t>ORD10197</t>
  </si>
  <si>
    <t>15/06/2026</t>
  </si>
  <si>
    <t>ORD10198</t>
  </si>
  <si>
    <t>11-06-2025</t>
  </si>
  <si>
    <t>ORD10199</t>
  </si>
  <si>
    <t>2025-01-24</t>
  </si>
  <si>
    <t>ORD10200</t>
  </si>
  <si>
    <t>04-20-2026</t>
  </si>
  <si>
    <t>ORD10201</t>
  </si>
  <si>
    <t>2026-06-25</t>
  </si>
  <si>
    <t>ORD10202</t>
  </si>
  <si>
    <t>06/05/2026</t>
  </si>
  <si>
    <t>ORD10203</t>
  </si>
  <si>
    <t>2025-09-27</t>
  </si>
  <si>
    <t>ORD10204</t>
  </si>
  <si>
    <t>05-14-2026</t>
  </si>
  <si>
    <t>ORD10205</t>
  </si>
  <si>
    <t>03-21-2026</t>
  </si>
  <si>
    <t>ORD10206</t>
  </si>
  <si>
    <t>2025-10-12</t>
  </si>
  <si>
    <t>ORD10207</t>
  </si>
  <si>
    <t>16/04/2026</t>
  </si>
  <si>
    <t xml:space="preserve"> Abuja </t>
  </si>
  <si>
    <t>₦148,160</t>
  </si>
  <si>
    <t>ORD10208</t>
  </si>
  <si>
    <t>ORD10209</t>
  </si>
  <si>
    <t>02/02/2025</t>
  </si>
  <si>
    <t>ORD10210</t>
  </si>
  <si>
    <t>2025-12-03</t>
  </si>
  <si>
    <t>ORD10211</t>
  </si>
  <si>
    <t>22/06/2026</t>
  </si>
  <si>
    <t>ORD10212</t>
  </si>
  <si>
    <t>27/04/2026</t>
  </si>
  <si>
    <t>ORD10213</t>
  </si>
  <si>
    <t>ORD10214</t>
  </si>
  <si>
    <t>ORD10215</t>
  </si>
  <si>
    <t>ORD10216</t>
  </si>
  <si>
    <t>05-15-2025</t>
  </si>
  <si>
    <t>ORD10217</t>
  </si>
  <si>
    <t>05-25-2026</t>
  </si>
  <si>
    <t>ORD10218</t>
  </si>
  <si>
    <t>2025-08-13</t>
  </si>
  <si>
    <t>ORD10219</t>
  </si>
  <si>
    <t>05-04-2026</t>
  </si>
  <si>
    <t>ORD10220</t>
  </si>
  <si>
    <t>08-18-2025</t>
  </si>
  <si>
    <t>ORD10221</t>
  </si>
  <si>
    <t>18/06/2026</t>
  </si>
  <si>
    <t>ORD10222</t>
  </si>
  <si>
    <t>29/05/2025</t>
  </si>
  <si>
    <t>ORD10223</t>
  </si>
  <si>
    <t>04/03/2026</t>
  </si>
  <si>
    <t>ORD10224</t>
  </si>
  <si>
    <t>17/05/2026</t>
  </si>
  <si>
    <t>ORD10225</t>
  </si>
  <si>
    <t>01-07-2025</t>
  </si>
  <si>
    <t>ORD10226</t>
  </si>
  <si>
    <t>09/08/2025</t>
  </si>
  <si>
    <t>ORD10227</t>
  </si>
  <si>
    <t>13/06/2026</t>
  </si>
  <si>
    <t>ORD10228</t>
  </si>
  <si>
    <t>2025-02-26</t>
  </si>
  <si>
    <t>ORD10229</t>
  </si>
  <si>
    <t>ORD10230</t>
  </si>
  <si>
    <t>2026-02-04</t>
  </si>
  <si>
    <t>₦56,400</t>
  </si>
  <si>
    <t>ORD10231</t>
  </si>
  <si>
    <t>2025-11-17</t>
  </si>
  <si>
    <t>ORD10232</t>
  </si>
  <si>
    <t>05-23-2026</t>
  </si>
  <si>
    <t>ORD10233</t>
  </si>
  <si>
    <t>03-22-2026</t>
  </si>
  <si>
    <t>ORD10234</t>
  </si>
  <si>
    <t>ORD10235</t>
  </si>
  <si>
    <t>2026-02-26</t>
  </si>
  <si>
    <t>ORD10236</t>
  </si>
  <si>
    <t>2026-05-28</t>
  </si>
  <si>
    <t>ORD10237</t>
  </si>
  <si>
    <t>02-28-2025</t>
  </si>
  <si>
    <t>ORD10238</t>
  </si>
  <si>
    <t>05/06/2026</t>
  </si>
  <si>
    <t>4</t>
  </si>
  <si>
    <t>ORD10239</t>
  </si>
  <si>
    <t>16/01/2025</t>
  </si>
  <si>
    <t>OYO</t>
  </si>
  <si>
    <t>ORD10240</t>
  </si>
  <si>
    <t>ORD10241</t>
  </si>
  <si>
    <t>02-02-2025</t>
  </si>
  <si>
    <t>ORD10242</t>
  </si>
  <si>
    <t>12/05/2026</t>
  </si>
  <si>
    <t>ORD10243</t>
  </si>
  <si>
    <t>ORD10244</t>
  </si>
  <si>
    <t>11-13-2025</t>
  </si>
  <si>
    <t>ORD10245</t>
  </si>
  <si>
    <t>2026-04-01</t>
  </si>
  <si>
    <t>ORD10246</t>
  </si>
  <si>
    <t>08-17-2025</t>
  </si>
  <si>
    <t>ORD10247</t>
  </si>
  <si>
    <t>04-26-2025</t>
  </si>
  <si>
    <t>ORD10248</t>
  </si>
  <si>
    <t>04-03-2025</t>
  </si>
  <si>
    <t>ORD10249</t>
  </si>
  <si>
    <t>05-10-2026</t>
  </si>
  <si>
    <t>ORD10250</t>
  </si>
  <si>
    <t>2025-07-12</t>
  </si>
  <si>
    <t>ORD10251</t>
  </si>
  <si>
    <t>ORD10252</t>
  </si>
  <si>
    <t>03-20-2026</t>
  </si>
  <si>
    <t>ORD10253</t>
  </si>
  <si>
    <t>10/10/2025</t>
  </si>
  <si>
    <t>ORD10254</t>
  </si>
  <si>
    <t>16/05/2025</t>
  </si>
  <si>
    <t>ORD10255</t>
  </si>
  <si>
    <t>ORD10256</t>
  </si>
  <si>
    <t>09-02-2025</t>
  </si>
  <si>
    <t>ORD10257</t>
  </si>
  <si>
    <t>ORD10258</t>
  </si>
  <si>
    <t>2026-04-29</t>
  </si>
  <si>
    <t>ORD10259</t>
  </si>
  <si>
    <t>04-14-2026</t>
  </si>
  <si>
    <t>ORD10260</t>
  </si>
  <si>
    <t>22/03/2025</t>
  </si>
  <si>
    <t>ORD10261</t>
  </si>
  <si>
    <t>08/04/2026</t>
  </si>
  <si>
    <t>ORD10262</t>
  </si>
  <si>
    <t>ORD10263</t>
  </si>
  <si>
    <t>2025-07-08</t>
  </si>
  <si>
    <t>ORD10264</t>
  </si>
  <si>
    <t>2025-09-12</t>
  </si>
  <si>
    <t>ORD10265</t>
  </si>
  <si>
    <t>12-04-2025</t>
  </si>
  <si>
    <t>ORD10266</t>
  </si>
  <si>
    <t>2026-06-22</t>
  </si>
  <si>
    <t>ORD10267</t>
  </si>
  <si>
    <t>03-29-2025</t>
  </si>
  <si>
    <t>ORD10268</t>
  </si>
  <si>
    <t>02-08-2025</t>
  </si>
  <si>
    <t>ORD10269</t>
  </si>
  <si>
    <t>03/06/2026</t>
  </si>
  <si>
    <t>ORD10270</t>
  </si>
  <si>
    <t>2025-09-25</t>
  </si>
  <si>
    <t>ORD10271</t>
  </si>
  <si>
    <t>ORD10272</t>
  </si>
  <si>
    <t>ORD10273</t>
  </si>
  <si>
    <t>04-07-2025</t>
  </si>
  <si>
    <t>ORD10274</t>
  </si>
  <si>
    <t>2025-07-02</t>
  </si>
  <si>
    <t>ORD10275</t>
  </si>
  <si>
    <t>2025-02-06</t>
  </si>
  <si>
    <t>ORD10276</t>
  </si>
  <si>
    <t>2026-05-26</t>
  </si>
  <si>
    <t>ORD10277</t>
  </si>
  <si>
    <t>2026-02-20</t>
  </si>
  <si>
    <t>ORD10278</t>
  </si>
  <si>
    <t>10-10-2025</t>
  </si>
  <si>
    <t>ORD10279</t>
  </si>
  <si>
    <t>01-24-2025</t>
  </si>
  <si>
    <t>ORD10280</t>
  </si>
  <si>
    <t>03-03-2026</t>
  </si>
  <si>
    <t>ORD10281</t>
  </si>
  <si>
    <t>ORD10282</t>
  </si>
  <si>
    <t>18/12/2025</t>
  </si>
  <si>
    <t>ORD10283</t>
  </si>
  <si>
    <t>04-16-2026</t>
  </si>
  <si>
    <t>ORD10284</t>
  </si>
  <si>
    <t>29/08/2025</t>
  </si>
  <si>
    <t>ORD10285</t>
  </si>
  <si>
    <t>05-11-2025</t>
  </si>
  <si>
    <t>₦69,300</t>
  </si>
  <si>
    <t>ORD10286</t>
  </si>
  <si>
    <t>03-19-2025</t>
  </si>
  <si>
    <t>ORD10287</t>
  </si>
  <si>
    <t>₦133,000</t>
  </si>
  <si>
    <t>ORD10288</t>
  </si>
  <si>
    <t>ORD10289</t>
  </si>
  <si>
    <t>31/05/2026</t>
  </si>
  <si>
    <t>ORD10290</t>
  </si>
  <si>
    <t>06-06-2025</t>
  </si>
  <si>
    <t>ORD10291</t>
  </si>
  <si>
    <t>13/07/2025</t>
  </si>
  <si>
    <t>ORD10292</t>
  </si>
  <si>
    <t>2025-02-12</t>
  </si>
  <si>
    <t>ORD10293</t>
  </si>
  <si>
    <t>2025-04-12</t>
  </si>
  <si>
    <t>ORD10294</t>
  </si>
  <si>
    <t>ORD10295</t>
  </si>
  <si>
    <t>12/02/2026</t>
  </si>
  <si>
    <t>ORD10296</t>
  </si>
  <si>
    <t>2025-06-14</t>
  </si>
  <si>
    <t>ORD10297</t>
  </si>
  <si>
    <t>04-06-2026</t>
  </si>
  <si>
    <t>ORD10298</t>
  </si>
  <si>
    <t>2026-01-05</t>
  </si>
  <si>
    <t>ORD10299</t>
  </si>
  <si>
    <t>2025-02-28</t>
  </si>
  <si>
    <t>ORD10300</t>
  </si>
  <si>
    <t>01/03/2026</t>
  </si>
  <si>
    <t>ORD10301</t>
  </si>
  <si>
    <t>2025-11-19</t>
  </si>
  <si>
    <t>ORD10302</t>
  </si>
  <si>
    <t>21/04/2026</t>
  </si>
  <si>
    <t>ORD10303</t>
  </si>
  <si>
    <t>26/12/2025</t>
  </si>
  <si>
    <t xml:space="preserve"> Kano </t>
  </si>
  <si>
    <t>ORD10304</t>
  </si>
  <si>
    <t>05-24-2025</t>
  </si>
  <si>
    <t>ORD10305</t>
  </si>
  <si>
    <t>07-16-2025</t>
  </si>
  <si>
    <t>ORD10306</t>
  </si>
  <si>
    <t>08-24-2025</t>
  </si>
  <si>
    <t>ORD10307</t>
  </si>
  <si>
    <t>25/02/2025</t>
  </si>
  <si>
    <t>ORD10308</t>
  </si>
  <si>
    <t>2025-02-22</t>
  </si>
  <si>
    <t>ORD10309</t>
  </si>
  <si>
    <t>21/04/2025</t>
  </si>
  <si>
    <t>ORD10310</t>
  </si>
  <si>
    <t>2025-09-05</t>
  </si>
  <si>
    <t>ORD10311</t>
  </si>
  <si>
    <t>2025-09-08</t>
  </si>
  <si>
    <t>ORD10312</t>
  </si>
  <si>
    <t>09-16-2025</t>
  </si>
  <si>
    <t>ORD10313</t>
  </si>
  <si>
    <t>25/07/2025</t>
  </si>
  <si>
    <t>₦12,000</t>
  </si>
  <si>
    <t>ORD10314</t>
  </si>
  <si>
    <t>11/09/2025</t>
  </si>
  <si>
    <t>ORD10315</t>
  </si>
  <si>
    <t>2026-03-07</t>
  </si>
  <si>
    <t>ORD10316</t>
  </si>
  <si>
    <t>2025-10-26</t>
  </si>
  <si>
    <t>ORD10317</t>
  </si>
  <si>
    <t>ORD10318</t>
  </si>
  <si>
    <t>2025-03-31</t>
  </si>
  <si>
    <t>ORD10319</t>
  </si>
  <si>
    <t>2025-12-29</t>
  </si>
  <si>
    <t>ORD10320</t>
  </si>
  <si>
    <t>05-08-2026</t>
  </si>
  <si>
    <t>ORD10321</t>
  </si>
  <si>
    <t>ORD10322</t>
  </si>
  <si>
    <t>01/02/2026</t>
  </si>
  <si>
    <t>ORD10323</t>
  </si>
  <si>
    <t>11/06/2025</t>
  </si>
  <si>
    <t>ORD10324</t>
  </si>
  <si>
    <t>ORD10325</t>
  </si>
  <si>
    <t>2025-11-11</t>
  </si>
  <si>
    <t>ORD10326</t>
  </si>
  <si>
    <t>23/03/2026</t>
  </si>
  <si>
    <t>ORD10327</t>
  </si>
  <si>
    <t>2025-08-15</t>
  </si>
  <si>
    <t>ORD10328</t>
  </si>
  <si>
    <t>ORD10329</t>
  </si>
  <si>
    <t>02-12-2025</t>
  </si>
  <si>
    <t>ORD10330</t>
  </si>
  <si>
    <t>ORD10331</t>
  </si>
  <si>
    <t>ORD10332</t>
  </si>
  <si>
    <t>2025-01-06</t>
  </si>
  <si>
    <t>ORD10333</t>
  </si>
  <si>
    <t>03-04-2025</t>
  </si>
  <si>
    <t>ORD10334</t>
  </si>
  <si>
    <t>ORD10335</t>
  </si>
  <si>
    <t>2025-08-01</t>
  </si>
  <si>
    <t>ORD10336</t>
  </si>
  <si>
    <t>12/08/2025</t>
  </si>
  <si>
    <t>ORD10337</t>
  </si>
  <si>
    <t>2025-08-17</t>
  </si>
  <si>
    <t>ORD10338</t>
  </si>
  <si>
    <t>03-13-2026</t>
  </si>
  <si>
    <t>ORD10339</t>
  </si>
  <si>
    <t>2025-10-25</t>
  </si>
  <si>
    <t>ORD10340</t>
  </si>
  <si>
    <t>07/11/2025</t>
  </si>
  <si>
    <t>ORD10341</t>
  </si>
  <si>
    <t>ORD10342</t>
  </si>
  <si>
    <t>25/03/2025</t>
  </si>
  <si>
    <t>ORD10343</t>
  </si>
  <si>
    <t>01-09-2026</t>
  </si>
  <si>
    <t>ORD10344</t>
  </si>
  <si>
    <t>03-05-2025</t>
  </si>
  <si>
    <t>ORD10345</t>
  </si>
  <si>
    <t>21/07/2025</t>
  </si>
  <si>
    <t>ORD10346</t>
  </si>
  <si>
    <t>04/02/2026</t>
  </si>
  <si>
    <t>ORD10347</t>
  </si>
  <si>
    <t>01-20-2026</t>
  </si>
  <si>
    <t>ORD10348</t>
  </si>
  <si>
    <t>02-03-2025</t>
  </si>
  <si>
    <t>ORD10349</t>
  </si>
  <si>
    <t>10/07/2025</t>
  </si>
  <si>
    <t>ORD10350</t>
  </si>
  <si>
    <t>01/05/2025</t>
  </si>
  <si>
    <t>ORD10351</t>
  </si>
  <si>
    <t>ORD10352</t>
  </si>
  <si>
    <t>12-06-2025</t>
  </si>
  <si>
    <t>ORD10353</t>
  </si>
  <si>
    <t>ORD10354</t>
  </si>
  <si>
    <t>ORD10355</t>
  </si>
  <si>
    <t>03-15-2026</t>
  </si>
  <si>
    <t>ORD10356</t>
  </si>
  <si>
    <t>₦61,750</t>
  </si>
  <si>
    <t>ORD10357</t>
  </si>
  <si>
    <t>02-07-2026</t>
  </si>
  <si>
    <t>ORD10358</t>
  </si>
  <si>
    <t>ORD10359</t>
  </si>
  <si>
    <t>10-03-2025</t>
  </si>
  <si>
    <t>ORD10360</t>
  </si>
  <si>
    <t>09-18-2025</t>
  </si>
  <si>
    <t>ORD10361</t>
  </si>
  <si>
    <t>05-07-2025</t>
  </si>
  <si>
    <t>ORD10362</t>
  </si>
  <si>
    <t>2025-05-12</t>
  </si>
  <si>
    <t>ORD10363</t>
  </si>
  <si>
    <t>2025-03-08</t>
  </si>
  <si>
    <t>ORD10364</t>
  </si>
  <si>
    <t>ORD10365</t>
  </si>
  <si>
    <t>ORD10366</t>
  </si>
  <si>
    <t>2025-09-10</t>
  </si>
  <si>
    <t>ORD10367</t>
  </si>
  <si>
    <t>06-19-2025</t>
  </si>
  <si>
    <t>ORD10368</t>
  </si>
  <si>
    <t>2025-07-15</t>
  </si>
  <si>
    <t>ORD10369</t>
  </si>
  <si>
    <t>10/12/2025</t>
  </si>
  <si>
    <t>ORD10370</t>
  </si>
  <si>
    <t>27/04/2025</t>
  </si>
  <si>
    <t>ORD10371</t>
  </si>
  <si>
    <t>15/08/2025</t>
  </si>
  <si>
    <t>ORD10372</t>
  </si>
  <si>
    <t>08-02-2025</t>
  </si>
  <si>
    <t>ORD10373</t>
  </si>
  <si>
    <t>01-06-2026</t>
  </si>
  <si>
    <t>RIVERS</t>
  </si>
  <si>
    <t>ORD10374</t>
  </si>
  <si>
    <t>2025-05-25</t>
  </si>
  <si>
    <t>ORD10375</t>
  </si>
  <si>
    <t>15/09/2025</t>
  </si>
  <si>
    <t>ORD10376</t>
  </si>
  <si>
    <t>01/05/2026</t>
  </si>
  <si>
    <t>ORD10377</t>
  </si>
  <si>
    <t>03-23-2025</t>
  </si>
  <si>
    <t>ORD10378</t>
  </si>
  <si>
    <t>07-07-2025</t>
  </si>
  <si>
    <t>ORD10379</t>
  </si>
  <si>
    <t>11-17-2025</t>
  </si>
  <si>
    <t>ORD10380</t>
  </si>
  <si>
    <t>2025-05-09</t>
  </si>
  <si>
    <t>ORD10381</t>
  </si>
  <si>
    <t>2025-05-15</t>
  </si>
  <si>
    <t>ORD10382</t>
  </si>
  <si>
    <t>18/05/2025</t>
  </si>
  <si>
    <t>ORD10383</t>
  </si>
  <si>
    <t>01-22-2025</t>
  </si>
  <si>
    <t>ORD10384</t>
  </si>
  <si>
    <t>2026-04-14</t>
  </si>
  <si>
    <t>ORD10385</t>
  </si>
  <si>
    <t>2025-04-01</t>
  </si>
  <si>
    <t>ORD10386</t>
  </si>
  <si>
    <t>2025-12-24</t>
  </si>
  <si>
    <t>ORD10387</t>
  </si>
  <si>
    <t>ORD10388</t>
  </si>
  <si>
    <t>ORD10389</t>
  </si>
  <si>
    <t>2026-05-19</t>
  </si>
  <si>
    <t>ORD10390</t>
  </si>
  <si>
    <t>24/04/2026</t>
  </si>
  <si>
    <t>ORD10391</t>
  </si>
  <si>
    <t>2025-06-15</t>
  </si>
  <si>
    <t>ORD10392</t>
  </si>
  <si>
    <t>02-11-2025</t>
  </si>
  <si>
    <t>ORD10393</t>
  </si>
  <si>
    <t>18/04/2025</t>
  </si>
  <si>
    <t>ORD10394</t>
  </si>
  <si>
    <t>ORD10395</t>
  </si>
  <si>
    <t>06-12-2026</t>
  </si>
  <si>
    <t>ORD10396</t>
  </si>
  <si>
    <t>ORD10397</t>
  </si>
  <si>
    <t>2025-10-18</t>
  </si>
  <si>
    <t>ORD10398</t>
  </si>
  <si>
    <t>ORD10399</t>
  </si>
  <si>
    <t>01-30-2026</t>
  </si>
  <si>
    <t>ORD10400</t>
  </si>
  <si>
    <t>ORD10401</t>
  </si>
  <si>
    <t>03-08-2026</t>
  </si>
  <si>
    <t>7</t>
  </si>
  <si>
    <t>ORD10402</t>
  </si>
  <si>
    <t>05-06-2025</t>
  </si>
  <si>
    <t>ORD10403</t>
  </si>
  <si>
    <t>2026-01-24</t>
  </si>
  <si>
    <t>ORD10404</t>
  </si>
  <si>
    <t>ORD10405</t>
  </si>
  <si>
    <t>2025-10-24</t>
  </si>
  <si>
    <t>ORD10406</t>
  </si>
  <si>
    <t>ORD10407</t>
  </si>
  <si>
    <t>ORD10408</t>
  </si>
  <si>
    <t>12-24-2025</t>
  </si>
  <si>
    <t>ORD10409</t>
  </si>
  <si>
    <t>27/11/2025</t>
  </si>
  <si>
    <t>ORD10410</t>
  </si>
  <si>
    <t>ORD10411</t>
  </si>
  <si>
    <t>08/09/2025</t>
  </si>
  <si>
    <t>₦156,480</t>
  </si>
  <si>
    <t>ORD10412</t>
  </si>
  <si>
    <t>ORD10413</t>
  </si>
  <si>
    <t>18/06/2025</t>
  </si>
  <si>
    <t>ORD10414</t>
  </si>
  <si>
    <t>15/11/2025</t>
  </si>
  <si>
    <t>ORD10415</t>
  </si>
  <si>
    <t>2026-02-03</t>
  </si>
  <si>
    <t>ORD10416</t>
  </si>
  <si>
    <t>ORD10417</t>
  </si>
  <si>
    <t>14/03/2026</t>
  </si>
  <si>
    <t>ORD10418</t>
  </si>
  <si>
    <t>ORD10419</t>
  </si>
  <si>
    <t>04/06/2025</t>
  </si>
  <si>
    <t>ORD10420</t>
  </si>
  <si>
    <t>ORD10421</t>
  </si>
  <si>
    <t>ORD10422</t>
  </si>
  <si>
    <t>2025-06-17</t>
  </si>
  <si>
    <t>ORD10423</t>
  </si>
  <si>
    <t>ORD10424</t>
  </si>
  <si>
    <t>13/06/2025</t>
  </si>
  <si>
    <t>ORD10425</t>
  </si>
  <si>
    <t>31/07/2025</t>
  </si>
  <si>
    <t>ORD10426</t>
  </si>
  <si>
    <t>2025-01-26</t>
  </si>
  <si>
    <t>ORD10427</t>
  </si>
  <si>
    <t>03-01-2025</t>
  </si>
  <si>
    <t>ORD10428</t>
  </si>
  <si>
    <t>2026-01-22</t>
  </si>
  <si>
    <t>ORD10429</t>
  </si>
  <si>
    <t>2025-10-29</t>
  </si>
  <si>
    <t>ORD10430</t>
  </si>
  <si>
    <t>03-02-2026</t>
  </si>
  <si>
    <t>ORD10431</t>
  </si>
  <si>
    <t>30/07/2025</t>
  </si>
  <si>
    <t>ORD10432</t>
  </si>
  <si>
    <t>2025-12-06</t>
  </si>
  <si>
    <t>ORD10433</t>
  </si>
  <si>
    <t>₦247,380</t>
  </si>
  <si>
    <t>ORD10434</t>
  </si>
  <si>
    <t>02-23-2025</t>
  </si>
  <si>
    <t>ORD10435</t>
  </si>
  <si>
    <t>ORD10436</t>
  </si>
  <si>
    <t>ORD10437</t>
  </si>
  <si>
    <t>2025-08-08</t>
  </si>
  <si>
    <t>ORD10438</t>
  </si>
  <si>
    <t>05-14-2025</t>
  </si>
  <si>
    <t>ORD10439</t>
  </si>
  <si>
    <t>11/07/2025</t>
  </si>
  <si>
    <t>ORD10440</t>
  </si>
  <si>
    <t>11-02-2025</t>
  </si>
  <si>
    <t>ORD10441</t>
  </si>
  <si>
    <t>04/01/2026</t>
  </si>
  <si>
    <t>ORD10442</t>
  </si>
  <si>
    <t>12-16-2025</t>
  </si>
  <si>
    <t>ORD10443</t>
  </si>
  <si>
    <t>01-22-2026</t>
  </si>
  <si>
    <t>ORD10444</t>
  </si>
  <si>
    <t>02-23-2026</t>
  </si>
  <si>
    <t>ORD10445</t>
  </si>
  <si>
    <t>03-03-2025</t>
  </si>
  <si>
    <t>ORD10446</t>
  </si>
  <si>
    <t>01-15-2025</t>
  </si>
  <si>
    <t>ORD10447</t>
  </si>
  <si>
    <t>09-30-2025</t>
  </si>
  <si>
    <t>ORD10448</t>
  </si>
  <si>
    <t>21/02/2026</t>
  </si>
  <si>
    <t>ORD10449</t>
  </si>
  <si>
    <t>20/04/2025</t>
  </si>
  <si>
    <t>ORD10450</t>
  </si>
  <si>
    <t>ORD10451</t>
  </si>
  <si>
    <t>2026-04-03</t>
  </si>
  <si>
    <t>ORD10452</t>
  </si>
  <si>
    <t>11-01-2025</t>
  </si>
  <si>
    <t>ORD10453</t>
  </si>
  <si>
    <t>15/06/2025</t>
  </si>
  <si>
    <t>ORD10454</t>
  </si>
  <si>
    <t>03/09/2025</t>
  </si>
  <si>
    <t>ORD10455</t>
  </si>
  <si>
    <t>ORD10456</t>
  </si>
  <si>
    <t>2025-09-19</t>
  </si>
  <si>
    <t>ORD10457</t>
  </si>
  <si>
    <t>2025-06-04</t>
  </si>
  <si>
    <t>ORD10458</t>
  </si>
  <si>
    <t>06-22-2025</t>
  </si>
  <si>
    <t>ORD10459</t>
  </si>
  <si>
    <t>03-28-2026</t>
  </si>
  <si>
    <t>ORD10460</t>
  </si>
  <si>
    <t>2025-02-18</t>
  </si>
  <si>
    <t>ORD10461</t>
  </si>
  <si>
    <t>10-06-2025</t>
  </si>
  <si>
    <t>ORD10462</t>
  </si>
  <si>
    <t>ORD10463</t>
  </si>
  <si>
    <t>ORD10464</t>
  </si>
  <si>
    <t>01-23-2025</t>
  </si>
  <si>
    <t>ORD10465</t>
  </si>
  <si>
    <t>ORD10466</t>
  </si>
  <si>
    <t>2025-06-30</t>
  </si>
  <si>
    <t>ORD10467</t>
  </si>
  <si>
    <t>02-17-2025</t>
  </si>
  <si>
    <t>ORD10468</t>
  </si>
  <si>
    <t>12-14-2025</t>
  </si>
  <si>
    <t>ORD10469</t>
  </si>
  <si>
    <t>29/11/2025</t>
  </si>
  <si>
    <t>ORD10470</t>
  </si>
  <si>
    <t>26/02/2026</t>
  </si>
  <si>
    <t>ORD10471</t>
  </si>
  <si>
    <t>07-26-2025</t>
  </si>
  <si>
    <t>ORD10472</t>
  </si>
  <si>
    <t>2025-02-08</t>
  </si>
  <si>
    <t>ORD10473</t>
  </si>
  <si>
    <t>08-20-2025</t>
  </si>
  <si>
    <t>ORD10474</t>
  </si>
  <si>
    <t>11/03/2025</t>
  </si>
  <si>
    <t>ORD10475</t>
  </si>
  <si>
    <t>ORD10476</t>
  </si>
  <si>
    <t>ORD10477</t>
  </si>
  <si>
    <t>ORD10478</t>
  </si>
  <si>
    <t>17/01/2026</t>
  </si>
  <si>
    <t>ORD10479</t>
  </si>
  <si>
    <t>2026-05-21</t>
  </si>
  <si>
    <t>ORD10480</t>
  </si>
  <si>
    <t>2025-05-17</t>
  </si>
  <si>
    <t>₦270,675</t>
  </si>
  <si>
    <t>ORD10481</t>
  </si>
  <si>
    <t>2026-02-11</t>
  </si>
  <si>
    <t>ORD10482</t>
  </si>
  <si>
    <t>2025-07-27</t>
  </si>
  <si>
    <t>ORD10483</t>
  </si>
  <si>
    <t>ORD10484</t>
  </si>
  <si>
    <t>ORD10485</t>
  </si>
  <si>
    <t>ORD10486</t>
  </si>
  <si>
    <t>05/02/2025</t>
  </si>
  <si>
    <t>ORD10487</t>
  </si>
  <si>
    <t>06-19-2026</t>
  </si>
  <si>
    <t>ORD10488</t>
  </si>
  <si>
    <t>27/07/2025</t>
  </si>
  <si>
    <t>ORD10489</t>
  </si>
  <si>
    <t>02-21-2025</t>
  </si>
  <si>
    <t>ORD10490</t>
  </si>
  <si>
    <t>2026-06-18</t>
  </si>
  <si>
    <t>ORD10491</t>
  </si>
  <si>
    <t>21/02/2025</t>
  </si>
  <si>
    <t>ORD10492</t>
  </si>
  <si>
    <t>15/05/2026</t>
  </si>
  <si>
    <t>ORD10493</t>
  </si>
  <si>
    <t>ORD10494</t>
  </si>
  <si>
    <t>2025-06-28</t>
  </si>
  <si>
    <t>ORD10495</t>
  </si>
  <si>
    <t>2025-01-17</t>
  </si>
  <si>
    <t>ORD10496</t>
  </si>
  <si>
    <t>06-07-2026</t>
  </si>
  <si>
    <t>₦52,000</t>
  </si>
  <si>
    <t>ORD10497</t>
  </si>
  <si>
    <t>ORD10498</t>
  </si>
  <si>
    <t>2025-05-30</t>
  </si>
  <si>
    <t>ORD10499</t>
  </si>
  <si>
    <t>26/01/2026</t>
  </si>
  <si>
    <t>ORD10500</t>
  </si>
  <si>
    <t>2025-09-23</t>
  </si>
  <si>
    <t>ORD10501</t>
  </si>
  <si>
    <t>ORD10502</t>
  </si>
  <si>
    <t>22/10/2025</t>
  </si>
  <si>
    <t>ORD10503</t>
  </si>
  <si>
    <t>ORD10504</t>
  </si>
  <si>
    <t>ORD10505</t>
  </si>
  <si>
    <t xml:space="preserve"> Enugu </t>
  </si>
  <si>
    <t>ORD10506</t>
  </si>
  <si>
    <t>16/09/2025</t>
  </si>
  <si>
    <t>ORD10507</t>
  </si>
  <si>
    <t>2025-12-28</t>
  </si>
  <si>
    <t>ORD10508</t>
  </si>
  <si>
    <t>2025-08-22</t>
  </si>
  <si>
    <t>ORD10509</t>
  </si>
  <si>
    <t>ORD10510</t>
  </si>
  <si>
    <t>03-31-2025</t>
  </si>
  <si>
    <t>ORD10511</t>
  </si>
  <si>
    <t>08/11/2025</t>
  </si>
  <si>
    <t>ORD10512</t>
  </si>
  <si>
    <t>12-09-2025</t>
  </si>
  <si>
    <t>ORD10513</t>
  </si>
  <si>
    <t>2025-07-28</t>
  </si>
  <si>
    <t>ORD10514</t>
  </si>
  <si>
    <t>03-31-2026</t>
  </si>
  <si>
    <t>ORD10515</t>
  </si>
  <si>
    <t>ORD10516</t>
  </si>
  <si>
    <t>2025-05-24</t>
  </si>
  <si>
    <t>ORD10517</t>
  </si>
  <si>
    <t>ORD10518</t>
  </si>
  <si>
    <t>04-10-2026</t>
  </si>
  <si>
    <t>ORD10519</t>
  </si>
  <si>
    <t>ORD10520</t>
  </si>
  <si>
    <t>8</t>
  </si>
  <si>
    <t>ORD10521</t>
  </si>
  <si>
    <t>26/03/2025</t>
  </si>
  <si>
    <t>ORD10522</t>
  </si>
  <si>
    <t>01-21-2025</t>
  </si>
  <si>
    <t>ORD10523</t>
  </si>
  <si>
    <t>16/10/2025</t>
  </si>
  <si>
    <t>ORD10524</t>
  </si>
  <si>
    <t>11/11/2025</t>
  </si>
  <si>
    <t>ORD10525</t>
  </si>
  <si>
    <t>2025-09-26</t>
  </si>
  <si>
    <t>ORD10526</t>
  </si>
  <si>
    <t>08-14-2025</t>
  </si>
  <si>
    <t>ORD10527</t>
  </si>
  <si>
    <t>2025-07-18</t>
  </si>
  <si>
    <t>ORD10528</t>
  </si>
  <si>
    <t>25/11/2025</t>
  </si>
  <si>
    <t>ORD10529</t>
  </si>
  <si>
    <t>2025-12-30</t>
  </si>
  <si>
    <t>ORD10530</t>
  </si>
  <si>
    <t>ORD10531</t>
  </si>
  <si>
    <t>03-28-2025</t>
  </si>
  <si>
    <t>ORD10532</t>
  </si>
  <si>
    <t>05/10/2025</t>
  </si>
  <si>
    <t>ORD10533</t>
  </si>
  <si>
    <t>06-10-2026</t>
  </si>
  <si>
    <t>ORD10534</t>
  </si>
  <si>
    <t>ORD10535</t>
  </si>
  <si>
    <t>₦9,000</t>
  </si>
  <si>
    <t>ORD10536</t>
  </si>
  <si>
    <t>18/02/2026</t>
  </si>
  <si>
    <t>ORD10537</t>
  </si>
  <si>
    <t>ORD10538</t>
  </si>
  <si>
    <t>ORD10539</t>
  </si>
  <si>
    <t>07-02-2025</t>
  </si>
  <si>
    <t>ORD10540</t>
  </si>
  <si>
    <t>12-01-2025</t>
  </si>
  <si>
    <t>ORD10541</t>
  </si>
  <si>
    <t>04/03/2025</t>
  </si>
  <si>
    <t>ORD10542</t>
  </si>
  <si>
    <t>11/04/2025</t>
  </si>
  <si>
    <t>ORD10543</t>
  </si>
  <si>
    <t>10-24-2025</t>
  </si>
  <si>
    <t>ORD10544</t>
  </si>
  <si>
    <t>28/06/2025</t>
  </si>
  <si>
    <t>ORD10545</t>
  </si>
  <si>
    <t>01-31-2025</t>
  </si>
  <si>
    <t>ORD10546</t>
  </si>
  <si>
    <t>2025-12-26</t>
  </si>
  <si>
    <t>ORD10547</t>
  </si>
  <si>
    <t>rivers</t>
  </si>
  <si>
    <t>ORD10548</t>
  </si>
  <si>
    <t>2025-10-15</t>
  </si>
  <si>
    <t>ORD10549</t>
  </si>
  <si>
    <t>ORD10550</t>
  </si>
  <si>
    <t>ORD10551</t>
  </si>
  <si>
    <t>ORD10552</t>
  </si>
  <si>
    <t>2026-03-30</t>
  </si>
  <si>
    <t>ORD10553</t>
  </si>
  <si>
    <t>ORD10554</t>
  </si>
  <si>
    <t>2025-05-10</t>
  </si>
  <si>
    <t>ORD10555</t>
  </si>
  <si>
    <t>21/10/2025</t>
  </si>
  <si>
    <t>ORD10556</t>
  </si>
  <si>
    <t>ORD10557</t>
  </si>
  <si>
    <t>06-21-2025</t>
  </si>
  <si>
    <t>ORD10558</t>
  </si>
  <si>
    <t>04-09-2026</t>
  </si>
  <si>
    <t>ORD10559</t>
  </si>
  <si>
    <t>ORD10560</t>
  </si>
  <si>
    <t>16/04/2025</t>
  </si>
  <si>
    <t>ORD10561</t>
  </si>
  <si>
    <t>2025-01-25</t>
  </si>
  <si>
    <t>ORD10562</t>
  </si>
  <si>
    <t>09-21-2025</t>
  </si>
  <si>
    <t>ORD10563</t>
  </si>
  <si>
    <t>20/06/2026</t>
  </si>
  <si>
    <t>ORD10564</t>
  </si>
  <si>
    <t>ORD10565</t>
  </si>
  <si>
    <t>2025-12-21</t>
  </si>
  <si>
    <t>ORD10566</t>
  </si>
  <si>
    <t>20/09/2025</t>
  </si>
  <si>
    <t>ORD10567</t>
  </si>
  <si>
    <t>06-10-2025</t>
  </si>
  <si>
    <t>ORD10568</t>
  </si>
  <si>
    <t>14/07/2025</t>
  </si>
  <si>
    <t>ORD10569</t>
  </si>
  <si>
    <t>2025-08-20</t>
  </si>
  <si>
    <t>ORD10570</t>
  </si>
  <si>
    <t>ORD10571</t>
  </si>
  <si>
    <t>12-19-2025</t>
  </si>
  <si>
    <t>ORD10572</t>
  </si>
  <si>
    <t>ORD10573</t>
  </si>
  <si>
    <t>2025-09-16</t>
  </si>
  <si>
    <t>₦70,875</t>
  </si>
  <si>
    <t>ORD10574</t>
  </si>
  <si>
    <t>2025-01-13</t>
  </si>
  <si>
    <t>ORD10575</t>
  </si>
  <si>
    <t>07/06/2026</t>
  </si>
  <si>
    <t>ORD10576</t>
  </si>
  <si>
    <t>2025-10-05</t>
  </si>
  <si>
    <t>ORD10577</t>
  </si>
  <si>
    <t>2025-01-10</t>
  </si>
  <si>
    <t>ORD10578</t>
  </si>
  <si>
    <t>ORD10579</t>
  </si>
  <si>
    <t>12/07/2025</t>
  </si>
  <si>
    <t>ORD10580</t>
  </si>
  <si>
    <t>01-05-2025</t>
  </si>
  <si>
    <t>ORD10581</t>
  </si>
  <si>
    <t>ORD10582</t>
  </si>
  <si>
    <t>ORD10583</t>
  </si>
  <si>
    <t>2025-02-24</t>
  </si>
  <si>
    <t>ORD10584</t>
  </si>
  <si>
    <t>19/04/2026</t>
  </si>
  <si>
    <t>ORD10585</t>
  </si>
  <si>
    <t>ORD10586</t>
  </si>
  <si>
    <t>14/12/2025</t>
  </si>
  <si>
    <t>₦216,300</t>
  </si>
  <si>
    <t>ORD10587</t>
  </si>
  <si>
    <t>ORD10588</t>
  </si>
  <si>
    <t>2025-05-29</t>
  </si>
  <si>
    <t>abuja</t>
  </si>
  <si>
    <t>ORD10589</t>
  </si>
  <si>
    <t>ORD10590</t>
  </si>
  <si>
    <t>31/12/2025</t>
  </si>
  <si>
    <t>ORD10591</t>
  </si>
  <si>
    <t>04-04-2025</t>
  </si>
  <si>
    <t>ORD10592</t>
  </si>
  <si>
    <t>ORD10593</t>
  </si>
  <si>
    <t>10/02/2025</t>
  </si>
  <si>
    <t>ORD10594</t>
  </si>
  <si>
    <t>28/02/2026</t>
  </si>
  <si>
    <t>ORD10595</t>
  </si>
  <si>
    <t>08-16-2025</t>
  </si>
  <si>
    <t>ORD10596</t>
  </si>
  <si>
    <t>01-30-2025</t>
  </si>
  <si>
    <t>ORD10597</t>
  </si>
  <si>
    <t>2026-01-03</t>
  </si>
  <si>
    <t>ORD10598</t>
  </si>
  <si>
    <t>03-25-2025</t>
  </si>
  <si>
    <t>ORD10599</t>
  </si>
  <si>
    <t>2025-09-11</t>
  </si>
  <si>
    <t>ORD10600</t>
  </si>
  <si>
    <t>2026-02-01</t>
  </si>
  <si>
    <t>ORD10601</t>
  </si>
  <si>
    <t>12/04/2025</t>
  </si>
  <si>
    <t>ORD10602</t>
  </si>
  <si>
    <t>ORD10603</t>
  </si>
  <si>
    <t>2025-03-30</t>
  </si>
  <si>
    <t>ORD10604</t>
  </si>
  <si>
    <t>ORD10605</t>
  </si>
  <si>
    <t>02-26-2025</t>
  </si>
  <si>
    <t>ORD10606</t>
  </si>
  <si>
    <t>29/03/2025</t>
  </si>
  <si>
    <t>ORD10607</t>
  </si>
  <si>
    <t>2026-03-16</t>
  </si>
  <si>
    <t>ORD10608</t>
  </si>
  <si>
    <t>₦340,200</t>
  </si>
  <si>
    <t>ORD10609</t>
  </si>
  <si>
    <t>2026-04-11</t>
  </si>
  <si>
    <t>ORD10610</t>
  </si>
  <si>
    <t>03-08-2025</t>
  </si>
  <si>
    <t>ORD10611</t>
  </si>
  <si>
    <t>02-12-2026</t>
  </si>
  <si>
    <t>ORD10612</t>
  </si>
  <si>
    <t>2026-01-10</t>
  </si>
  <si>
    <t>ORD10613</t>
  </si>
  <si>
    <t>11-21-2025</t>
  </si>
  <si>
    <t>ORD10614</t>
  </si>
  <si>
    <t>01-27-2025</t>
  </si>
  <si>
    <t>ORD10615</t>
  </si>
  <si>
    <t>ORD10616</t>
  </si>
  <si>
    <t>2025-02-01</t>
  </si>
  <si>
    <t>ORD10617</t>
  </si>
  <si>
    <t>06/02/2025</t>
  </si>
  <si>
    <t>ORD10618</t>
  </si>
  <si>
    <t>08/03/2026</t>
  </si>
  <si>
    <t>ORD10619</t>
  </si>
  <si>
    <t>2026-03-17</t>
  </si>
  <si>
    <t>ORD10620</t>
  </si>
  <si>
    <t>2026-04-23</t>
  </si>
  <si>
    <t xml:space="preserve"> Lagos </t>
  </si>
  <si>
    <t>ORD10621</t>
  </si>
  <si>
    <t>ORD10622</t>
  </si>
  <si>
    <t>ORD10623</t>
  </si>
  <si>
    <t>01-04-2026</t>
  </si>
  <si>
    <t>ORD10624</t>
  </si>
  <si>
    <t>02/01/2025</t>
  </si>
  <si>
    <t>ORD10625</t>
  </si>
  <si>
    <t>2026-04-26</t>
  </si>
  <si>
    <t>ORD10626</t>
  </si>
  <si>
    <t>04-20-2025</t>
  </si>
  <si>
    <t>ORD10627</t>
  </si>
  <si>
    <t>10-09-2025</t>
  </si>
  <si>
    <t>ORD10628</t>
  </si>
  <si>
    <t>ORD10629</t>
  </si>
  <si>
    <t>12-07-2025</t>
  </si>
  <si>
    <t>ORD10630</t>
  </si>
  <si>
    <t>08-27-2025</t>
  </si>
  <si>
    <t>ORD10631</t>
  </si>
  <si>
    <t>2025-05-08</t>
  </si>
  <si>
    <t>ORD10632</t>
  </si>
  <si>
    <t>ORD10633</t>
  </si>
  <si>
    <t>2026-02-22</t>
  </si>
  <si>
    <t>ORD10634</t>
  </si>
  <si>
    <t>2025-12-04</t>
  </si>
  <si>
    <t>ORD10635</t>
  </si>
  <si>
    <t>2025-01-03</t>
  </si>
  <si>
    <t>ORD10636</t>
  </si>
  <si>
    <t>ORD10637</t>
  </si>
  <si>
    <t>ORD10638</t>
  </si>
  <si>
    <t>06/04/2025</t>
  </si>
  <si>
    <t>ORD10639</t>
  </si>
  <si>
    <t>08-31-2025</t>
  </si>
  <si>
    <t>ORD10640</t>
  </si>
  <si>
    <t>2026-01-21</t>
  </si>
  <si>
    <t>ORD10641</t>
  </si>
  <si>
    <t>2026-05-20</t>
  </si>
  <si>
    <t>ORD10642</t>
  </si>
  <si>
    <t>10-27-2025</t>
  </si>
  <si>
    <t>ORD10643</t>
  </si>
  <si>
    <t>2026-02-10</t>
  </si>
  <si>
    <t>ORD10644</t>
  </si>
  <si>
    <t>ORD10645</t>
  </si>
  <si>
    <t>16/02/2026</t>
  </si>
  <si>
    <t>ORD10646</t>
  </si>
  <si>
    <t>08-13-2025</t>
  </si>
  <si>
    <t>ORD10647</t>
  </si>
  <si>
    <t>12-11-2025</t>
  </si>
  <si>
    <t>ORD10648</t>
  </si>
  <si>
    <t>06-14-2026</t>
  </si>
  <si>
    <t>ORD10649</t>
  </si>
  <si>
    <t>13/02/2025</t>
  </si>
  <si>
    <t>ORD10650</t>
  </si>
  <si>
    <t>05/05/2025</t>
  </si>
  <si>
    <t>ORD10651</t>
  </si>
  <si>
    <t>02-25-2026</t>
  </si>
  <si>
    <t>ORD10652</t>
  </si>
  <si>
    <t>06/06/2026</t>
  </si>
  <si>
    <t>ORD10653</t>
  </si>
  <si>
    <t>25/02/2026</t>
  </si>
  <si>
    <t>ORD10654</t>
  </si>
  <si>
    <t>ORD10655</t>
  </si>
  <si>
    <t>01/01/2026</t>
  </si>
  <si>
    <t>ORD10656</t>
  </si>
  <si>
    <t>2026-01-26</t>
  </si>
  <si>
    <t>ORD10657</t>
  </si>
  <si>
    <t>ORD10658</t>
  </si>
  <si>
    <t>01-31-2026</t>
  </si>
  <si>
    <t>3</t>
  </si>
  <si>
    <t>ORD10659</t>
  </si>
  <si>
    <t>2025-07-25</t>
  </si>
  <si>
    <t>ORD10660</t>
  </si>
  <si>
    <t>ORD10661</t>
  </si>
  <si>
    <t>07/08/2025</t>
  </si>
  <si>
    <t>ORD10662</t>
  </si>
  <si>
    <t>2026-05-22</t>
  </si>
  <si>
    <t>ORD10663</t>
  </si>
  <si>
    <t>ORD10664</t>
  </si>
  <si>
    <t>03-06-2025</t>
  </si>
  <si>
    <t>ORD10665</t>
  </si>
  <si>
    <t>05-16-2026</t>
  </si>
  <si>
    <t>ORD10666</t>
  </si>
  <si>
    <t>16/11/2025</t>
  </si>
  <si>
    <t>ORD10667</t>
  </si>
  <si>
    <t>ORD10668</t>
  </si>
  <si>
    <t>ORD10669</t>
  </si>
  <si>
    <t>2025-08-27</t>
  </si>
  <si>
    <t>ORD10670</t>
  </si>
  <si>
    <t>03-14-2025</t>
  </si>
  <si>
    <t>₦32,800</t>
  </si>
  <si>
    <t>ORD10671</t>
  </si>
  <si>
    <t>ORD10672</t>
  </si>
  <si>
    <t>03-26-2026</t>
  </si>
  <si>
    <t>ORD10673</t>
  </si>
  <si>
    <t>24/03/2025</t>
  </si>
  <si>
    <t>ORD10674</t>
  </si>
  <si>
    <t>ORD10675</t>
  </si>
  <si>
    <t>2026-05-30</t>
  </si>
  <si>
    <t>ORD10676</t>
  </si>
  <si>
    <t>2025-11-10</t>
  </si>
  <si>
    <t>ORD10677</t>
  </si>
  <si>
    <t>17/06/2025</t>
  </si>
  <si>
    <t>ORD10678</t>
  </si>
  <si>
    <t>ORD10679</t>
  </si>
  <si>
    <t>ORD10680</t>
  </si>
  <si>
    <t>06-20-2025</t>
  </si>
  <si>
    <t>ORD10681</t>
  </si>
  <si>
    <t>ORD10682</t>
  </si>
  <si>
    <t>2025-05-04</t>
  </si>
  <si>
    <t>ORD10683</t>
  </si>
  <si>
    <t>30/12/2025</t>
  </si>
  <si>
    <t>ORD10684</t>
  </si>
  <si>
    <t>ORD10685</t>
  </si>
  <si>
    <t>24/02/2026</t>
  </si>
  <si>
    <t>ORD10686</t>
  </si>
  <si>
    <t>ORD10687</t>
  </si>
  <si>
    <t>31/03/2026</t>
  </si>
  <si>
    <t>ORD10688</t>
  </si>
  <si>
    <t>05-19-2025</t>
  </si>
  <si>
    <t>ORD10689</t>
  </si>
  <si>
    <t>03-24-2026</t>
  </si>
  <si>
    <t>ORD10690</t>
  </si>
  <si>
    <t>05/07/2025</t>
  </si>
  <si>
    <t>ORD10691</t>
  </si>
  <si>
    <t>09-13-2025</t>
  </si>
  <si>
    <t>ORD10692</t>
  </si>
  <si>
    <t>06-14-2025</t>
  </si>
  <si>
    <t>₦225,920</t>
  </si>
  <si>
    <t>ORD10693</t>
  </si>
  <si>
    <t>2026-02-14</t>
  </si>
  <si>
    <t>ORD10694</t>
  </si>
  <si>
    <t>ORD10695</t>
  </si>
  <si>
    <t>ORD10696</t>
  </si>
  <si>
    <t>ORD10697</t>
  </si>
  <si>
    <t>06-01-2025</t>
  </si>
  <si>
    <t>ORD10698</t>
  </si>
  <si>
    <t>04/10/2025</t>
  </si>
  <si>
    <t>ORD10699</t>
  </si>
  <si>
    <t>2025-01-23</t>
  </si>
  <si>
    <t>ORD10700</t>
  </si>
  <si>
    <t>ORD10701</t>
  </si>
  <si>
    <t>2025-12-02</t>
  </si>
  <si>
    <t>ORD10702</t>
  </si>
  <si>
    <t>25/04/2025</t>
  </si>
  <si>
    <t>ORD10703</t>
  </si>
  <si>
    <t>ORD10704</t>
  </si>
  <si>
    <t>ORD10705</t>
  </si>
  <si>
    <t>16/08/2025</t>
  </si>
  <si>
    <t>ORD10706</t>
  </si>
  <si>
    <t>2025-02-19</t>
  </si>
  <si>
    <t>ORD10707</t>
  </si>
  <si>
    <t>2025-03-15</t>
  </si>
  <si>
    <t>ORD10708</t>
  </si>
  <si>
    <t>ORD10709</t>
  </si>
  <si>
    <t>2025-03-28</t>
  </si>
  <si>
    <t>ORD10710</t>
  </si>
  <si>
    <t>01-26-2026</t>
  </si>
  <si>
    <t>ORD10711</t>
  </si>
  <si>
    <t>06/12/2025</t>
  </si>
  <si>
    <t>ORD10712</t>
  </si>
  <si>
    <t>ORD10713</t>
  </si>
  <si>
    <t>2025-02-03</t>
  </si>
  <si>
    <t>ORD10714</t>
  </si>
  <si>
    <t>ORD10715</t>
  </si>
  <si>
    <t>30/11/2025</t>
  </si>
  <si>
    <t>ORD10716</t>
  </si>
  <si>
    <t>01-29-2026</t>
  </si>
  <si>
    <t>ORD10717</t>
  </si>
  <si>
    <t>ORD10718</t>
  </si>
  <si>
    <t>2025-07-29</t>
  </si>
  <si>
    <t>ORD10719</t>
  </si>
  <si>
    <t>2025-06-05</t>
  </si>
  <si>
    <t>ORD10720</t>
  </si>
  <si>
    <t>27/09/2025</t>
  </si>
  <si>
    <t>ORD10721</t>
  </si>
  <si>
    <t>ORD10722</t>
  </si>
  <si>
    <t>04-29-2025</t>
  </si>
  <si>
    <t>ORD10723</t>
  </si>
  <si>
    <t>2026-05-25</t>
  </si>
  <si>
    <t>ORD10724</t>
  </si>
  <si>
    <t>ORD10725</t>
  </si>
  <si>
    <t>ORD10726</t>
  </si>
  <si>
    <t>2025-07-19</t>
  </si>
  <si>
    <t>ORD10727</t>
  </si>
  <si>
    <t>02/03/2026</t>
  </si>
  <si>
    <t>ORD10728</t>
  </si>
  <si>
    <t>2025-11-16</t>
  </si>
  <si>
    <t>ORD10729</t>
  </si>
  <si>
    <t>03/03/2026</t>
  </si>
  <si>
    <t>ORD10730</t>
  </si>
  <si>
    <t>ORD10731</t>
  </si>
  <si>
    <t>12/05/2025</t>
  </si>
  <si>
    <t>ORD10732</t>
  </si>
  <si>
    <t>ORD10733</t>
  </si>
  <si>
    <t>ORD10734</t>
  </si>
  <si>
    <t>2026-04-21</t>
  </si>
  <si>
    <t>ORD10735</t>
  </si>
  <si>
    <t>03-05-2026</t>
  </si>
  <si>
    <t>ORD10736</t>
  </si>
  <si>
    <t>2026-01-04</t>
  </si>
  <si>
    <t>ORD10737</t>
  </si>
  <si>
    <t>ORD10738</t>
  </si>
  <si>
    <t>22/06/2025</t>
  </si>
  <si>
    <t>ORD10739</t>
  </si>
  <si>
    <t>ORD10740</t>
  </si>
  <si>
    <t>09-05-2025</t>
  </si>
  <si>
    <t>ORD10741</t>
  </si>
  <si>
    <t>23/11/2025</t>
  </si>
  <si>
    <t>ORD10742</t>
  </si>
  <si>
    <t>09-23-2025</t>
  </si>
  <si>
    <t>ORD10743</t>
  </si>
  <si>
    <t>05-12-2025</t>
  </si>
  <si>
    <t>ORD10744</t>
  </si>
  <si>
    <t>15/05/2025</t>
  </si>
  <si>
    <t>ORD10745</t>
  </si>
  <si>
    <t>12/06/2025</t>
  </si>
  <si>
    <t>ORD10746</t>
  </si>
  <si>
    <t>2025-11-27</t>
  </si>
  <si>
    <t>ORD10747</t>
  </si>
  <si>
    <t>ORD10748</t>
  </si>
  <si>
    <t>2026-03-11</t>
  </si>
  <si>
    <t>ORD10749</t>
  </si>
  <si>
    <t>06/07/2025</t>
  </si>
  <si>
    <t>ORD10750</t>
  </si>
  <si>
    <t>2026-06-13</t>
  </si>
  <si>
    <t>ORD10751</t>
  </si>
  <si>
    <t>01-29-2025</t>
  </si>
  <si>
    <t>ORD10752</t>
  </si>
  <si>
    <t>2026-03-12</t>
  </si>
  <si>
    <t>ORD10753</t>
  </si>
  <si>
    <t>02/10/2025</t>
  </si>
  <si>
    <t>ORD10754</t>
  </si>
  <si>
    <t>10-26-2025</t>
  </si>
  <si>
    <t>ORD10755</t>
  </si>
  <si>
    <t>16/07/2025</t>
  </si>
  <si>
    <t>ORD10756</t>
  </si>
  <si>
    <t>ORD10757</t>
  </si>
  <si>
    <t>ORD10758</t>
  </si>
  <si>
    <t>05-17-2025</t>
  </si>
  <si>
    <t>ORD10759</t>
  </si>
  <si>
    <t>05-05-2025</t>
  </si>
  <si>
    <t>ORD10760</t>
  </si>
  <si>
    <t>30/08/2025</t>
  </si>
  <si>
    <t>ORD10761</t>
  </si>
  <si>
    <t>08-01-2025</t>
  </si>
  <si>
    <t>ORD10762</t>
  </si>
  <si>
    <t>03-24-2025</t>
  </si>
  <si>
    <t>ORD10763</t>
  </si>
  <si>
    <t>ORD10764</t>
  </si>
  <si>
    <t>10-16-2025</t>
  </si>
  <si>
    <t>ORD10765</t>
  </si>
  <si>
    <t>ORD10766</t>
  </si>
  <si>
    <t>2026-06-11</t>
  </si>
  <si>
    <t>ORD10767</t>
  </si>
  <si>
    <t>06/03/2025</t>
  </si>
  <si>
    <t>ORD10768</t>
  </si>
  <si>
    <t>ORD10769</t>
  </si>
  <si>
    <t>ORD10770</t>
  </si>
  <si>
    <t>2026-04-02</t>
  </si>
  <si>
    <t>ORD10771</t>
  </si>
  <si>
    <t>26/01/2025</t>
  </si>
  <si>
    <t>ORD10772</t>
  </si>
  <si>
    <t>ORD10773</t>
  </si>
  <si>
    <t>04/05/2026</t>
  </si>
  <si>
    <t>ORD10774</t>
  </si>
  <si>
    <t>18/01/2026</t>
  </si>
  <si>
    <t>ORD10775</t>
  </si>
  <si>
    <t>25/06/2025</t>
  </si>
  <si>
    <t>ORD10776</t>
  </si>
  <si>
    <t>24/06/2025</t>
  </si>
  <si>
    <t>ORD10777</t>
  </si>
  <si>
    <t>ORD10778</t>
  </si>
  <si>
    <t>2025-11-04</t>
  </si>
  <si>
    <t>ORD10779</t>
  </si>
  <si>
    <t>01/07/2025</t>
  </si>
  <si>
    <t>ORD10780</t>
  </si>
  <si>
    <t>2025-04-15</t>
  </si>
  <si>
    <t>ORD10781</t>
  </si>
  <si>
    <t>ORD10782</t>
  </si>
  <si>
    <t>11-07-2025</t>
  </si>
  <si>
    <t>ORD10783</t>
  </si>
  <si>
    <t>2025-04-02</t>
  </si>
  <si>
    <t>ORD10784</t>
  </si>
  <si>
    <t>2025-05-23</t>
  </si>
  <si>
    <t>ORD10785</t>
  </si>
  <si>
    <t>09/01/2025</t>
  </si>
  <si>
    <t>ORD10786</t>
  </si>
  <si>
    <t>03-07-2026</t>
  </si>
  <si>
    <t>ORD10787</t>
  </si>
  <si>
    <t>ORD10788</t>
  </si>
  <si>
    <t>2026-04-07</t>
  </si>
  <si>
    <t>ORD10789</t>
  </si>
  <si>
    <t>2026-03-27</t>
  </si>
  <si>
    <t>ORD10790</t>
  </si>
  <si>
    <t>2025-03-09</t>
  </si>
  <si>
    <t>ORD10791</t>
  </si>
  <si>
    <t>2025-03-16</t>
  </si>
  <si>
    <t>ORD10792</t>
  </si>
  <si>
    <t>03-21-2025</t>
  </si>
  <si>
    <t>ORD10793</t>
  </si>
  <si>
    <t>ORD10794</t>
  </si>
  <si>
    <t>10-21-2025</t>
  </si>
  <si>
    <t>ORD10795</t>
  </si>
  <si>
    <t>06-15-2025</t>
  </si>
  <si>
    <t>ORD10796</t>
  </si>
  <si>
    <t>11-18-2025</t>
  </si>
  <si>
    <t>ORD10797</t>
  </si>
  <si>
    <t>ORD10798</t>
  </si>
  <si>
    <t>13/05/2026</t>
  </si>
  <si>
    <t>ORD10799</t>
  </si>
  <si>
    <t>ORD10800</t>
  </si>
  <si>
    <t>ORD10801</t>
  </si>
  <si>
    <t>ORD10802</t>
  </si>
  <si>
    <t>06-26-2025</t>
  </si>
  <si>
    <t>ORD10803</t>
  </si>
  <si>
    <t>03-29-2026</t>
  </si>
  <si>
    <t>ORD10804</t>
  </si>
  <si>
    <t>ORD10805</t>
  </si>
  <si>
    <t>02/08/2025</t>
  </si>
  <si>
    <t>ORD10806</t>
  </si>
  <si>
    <t>2025-12-27</t>
  </si>
  <si>
    <t>ORD10807</t>
  </si>
  <si>
    <t>05-10-2025</t>
  </si>
  <si>
    <t>ORD10808</t>
  </si>
  <si>
    <t>ORD10809</t>
  </si>
  <si>
    <t>2026-02-15</t>
  </si>
  <si>
    <t>₦105,525</t>
  </si>
  <si>
    <t>ORD10810</t>
  </si>
  <si>
    <t>ORD10811</t>
  </si>
  <si>
    <t>09/02/2026</t>
  </si>
  <si>
    <t>ORD10812</t>
  </si>
  <si>
    <t>ORD10813</t>
  </si>
  <si>
    <t>25/05/2026</t>
  </si>
  <si>
    <t>ORD10814</t>
  </si>
  <si>
    <t>12-31-2025</t>
  </si>
  <si>
    <t>ORD10815</t>
  </si>
  <si>
    <t>11/05/2025</t>
  </si>
  <si>
    <t>ORD10816</t>
  </si>
  <si>
    <t>2025-04-23</t>
  </si>
  <si>
    <t>ORD10817</t>
  </si>
  <si>
    <t>ORD10818</t>
  </si>
  <si>
    <t>01-19-2026</t>
  </si>
  <si>
    <t>ORD10819</t>
  </si>
  <si>
    <t>ORD10820</t>
  </si>
  <si>
    <t>ORD10821</t>
  </si>
  <si>
    <t>2025-12-22</t>
  </si>
  <si>
    <t>ORD10822</t>
  </si>
  <si>
    <t>17/03/2025</t>
  </si>
  <si>
    <t>ORD10823</t>
  </si>
  <si>
    <t>04-23-2026</t>
  </si>
  <si>
    <t>ORD10824</t>
  </si>
  <si>
    <t>06-23-2025</t>
  </si>
  <si>
    <t>ORD10825</t>
  </si>
  <si>
    <t>06-24-2025</t>
  </si>
  <si>
    <t>ORD10826</t>
  </si>
  <si>
    <t>ORD10827</t>
  </si>
  <si>
    <t>ORD10828</t>
  </si>
  <si>
    <t>2025-12-25</t>
  </si>
  <si>
    <t>ORD10829</t>
  </si>
  <si>
    <t>01-23-2026</t>
  </si>
  <si>
    <t>₦265,275</t>
  </si>
  <si>
    <t>ORD10830</t>
  </si>
  <si>
    <t>2026-01-17</t>
  </si>
  <si>
    <t>ORD10831</t>
  </si>
  <si>
    <t>ORD10832</t>
  </si>
  <si>
    <t>ORD10833</t>
  </si>
  <si>
    <t>2025-04-11</t>
  </si>
  <si>
    <t>ORD10834</t>
  </si>
  <si>
    <t>ORD10835</t>
  </si>
  <si>
    <t>22/02/2026</t>
  </si>
  <si>
    <t>ORD10836</t>
  </si>
  <si>
    <t>01/02/2025</t>
  </si>
  <si>
    <t>ORD10837</t>
  </si>
  <si>
    <t>2026-04-24</t>
  </si>
  <si>
    <t>ORD10838</t>
  </si>
  <si>
    <t>22/03/2026</t>
  </si>
  <si>
    <t>ORD10839</t>
  </si>
  <si>
    <t>09/07/2025</t>
  </si>
  <si>
    <t>ORD10840</t>
  </si>
  <si>
    <t>ORD10841</t>
  </si>
  <si>
    <t>ORD10842</t>
  </si>
  <si>
    <t>ORD10843</t>
  </si>
  <si>
    <t>12-12-2025</t>
  </si>
  <si>
    <t>ORD10844</t>
  </si>
  <si>
    <t>ORD10845</t>
  </si>
  <si>
    <t>ORD10846</t>
  </si>
  <si>
    <t>2025-10-14</t>
  </si>
  <si>
    <t>ORD10847</t>
  </si>
  <si>
    <t>ORD10848</t>
  </si>
  <si>
    <t>05-19-2026</t>
  </si>
  <si>
    <t>ORD10849</t>
  </si>
  <si>
    <t>ORD10850</t>
  </si>
  <si>
    <t>ORD10851</t>
  </si>
  <si>
    <t>ORD10852</t>
  </si>
  <si>
    <t>20/03/2026</t>
  </si>
  <si>
    <t>ORD10853</t>
  </si>
  <si>
    <t>2025-02-27</t>
  </si>
  <si>
    <t>ORD10854</t>
  </si>
  <si>
    <t>2026-03-22</t>
  </si>
  <si>
    <t>ORD10855</t>
  </si>
  <si>
    <t>29/12/2025</t>
  </si>
  <si>
    <t>ORD10856</t>
  </si>
  <si>
    <t>18/02/2025</t>
  </si>
  <si>
    <t>ORD10857</t>
  </si>
  <si>
    <t>17/02/2025</t>
  </si>
  <si>
    <t>ORD10858</t>
  </si>
  <si>
    <t>ORD10859</t>
  </si>
  <si>
    <t>11/06/2026</t>
  </si>
  <si>
    <t>ORD10860</t>
  </si>
  <si>
    <t>ORD10861</t>
  </si>
  <si>
    <t>ORD10862</t>
  </si>
  <si>
    <t>ORD10863</t>
  </si>
  <si>
    <t>19/01/2025</t>
  </si>
  <si>
    <t>ORD10864</t>
  </si>
  <si>
    <t>19/11/2025</t>
  </si>
  <si>
    <t>ORD10865</t>
  </si>
  <si>
    <t>ORD10866</t>
  </si>
  <si>
    <t>ORD10867</t>
  </si>
  <si>
    <t>ORD10868</t>
  </si>
  <si>
    <t>ORD10869</t>
  </si>
  <si>
    <t>01/06/2025</t>
  </si>
  <si>
    <t>ORD10870</t>
  </si>
  <si>
    <t>ORD10871</t>
  </si>
  <si>
    <t>ORD10872</t>
  </si>
  <si>
    <t>ORD10873</t>
  </si>
  <si>
    <t>ORD10874</t>
  </si>
  <si>
    <t>01-18-2026</t>
  </si>
  <si>
    <t>ORD10875</t>
  </si>
  <si>
    <t>2026-06-16</t>
  </si>
  <si>
    <t>ORD10876</t>
  </si>
  <si>
    <t>ORD10877</t>
  </si>
  <si>
    <t>ORD10878</t>
  </si>
  <si>
    <t>2025-08-30</t>
  </si>
  <si>
    <t>ORD10879</t>
  </si>
  <si>
    <t>20/02/2025</t>
  </si>
  <si>
    <t>ORD10880</t>
  </si>
  <si>
    <t>19/03/2026</t>
  </si>
  <si>
    <t>ORD10881</t>
  </si>
  <si>
    <t>ORD10882</t>
  </si>
  <si>
    <t>ORD10883</t>
  </si>
  <si>
    <t>ORD10884</t>
  </si>
  <si>
    <t>30/04/2025</t>
  </si>
  <si>
    <t>ORD10885</t>
  </si>
  <si>
    <t>ORD10886</t>
  </si>
  <si>
    <t>03/06/2025</t>
  </si>
  <si>
    <t>ORD10887</t>
  </si>
  <si>
    <t>ORD10888</t>
  </si>
  <si>
    <t>11/01/2026</t>
  </si>
  <si>
    <t>ORD10889</t>
  </si>
  <si>
    <t>ORD10890</t>
  </si>
  <si>
    <t>04-24-2025</t>
  </si>
  <si>
    <t>ORD10891</t>
  </si>
  <si>
    <t>ORD10892</t>
  </si>
  <si>
    <t>27/05/2025</t>
  </si>
  <si>
    <t>ORD10893</t>
  </si>
  <si>
    <t>ORD10894</t>
  </si>
  <si>
    <t>2025-10-22</t>
  </si>
  <si>
    <t>ORD10895</t>
  </si>
  <si>
    <t>ORD10896</t>
  </si>
  <si>
    <t>ORD10897</t>
  </si>
  <si>
    <t>ORD10898</t>
  </si>
  <si>
    <t>29/01/2026</t>
  </si>
  <si>
    <t>ORD10899</t>
  </si>
  <si>
    <t>05-02-2026</t>
  </si>
  <si>
    <t>ORD10900</t>
  </si>
  <si>
    <t>ORD10901</t>
  </si>
  <si>
    <t>ORD10902</t>
  </si>
  <si>
    <t>ORD10903</t>
  </si>
  <si>
    <t>ORD10904</t>
  </si>
  <si>
    <t>04-29-2026</t>
  </si>
  <si>
    <t>ORD10905</t>
  </si>
  <si>
    <t>ORD10906</t>
  </si>
  <si>
    <t>20/08/2025</t>
  </si>
  <si>
    <t>ORD10907</t>
  </si>
  <si>
    <t>ORD10908</t>
  </si>
  <si>
    <t>25/09/2025</t>
  </si>
  <si>
    <t>ORD10909</t>
  </si>
  <si>
    <t>ORD10910</t>
  </si>
  <si>
    <t>2026-03-05</t>
  </si>
  <si>
    <t>ORD10911</t>
  </si>
  <si>
    <t>2025-06-06</t>
  </si>
  <si>
    <t>ORD10912</t>
  </si>
  <si>
    <t>2025-06-13</t>
  </si>
  <si>
    <t>ORD10913</t>
  </si>
  <si>
    <t>ORD10914</t>
  </si>
  <si>
    <t>ORD10915</t>
  </si>
  <si>
    <t>ORD10916</t>
  </si>
  <si>
    <t>2025-03-02</t>
  </si>
  <si>
    <t>ORD10917</t>
  </si>
  <si>
    <t>ORD10918</t>
  </si>
  <si>
    <t>ORD10919</t>
  </si>
  <si>
    <t>₦201,600</t>
  </si>
  <si>
    <t>ORD10920</t>
  </si>
  <si>
    <t>ORD10921</t>
  </si>
  <si>
    <t>ORD10922</t>
  </si>
  <si>
    <t>ORD10923</t>
  </si>
  <si>
    <t>ORD10924</t>
  </si>
  <si>
    <t>ORD10925</t>
  </si>
  <si>
    <t>ORD10926</t>
  </si>
  <si>
    <t>ORD10927</t>
  </si>
  <si>
    <t>ORD10928</t>
  </si>
  <si>
    <t>ORD10929</t>
  </si>
  <si>
    <t>02-18-2026</t>
  </si>
  <si>
    <t>ORD10930</t>
  </si>
  <si>
    <t>31/01/2025</t>
  </si>
  <si>
    <t>ORD10931</t>
  </si>
  <si>
    <t>ORD10932</t>
  </si>
  <si>
    <t>ORD10933</t>
  </si>
  <si>
    <t>09-09-2025</t>
  </si>
  <si>
    <t>ORD10934</t>
  </si>
  <si>
    <t>06/04/2026</t>
  </si>
  <si>
    <t>ORD10935</t>
  </si>
  <si>
    <t>ORD10936</t>
  </si>
  <si>
    <t>ORD10937</t>
  </si>
  <si>
    <t>2026-06-21</t>
  </si>
  <si>
    <t>ORD10938</t>
  </si>
  <si>
    <t>ORD10939</t>
  </si>
  <si>
    <t>ORD10940</t>
  </si>
  <si>
    <t>12/01/2026</t>
  </si>
  <si>
    <t>ORD10941</t>
  </si>
  <si>
    <t>11-04-2025</t>
  </si>
  <si>
    <t>ORD10942</t>
  </si>
  <si>
    <t>ORD10943</t>
  </si>
  <si>
    <t>2025-02-11</t>
  </si>
  <si>
    <t>ORD10944</t>
  </si>
  <si>
    <t>ORD10945</t>
  </si>
  <si>
    <t>10-15-2025</t>
  </si>
  <si>
    <t>ORD10946</t>
  </si>
  <si>
    <t>2025-11-26</t>
  </si>
  <si>
    <t>ORD10947</t>
  </si>
  <si>
    <t>ORD10948</t>
  </si>
  <si>
    <t>28/05/2025</t>
  </si>
  <si>
    <t>ORD10949</t>
  </si>
  <si>
    <t>2026-04-10</t>
  </si>
  <si>
    <t>ORD10950</t>
  </si>
  <si>
    <t>2025-03-06</t>
  </si>
  <si>
    <t>ORD10951</t>
  </si>
  <si>
    <t>07/05/2025</t>
  </si>
  <si>
    <t>ORD10952</t>
  </si>
  <si>
    <t>05-07-2026</t>
  </si>
  <si>
    <t>ORD10953</t>
  </si>
  <si>
    <t>ORD10954</t>
  </si>
  <si>
    <t>ORD10955</t>
  </si>
  <si>
    <t>ORD10956</t>
  </si>
  <si>
    <t>ORD10957</t>
  </si>
  <si>
    <t>16/12/2025</t>
  </si>
  <si>
    <t>ORD10958</t>
  </si>
  <si>
    <t>30/06/2025</t>
  </si>
  <si>
    <t>ORD10959</t>
  </si>
  <si>
    <t>10-31-2025</t>
  </si>
  <si>
    <t>ORD10960</t>
  </si>
  <si>
    <t>2025-03-11</t>
  </si>
  <si>
    <t>ORD10961</t>
  </si>
  <si>
    <t>02-04-2025</t>
  </si>
  <si>
    <t>ORD10962</t>
  </si>
  <si>
    <t>ORD10963</t>
  </si>
  <si>
    <t>03-07-2025</t>
  </si>
  <si>
    <t>ORD10964</t>
  </si>
  <si>
    <t>08-10-2025</t>
  </si>
  <si>
    <t>ORD10965</t>
  </si>
  <si>
    <t>06-05-2025</t>
  </si>
  <si>
    <t>ORD10966</t>
  </si>
  <si>
    <t>ORD10967</t>
  </si>
  <si>
    <t>ORD10968</t>
  </si>
  <si>
    <t>18/09/2025</t>
  </si>
  <si>
    <t>ORD10969</t>
  </si>
  <si>
    <t>₦151,300</t>
  </si>
  <si>
    <t>ORD10970</t>
  </si>
  <si>
    <t>2025-04-04</t>
  </si>
  <si>
    <t>ORD10971</t>
  </si>
  <si>
    <t>ORD10972</t>
  </si>
  <si>
    <t>ORD10973</t>
  </si>
  <si>
    <t>2025-01-30</t>
  </si>
  <si>
    <t>ORD10974</t>
  </si>
  <si>
    <t>ORD10975</t>
  </si>
  <si>
    <t>01-06-2025</t>
  </si>
  <si>
    <t>ORD10976</t>
  </si>
  <si>
    <t>ORD10977</t>
  </si>
  <si>
    <t>26/05/2025</t>
  </si>
  <si>
    <t>ORD10978</t>
  </si>
  <si>
    <t>2025-03-03</t>
  </si>
  <si>
    <t>ORD10979</t>
  </si>
  <si>
    <t>ORD10980</t>
  </si>
  <si>
    <t>2025-07-06</t>
  </si>
  <si>
    <t>ORD10981</t>
  </si>
  <si>
    <t>ORD10982</t>
  </si>
  <si>
    <t>ORD10983</t>
  </si>
  <si>
    <t>02-13-2025</t>
  </si>
  <si>
    <t>₦108,400</t>
  </si>
  <si>
    <t>ORD10984</t>
  </si>
  <si>
    <t>14/08/2025</t>
  </si>
  <si>
    <t>ORD10985</t>
  </si>
  <si>
    <t>ORD10986</t>
  </si>
  <si>
    <t>ORD10987</t>
  </si>
  <si>
    <t>ORD10988</t>
  </si>
  <si>
    <t>08-09-2025</t>
  </si>
  <si>
    <t>ORD10989</t>
  </si>
  <si>
    <t>ORD10990</t>
  </si>
  <si>
    <t>2026-01-30</t>
  </si>
  <si>
    <t>ORD10991</t>
  </si>
  <si>
    <t>10-19-2025</t>
  </si>
  <si>
    <t>ORD10992</t>
  </si>
  <si>
    <t>08-11-2025</t>
  </si>
  <si>
    <t>ORD10993</t>
  </si>
  <si>
    <t>03/01/2025</t>
  </si>
  <si>
    <t>ORD10994</t>
  </si>
  <si>
    <t>ORD10995</t>
  </si>
  <si>
    <t>2025-04-09</t>
  </si>
  <si>
    <t>ORD10996</t>
  </si>
  <si>
    <t>2025-02-17</t>
  </si>
  <si>
    <t>ORD10997</t>
  </si>
  <si>
    <t>07-25-2025</t>
  </si>
  <si>
    <t>ORD10998</t>
  </si>
  <si>
    <t>ORD10999</t>
  </si>
  <si>
    <t>ORD11000</t>
  </si>
  <si>
    <t>03/08/2025</t>
  </si>
  <si>
    <t>ORD11001</t>
  </si>
  <si>
    <t>ORD11002</t>
  </si>
  <si>
    <t>04-04-2026</t>
  </si>
  <si>
    <t>ORD11003</t>
  </si>
  <si>
    <t>ORD11004</t>
  </si>
  <si>
    <t>ORD11005</t>
  </si>
  <si>
    <t>ORD11006</t>
  </si>
  <si>
    <t>01-14-2025</t>
  </si>
  <si>
    <t>ORD11007</t>
  </si>
  <si>
    <t>ORD11008</t>
  </si>
  <si>
    <t>2025-11-21</t>
  </si>
  <si>
    <t>ORD11009</t>
  </si>
  <si>
    <t>ORD11010</t>
  </si>
  <si>
    <t>₦46,740</t>
  </si>
  <si>
    <t>ORD11011</t>
  </si>
  <si>
    <t>10-02-2025</t>
  </si>
  <si>
    <t>ORD11012</t>
  </si>
  <si>
    <t>ORD11013</t>
  </si>
  <si>
    <t>2025-02-13</t>
  </si>
  <si>
    <t>ORD11014</t>
  </si>
  <si>
    <t>09-26-2025</t>
  </si>
  <si>
    <t>ORD11015</t>
  </si>
  <si>
    <t>27/08/2025</t>
  </si>
  <si>
    <t>ORD11016</t>
  </si>
  <si>
    <t>ORD11017</t>
  </si>
  <si>
    <t>ORD11018</t>
  </si>
  <si>
    <t>2025-08-29</t>
  </si>
  <si>
    <t>ORD11019</t>
  </si>
  <si>
    <t>12-10-2025</t>
  </si>
  <si>
    <t>ORD11020</t>
  </si>
  <si>
    <t>24/06/2026</t>
  </si>
  <si>
    <t>ORD11021</t>
  </si>
  <si>
    <t>02-05-2025</t>
  </si>
  <si>
    <t>ORD11022</t>
  </si>
  <si>
    <t>ORD11023</t>
  </si>
  <si>
    <t>ORD11024</t>
  </si>
  <si>
    <t>ORD11025</t>
  </si>
  <si>
    <t>18/05/2026</t>
  </si>
  <si>
    <t>ORD11026</t>
  </si>
  <si>
    <t>19/07/2025</t>
  </si>
  <si>
    <t>ORD11027</t>
  </si>
  <si>
    <t>2025-02-02</t>
  </si>
  <si>
    <t>ORD11028</t>
  </si>
  <si>
    <t>02/05/2025</t>
  </si>
  <si>
    <t>ORD11029</t>
  </si>
  <si>
    <t>ORD11030</t>
  </si>
  <si>
    <t>ORD11031</t>
  </si>
  <si>
    <t>04-15-2025</t>
  </si>
  <si>
    <t>ORD11032</t>
  </si>
  <si>
    <t>12-17-2025</t>
  </si>
  <si>
    <t>ORD11033</t>
  </si>
  <si>
    <t>12/01/2025</t>
  </si>
  <si>
    <t>ORD11034</t>
  </si>
  <si>
    <t>ORD11035</t>
  </si>
  <si>
    <t>ORD11036</t>
  </si>
  <si>
    <t>ORD11037</t>
  </si>
  <si>
    <t>ORD11038</t>
  </si>
  <si>
    <t>ORD11039</t>
  </si>
  <si>
    <t>10-01-2025</t>
  </si>
  <si>
    <t>ORD11040</t>
  </si>
  <si>
    <t>2025-10-17</t>
  </si>
  <si>
    <t>ORD11041</t>
  </si>
  <si>
    <t>ORD11042</t>
  </si>
  <si>
    <t>ORD11043</t>
  </si>
  <si>
    <t>ORD11044</t>
  </si>
  <si>
    <t>ORD11045</t>
  </si>
  <si>
    <t>25/05/2025</t>
  </si>
  <si>
    <t>ORD11046</t>
  </si>
  <si>
    <t>2026-05-12</t>
  </si>
  <si>
    <t>ORD11047</t>
  </si>
  <si>
    <t>ORD11048</t>
  </si>
  <si>
    <t>ORD11049</t>
  </si>
  <si>
    <t>ORD11050</t>
  </si>
  <si>
    <t>ORD11051</t>
  </si>
  <si>
    <t>2025-06-12</t>
  </si>
  <si>
    <t>₦28,500</t>
  </si>
  <si>
    <t>ORD11052</t>
  </si>
  <si>
    <t>ORD11053</t>
  </si>
  <si>
    <t>05/04/2026</t>
  </si>
  <si>
    <t>ORD11054</t>
  </si>
  <si>
    <t>03-27-2025</t>
  </si>
  <si>
    <t>ORD11055</t>
  </si>
  <si>
    <t>ORD11056</t>
  </si>
  <si>
    <t>01-02-2025</t>
  </si>
  <si>
    <t>ORD11057</t>
  </si>
  <si>
    <t>ORD11058</t>
  </si>
  <si>
    <t>ORD11059</t>
  </si>
  <si>
    <t>ORD11060</t>
  </si>
  <si>
    <t>04-21-2025</t>
  </si>
  <si>
    <t>ORD11061</t>
  </si>
  <si>
    <t>02/02/2026</t>
  </si>
  <si>
    <t>ORD11062</t>
  </si>
  <si>
    <t>09-11-2025</t>
  </si>
  <si>
    <t>ORD11063</t>
  </si>
  <si>
    <t>01-19-2025</t>
  </si>
  <si>
    <t>ORD11064</t>
  </si>
  <si>
    <t>ORD11065</t>
  </si>
  <si>
    <t>ORD11066</t>
  </si>
  <si>
    <t>ORD11067</t>
  </si>
  <si>
    <t>ORD11068</t>
  </si>
  <si>
    <t>ORD11069</t>
  </si>
  <si>
    <t>ORD11070</t>
  </si>
  <si>
    <t>ORD11071</t>
  </si>
  <si>
    <t>25/12/2025</t>
  </si>
  <si>
    <t>ORD11072</t>
  </si>
  <si>
    <t>23/05/2026</t>
  </si>
  <si>
    <t>ORD11073</t>
  </si>
  <si>
    <t>ORD11074</t>
  </si>
  <si>
    <t>12-30-2025</t>
  </si>
  <si>
    <t>ORD11075</t>
  </si>
  <si>
    <t>ORD11076</t>
  </si>
  <si>
    <t>02-04-2026</t>
  </si>
  <si>
    <t>ORD11077</t>
  </si>
  <si>
    <t>2025-04-22</t>
  </si>
  <si>
    <t>ORD11078</t>
  </si>
  <si>
    <t>2025-08-04</t>
  </si>
  <si>
    <t>ORD11079</t>
  </si>
  <si>
    <t>ORD11080</t>
  </si>
  <si>
    <t>07/07/2025</t>
  </si>
  <si>
    <t>ORD11081</t>
  </si>
  <si>
    <t>2025-11-20</t>
  </si>
  <si>
    <t>ORD11082</t>
  </si>
  <si>
    <t>ORD11083</t>
  </si>
  <si>
    <t>ORD11084</t>
  </si>
  <si>
    <t>ORD11085</t>
  </si>
  <si>
    <t>27/03/2025</t>
  </si>
  <si>
    <t>ORD11086</t>
  </si>
  <si>
    <t>2026-06-20</t>
  </si>
  <si>
    <t>ORD11087</t>
  </si>
  <si>
    <t>ORD11088</t>
  </si>
  <si>
    <t>03-06-2026</t>
  </si>
  <si>
    <t>ORD11089</t>
  </si>
  <si>
    <t>ORD11090</t>
  </si>
  <si>
    <t>ORD11091</t>
  </si>
  <si>
    <t>₦72,000</t>
  </si>
  <si>
    <t>ORD11092</t>
  </si>
  <si>
    <t>2026-03-14</t>
  </si>
  <si>
    <t>ORD11093</t>
  </si>
  <si>
    <t>ORD11094</t>
  </si>
  <si>
    <t>ORD11095</t>
  </si>
  <si>
    <t>03/04/2026</t>
  </si>
  <si>
    <t>ORD11096</t>
  </si>
  <si>
    <t>ORD11097</t>
  </si>
  <si>
    <t>02-25-2025</t>
  </si>
  <si>
    <t>ORD11098</t>
  </si>
  <si>
    <t>ORD11099</t>
  </si>
  <si>
    <t>ORD11100</t>
  </si>
  <si>
    <t>ORD11101</t>
  </si>
  <si>
    <t>ORD11102</t>
  </si>
  <si>
    <t>ORD11103</t>
  </si>
  <si>
    <t>06-09-2026</t>
  </si>
  <si>
    <t>ORD11104</t>
  </si>
  <si>
    <t>ORD11105</t>
  </si>
  <si>
    <t>2026-03-09</t>
  </si>
  <si>
    <t>ORD11106</t>
  </si>
  <si>
    <t>ORD11107</t>
  </si>
  <si>
    <t>ORD11108</t>
  </si>
  <si>
    <t>2026-01-07</t>
  </si>
  <si>
    <t>ORD11109</t>
  </si>
  <si>
    <t>10-28-2025</t>
  </si>
  <si>
    <t>ORD11110</t>
  </si>
  <si>
    <t>ORD11111</t>
  </si>
  <si>
    <t>17/05/2025</t>
  </si>
  <si>
    <t>ORD11112</t>
  </si>
  <si>
    <t>15/07/2025</t>
  </si>
  <si>
    <t>ORD11113</t>
  </si>
  <si>
    <t>ORD11114</t>
  </si>
  <si>
    <t>ORD11115</t>
  </si>
  <si>
    <t>11-08-2025</t>
  </si>
  <si>
    <t>ORD11116</t>
  </si>
  <si>
    <t>2026-03-15</t>
  </si>
  <si>
    <t>ORD11117</t>
  </si>
  <si>
    <t>ORD11118</t>
  </si>
  <si>
    <t>02-27-2025</t>
  </si>
  <si>
    <t>ORD11119</t>
  </si>
  <si>
    <t>01-18-2025</t>
  </si>
  <si>
    <t>ORD11120</t>
  </si>
  <si>
    <t>06-18-2025</t>
  </si>
  <si>
    <t>ORD11121</t>
  </si>
  <si>
    <t>12/06/2026</t>
  </si>
  <si>
    <t>ORD11122</t>
  </si>
  <si>
    <t>2025-12-11</t>
  </si>
  <si>
    <t>ORD11123</t>
  </si>
  <si>
    <t>ORD11124</t>
  </si>
  <si>
    <t>2025-06-18</t>
  </si>
  <si>
    <t>ORD11125</t>
  </si>
  <si>
    <t>ORD11126</t>
  </si>
  <si>
    <t>ORD11127</t>
  </si>
  <si>
    <t>05-13-2026</t>
  </si>
  <si>
    <t>ORD11128</t>
  </si>
  <si>
    <t>ORD11129</t>
  </si>
  <si>
    <t>21/03/2025</t>
  </si>
  <si>
    <t>ORD11130</t>
  </si>
  <si>
    <t>07-10-2025</t>
  </si>
  <si>
    <t>ORD11131</t>
  </si>
  <si>
    <t>11-25-2025</t>
  </si>
  <si>
    <t>ORD11132</t>
  </si>
  <si>
    <t>ORD11133</t>
  </si>
  <si>
    <t>03-02-2025</t>
  </si>
  <si>
    <t>ORD11134</t>
  </si>
  <si>
    <t>ORD11135</t>
  </si>
  <si>
    <t>ORD11136</t>
  </si>
  <si>
    <t>2026-01-29</t>
  </si>
  <si>
    <t>ORD11137</t>
  </si>
  <si>
    <t>2025-04-08</t>
  </si>
  <si>
    <t>ORD11138</t>
  </si>
  <si>
    <t>2025-03-23</t>
  </si>
  <si>
    <t>ORD11139</t>
  </si>
  <si>
    <t>ORD11140</t>
  </si>
  <si>
    <t>ORD11141</t>
  </si>
  <si>
    <t>08/07/2025</t>
  </si>
  <si>
    <t>ORD11142</t>
  </si>
  <si>
    <t>ORD11143</t>
  </si>
  <si>
    <t>ORD11144</t>
  </si>
  <si>
    <t>ORD11145</t>
  </si>
  <si>
    <t>ORD11146</t>
  </si>
  <si>
    <t>ORD11147</t>
  </si>
  <si>
    <t>ORD11148</t>
  </si>
  <si>
    <t>2025-11-25</t>
  </si>
  <si>
    <t>ORD11149</t>
  </si>
  <si>
    <t>21/05/2025</t>
  </si>
  <si>
    <t>ORD11150</t>
  </si>
  <si>
    <t>27/01/2025</t>
  </si>
  <si>
    <t>ORD11151</t>
  </si>
  <si>
    <t>ORD11152</t>
  </si>
  <si>
    <t>ORD11153</t>
  </si>
  <si>
    <t>ORD11154</t>
  </si>
  <si>
    <t>2025-01-15</t>
  </si>
  <si>
    <t>ORD11155</t>
  </si>
  <si>
    <t>ORD11156</t>
  </si>
  <si>
    <t>2025-01-01</t>
  </si>
  <si>
    <t>ORD11157</t>
  </si>
  <si>
    <t>2026-03-04</t>
  </si>
  <si>
    <t>ORD11158</t>
  </si>
  <si>
    <t>17/06/2026</t>
  </si>
  <si>
    <t>ORD11159</t>
  </si>
  <si>
    <t>ORD11160</t>
  </si>
  <si>
    <t>ORD11161</t>
  </si>
  <si>
    <t>30/04/2026</t>
  </si>
  <si>
    <t>ORD11162</t>
  </si>
  <si>
    <t>24/05/2026</t>
  </si>
  <si>
    <t>ORD11163</t>
  </si>
  <si>
    <t>ORD11164</t>
  </si>
  <si>
    <t>ORD11165</t>
  </si>
  <si>
    <t>ORD11166</t>
  </si>
  <si>
    <t>ORD11167</t>
  </si>
  <si>
    <t>₦253,260</t>
  </si>
  <si>
    <t>ORD11168</t>
  </si>
  <si>
    <t>16/05/2026</t>
  </si>
  <si>
    <t>ORD11169</t>
  </si>
  <si>
    <t>ORD11170</t>
  </si>
  <si>
    <t>09/03/2026</t>
  </si>
  <si>
    <t>ORD11171</t>
  </si>
  <si>
    <t>02-10-2026</t>
  </si>
  <si>
    <t>ORD11172</t>
  </si>
  <si>
    <t>04/06/2026</t>
  </si>
  <si>
    <t>ORD11173</t>
  </si>
  <si>
    <t>03-30-2026</t>
  </si>
  <si>
    <t>ORD11174</t>
  </si>
  <si>
    <t>2025-04-26</t>
  </si>
  <si>
    <t>ORD11175</t>
  </si>
  <si>
    <t>2026-02-13</t>
  </si>
  <si>
    <t>ORD11176</t>
  </si>
  <si>
    <t>2025-10-02</t>
  </si>
  <si>
    <t>ORD11177</t>
  </si>
  <si>
    <t>ORD11178</t>
  </si>
  <si>
    <t>2026-05-04</t>
  </si>
  <si>
    <t>ORD11179</t>
  </si>
  <si>
    <t>05-30-2026</t>
  </si>
  <si>
    <t>ORD11180</t>
  </si>
  <si>
    <t>ORD11181</t>
  </si>
  <si>
    <t>2026-06-10</t>
  </si>
  <si>
    <t>ORD11182</t>
  </si>
  <si>
    <t>07/03/2025</t>
  </si>
  <si>
    <t>ORD11183</t>
  </si>
  <si>
    <t>2025-02-16</t>
  </si>
  <si>
    <t>ORD11184</t>
  </si>
  <si>
    <t>2025-08-26</t>
  </si>
  <si>
    <t>ORD11185</t>
  </si>
  <si>
    <t>ORD11186</t>
  </si>
  <si>
    <t>03-18-2025</t>
  </si>
  <si>
    <t>ORD11187</t>
  </si>
  <si>
    <t>2026-02-18</t>
  </si>
  <si>
    <t>ORD11188</t>
  </si>
  <si>
    <t>10-18-2025</t>
  </si>
  <si>
    <t>ORD11189</t>
  </si>
  <si>
    <t>ORD11190</t>
  </si>
  <si>
    <t>10-12-2025</t>
  </si>
  <si>
    <t>ORD11191</t>
  </si>
  <si>
    <t>ORD11192</t>
  </si>
  <si>
    <t>03-16-2026</t>
  </si>
  <si>
    <t>ORD11193</t>
  </si>
  <si>
    <t>ORD11194</t>
  </si>
  <si>
    <t>ORD11195</t>
  </si>
  <si>
    <t>ORD11196</t>
  </si>
  <si>
    <t>ORD11197</t>
  </si>
  <si>
    <t>ORD11198</t>
  </si>
  <si>
    <t>11-26-2025</t>
  </si>
  <si>
    <t>ORD11199</t>
  </si>
  <si>
    <t>ORD11200</t>
  </si>
  <si>
    <t>ORD11201</t>
  </si>
  <si>
    <t>2025-09-17</t>
  </si>
  <si>
    <t>ORD11202</t>
  </si>
  <si>
    <t>19/06/2026</t>
  </si>
  <si>
    <t>ORD11203</t>
  </si>
  <si>
    <t>2026-03-08</t>
  </si>
  <si>
    <t>ORD11204</t>
  </si>
  <si>
    <t>ORD11205</t>
  </si>
  <si>
    <t>03-22-2025</t>
  </si>
  <si>
    <t>ORD11206</t>
  </si>
  <si>
    <t>₦14,760</t>
  </si>
  <si>
    <t>ORD11207</t>
  </si>
  <si>
    <t>ORD11208</t>
  </si>
  <si>
    <t>ORD11209</t>
  </si>
  <si>
    <t>2026-02-27</t>
  </si>
  <si>
    <t>ORD11210</t>
  </si>
  <si>
    <t>ORD11211</t>
  </si>
  <si>
    <t>ORD11212</t>
  </si>
  <si>
    <t>13/10/2025</t>
  </si>
  <si>
    <t>ORD11213</t>
  </si>
  <si>
    <t>26/09/2025</t>
  </si>
  <si>
    <t>ORD11214</t>
  </si>
  <si>
    <t>ORD11215</t>
  </si>
  <si>
    <t>ORD11216</t>
  </si>
  <si>
    <t>04-27-2025</t>
  </si>
  <si>
    <t>ORD11217</t>
  </si>
  <si>
    <t>ORD11218</t>
  </si>
  <si>
    <t>31/10/2025</t>
  </si>
  <si>
    <t>ORD11219</t>
  </si>
  <si>
    <t>ORD11220</t>
  </si>
  <si>
    <t>09/04/2026</t>
  </si>
  <si>
    <t>ORD11221</t>
  </si>
  <si>
    <t>ORD11222</t>
  </si>
  <si>
    <t>22/01/2025</t>
  </si>
  <si>
    <t>ORD11223</t>
  </si>
  <si>
    <t>ORD11224</t>
  </si>
  <si>
    <t>2026-01-25</t>
  </si>
  <si>
    <t>ORD11225</t>
  </si>
  <si>
    <t>01-12-2026</t>
  </si>
  <si>
    <t>ORD11226</t>
  </si>
  <si>
    <t>07-31-2025</t>
  </si>
  <si>
    <t>ORD11227</t>
  </si>
  <si>
    <t>ORD11228</t>
  </si>
  <si>
    <t>2025-08-25</t>
  </si>
  <si>
    <t>ORD11229</t>
  </si>
  <si>
    <t>ORD11230</t>
  </si>
  <si>
    <t>ORD11231</t>
  </si>
  <si>
    <t>ORD11232</t>
  </si>
  <si>
    <t>ORD11233</t>
  </si>
  <si>
    <t>2025-10-23</t>
  </si>
  <si>
    <t>ORD11234</t>
  </si>
  <si>
    <t>ORD11235</t>
  </si>
  <si>
    <t>ORD11236</t>
  </si>
  <si>
    <t>04-01-2025</t>
  </si>
  <si>
    <t>ORD11237</t>
  </si>
  <si>
    <t>ORD11238</t>
  </si>
  <si>
    <t>ORD11239</t>
  </si>
  <si>
    <t>2026-04-15</t>
  </si>
  <si>
    <t>ORD11240</t>
  </si>
  <si>
    <t>2025-03-17</t>
  </si>
  <si>
    <t>ORD11241</t>
  </si>
  <si>
    <t>ORD11242</t>
  </si>
  <si>
    <t>2026-04-30</t>
  </si>
  <si>
    <t>ORD11243</t>
  </si>
  <si>
    <t>08/05/2026</t>
  </si>
  <si>
    <t>ORD11244</t>
  </si>
  <si>
    <t>2025-09-09</t>
  </si>
  <si>
    <t>ORD11245</t>
  </si>
  <si>
    <t>2025-09-02</t>
  </si>
  <si>
    <t>ORD11246</t>
  </si>
  <si>
    <t>ORD11247</t>
  </si>
  <si>
    <t>2025-12-20</t>
  </si>
  <si>
    <t>ORD11248</t>
  </si>
  <si>
    <t>12/12/2025</t>
  </si>
  <si>
    <t>ORD11249</t>
  </si>
  <si>
    <t>2026-05-08</t>
  </si>
  <si>
    <t>ORD11250</t>
  </si>
  <si>
    <t>09-19-2025</t>
  </si>
  <si>
    <t>ORD11251</t>
  </si>
  <si>
    <t>ORD11252</t>
  </si>
  <si>
    <t>ORD11253</t>
  </si>
  <si>
    <t>07/09/2025</t>
  </si>
  <si>
    <t>ORD11254</t>
  </si>
  <si>
    <t>ORD11255</t>
  </si>
  <si>
    <t>ORD11256</t>
  </si>
  <si>
    <t>ORD11257</t>
  </si>
  <si>
    <t>04-01-2026</t>
  </si>
  <si>
    <t>ORD11258</t>
  </si>
  <si>
    <t>ORD11259</t>
  </si>
  <si>
    <t>ORD11260</t>
  </si>
  <si>
    <t>ORD11261</t>
  </si>
  <si>
    <t>13/01/2026</t>
  </si>
  <si>
    <t>ORD11262</t>
  </si>
  <si>
    <t>ORD11263</t>
  </si>
  <si>
    <t>2025-10-10</t>
  </si>
  <si>
    <t>ORD11264</t>
  </si>
  <si>
    <t>07-18-2025</t>
  </si>
  <si>
    <t>ORD11265</t>
  </si>
  <si>
    <t>ORD11266</t>
  </si>
  <si>
    <t>ORD11267</t>
  </si>
  <si>
    <t>01-10-2025</t>
  </si>
  <si>
    <t>ORD11268</t>
  </si>
  <si>
    <t>ORD11269</t>
  </si>
  <si>
    <t>ORD11270</t>
  </si>
  <si>
    <t>ORD11271</t>
  </si>
  <si>
    <t>01-28-2025</t>
  </si>
  <si>
    <t>ORD11272</t>
  </si>
  <si>
    <t>ORD11273</t>
  </si>
  <si>
    <t>2025-10-19</t>
  </si>
  <si>
    <t>ORD11274</t>
  </si>
  <si>
    <t>2026-05-16</t>
  </si>
  <si>
    <t>ORD11275</t>
  </si>
  <si>
    <t>ORD11276</t>
  </si>
  <si>
    <t>21/11/2025</t>
  </si>
  <si>
    <t>ORD11277</t>
  </si>
  <si>
    <t>03/01/2026</t>
  </si>
  <si>
    <t>ORD11278</t>
  </si>
  <si>
    <t>2025-07-30</t>
  </si>
  <si>
    <t>ORD11279</t>
  </si>
  <si>
    <t>14/01/2025</t>
  </si>
  <si>
    <t>ORD11280</t>
  </si>
  <si>
    <t>2025-06-21</t>
  </si>
  <si>
    <t>ORD11281</t>
  </si>
  <si>
    <t>₦123,120</t>
  </si>
  <si>
    <t>ORD11282</t>
  </si>
  <si>
    <t>12-28-2025</t>
  </si>
  <si>
    <t>₦393,300</t>
  </si>
  <si>
    <t>ORD11283</t>
  </si>
  <si>
    <t>01-10-2026</t>
  </si>
  <si>
    <t>ORD11284</t>
  </si>
  <si>
    <t>ORD11285</t>
  </si>
  <si>
    <t>28/11/2025</t>
  </si>
  <si>
    <t>ORD11286</t>
  </si>
  <si>
    <t>ORD11287</t>
  </si>
  <si>
    <t>ORD11288</t>
  </si>
  <si>
    <t>13/12/2025</t>
  </si>
  <si>
    <t>ORD11289</t>
  </si>
  <si>
    <t>ORD11290</t>
  </si>
  <si>
    <t>22/08/2025</t>
  </si>
  <si>
    <t>ORD11291</t>
  </si>
  <si>
    <t>ORD11292</t>
  </si>
  <si>
    <t>28/04/2025</t>
  </si>
  <si>
    <t>ORD11293</t>
  </si>
  <si>
    <t>2025-08-19</t>
  </si>
  <si>
    <t>ORD11294</t>
  </si>
  <si>
    <t>ORD11295</t>
  </si>
  <si>
    <t>09-10-2025</t>
  </si>
  <si>
    <t>ORD11296</t>
  </si>
  <si>
    <t>2025-11-08</t>
  </si>
  <si>
    <t>ORD11297</t>
  </si>
  <si>
    <t>2026-04-09</t>
  </si>
  <si>
    <t>ORD11298</t>
  </si>
  <si>
    <t>2025-01-19</t>
  </si>
  <si>
    <t>ORD11299</t>
  </si>
  <si>
    <t>19/02/2025</t>
  </si>
  <si>
    <t>ORD11300</t>
  </si>
  <si>
    <t>2025-05-11</t>
  </si>
  <si>
    <t>ORD11301</t>
  </si>
  <si>
    <t>ORD11302</t>
  </si>
  <si>
    <t>05-17-2026</t>
  </si>
  <si>
    <t>₦293,250</t>
  </si>
  <si>
    <t>ORD11303</t>
  </si>
  <si>
    <t>21/12/2025</t>
  </si>
  <si>
    <t>ORD11304</t>
  </si>
  <si>
    <t>ORD11305</t>
  </si>
  <si>
    <t>03-20-2025</t>
  </si>
  <si>
    <t>ORD11306</t>
  </si>
  <si>
    <t>09/06/2025</t>
  </si>
  <si>
    <t>₦190,080</t>
  </si>
  <si>
    <t>ORD11307</t>
  </si>
  <si>
    <t>ORD11308</t>
  </si>
  <si>
    <t>2026-04-20</t>
  </si>
  <si>
    <t>ORD11309</t>
  </si>
  <si>
    <t>05-29-2026</t>
  </si>
  <si>
    <t>ORD11310</t>
  </si>
  <si>
    <t>2025-04-21</t>
  </si>
  <si>
    <t>ORD11311</t>
  </si>
  <si>
    <t>ORD11312</t>
  </si>
  <si>
    <t>ORD11313</t>
  </si>
  <si>
    <t>02/12/2025</t>
  </si>
  <si>
    <t>ORD11314</t>
  </si>
  <si>
    <t>ORD11315</t>
  </si>
  <si>
    <t>27/10/2025</t>
  </si>
  <si>
    <t>ORD11316</t>
  </si>
  <si>
    <t>ORD11317</t>
  </si>
  <si>
    <t>ORD11318</t>
  </si>
  <si>
    <t>ORD11319</t>
  </si>
  <si>
    <t>10-23-2025</t>
  </si>
  <si>
    <t>ORD11320</t>
  </si>
  <si>
    <t>₦79,475</t>
  </si>
  <si>
    <t>ORD11321</t>
  </si>
  <si>
    <t>ORD11322</t>
  </si>
  <si>
    <t>2025-03-13</t>
  </si>
  <si>
    <t>ORD11323</t>
  </si>
  <si>
    <t>14/04/2026</t>
  </si>
  <si>
    <t>ORD11324</t>
  </si>
  <si>
    <t>10/01/2026</t>
  </si>
  <si>
    <t>ORD11325</t>
  </si>
  <si>
    <t>ORD11326</t>
  </si>
  <si>
    <t>ORD11327</t>
  </si>
  <si>
    <t>ORD11328</t>
  </si>
  <si>
    <t>ORD11329</t>
  </si>
  <si>
    <t>ORD11330</t>
  </si>
  <si>
    <t>2026-02-28</t>
  </si>
  <si>
    <t>ORD11331</t>
  </si>
  <si>
    <t>05/04/2025</t>
  </si>
  <si>
    <t>ORD11332</t>
  </si>
  <si>
    <t>ORD11333</t>
  </si>
  <si>
    <t>ORD11334</t>
  </si>
  <si>
    <t>ORD11335</t>
  </si>
  <si>
    <t>04-30-2025</t>
  </si>
  <si>
    <t>₦129,920</t>
  </si>
  <si>
    <t>ORD11336</t>
  </si>
  <si>
    <t>ORD11337</t>
  </si>
  <si>
    <t>12-15-2025</t>
  </si>
  <si>
    <t>ORD11338</t>
  </si>
  <si>
    <t>ORD11339</t>
  </si>
  <si>
    <t>ORD11340</t>
  </si>
  <si>
    <t>ORD11341</t>
  </si>
  <si>
    <t>ORD11342</t>
  </si>
  <si>
    <t>ORD11343</t>
  </si>
  <si>
    <t>ORD11344</t>
  </si>
  <si>
    <t>ORD11345</t>
  </si>
  <si>
    <t>ORD11346</t>
  </si>
  <si>
    <t>2025-01-27</t>
  </si>
  <si>
    <t>ORD11347</t>
  </si>
  <si>
    <t>₦191,400</t>
  </si>
  <si>
    <t>ORD11348</t>
  </si>
  <si>
    <t>ORD11349</t>
  </si>
  <si>
    <t>ORD11350</t>
  </si>
  <si>
    <t>ORD11351</t>
  </si>
  <si>
    <t>2025-05-28</t>
  </si>
  <si>
    <t>ORD11352</t>
  </si>
  <si>
    <t>2025-04-25</t>
  </si>
  <si>
    <t>ORD11353</t>
  </si>
  <si>
    <t>07/04/2026</t>
  </si>
  <si>
    <t>ORD11354</t>
  </si>
  <si>
    <t>12-26-2025</t>
  </si>
  <si>
    <t>ORD11355</t>
  </si>
  <si>
    <t>14/06/2025</t>
  </si>
  <si>
    <t>ORD11356</t>
  </si>
  <si>
    <t>ORD11357</t>
  </si>
  <si>
    <t>2025-01-04</t>
  </si>
  <si>
    <t>ORD11358</t>
  </si>
  <si>
    <t>ORD11359</t>
  </si>
  <si>
    <t>01-09-2025</t>
  </si>
  <si>
    <t>ORD11360</t>
  </si>
  <si>
    <t>ORD11361</t>
  </si>
  <si>
    <t>2025-01-08</t>
  </si>
  <si>
    <t>ORD11362</t>
  </si>
  <si>
    <t>ORD11363</t>
  </si>
  <si>
    <t>02-16-2026</t>
  </si>
  <si>
    <t>ORD11364</t>
  </si>
  <si>
    <t>ORD11365</t>
  </si>
  <si>
    <t>08/08/2025</t>
  </si>
  <si>
    <t>₦187,740</t>
  </si>
  <si>
    <t>ORD11366</t>
  </si>
  <si>
    <t>ORD11367</t>
  </si>
  <si>
    <t>ORD11368</t>
  </si>
  <si>
    <t>2026-03-23</t>
  </si>
  <si>
    <t>ORD11369</t>
  </si>
  <si>
    <t>ORD11370</t>
  </si>
  <si>
    <t>ORD11371</t>
  </si>
  <si>
    <t>ORD11372</t>
  </si>
  <si>
    <t>2025-11-12</t>
  </si>
  <si>
    <t>ORD11373</t>
  </si>
  <si>
    <t>ORD11374</t>
  </si>
  <si>
    <t>ORD11375</t>
  </si>
  <si>
    <t>ORD11376</t>
  </si>
  <si>
    <t>27/12/2025</t>
  </si>
  <si>
    <t>ORD11377</t>
  </si>
  <si>
    <t>ORD11378</t>
  </si>
  <si>
    <t>12-22-2025</t>
  </si>
  <si>
    <t>ORD11379</t>
  </si>
  <si>
    <t>06-11-2025</t>
  </si>
  <si>
    <t>ORD11380</t>
  </si>
  <si>
    <t>ORD11381</t>
  </si>
  <si>
    <t>ORD11382</t>
  </si>
  <si>
    <t>08-04-2025</t>
  </si>
  <si>
    <t>ORD11383</t>
  </si>
  <si>
    <t>ORD11384</t>
  </si>
  <si>
    <t>ORD11385</t>
  </si>
  <si>
    <t>ORD11386</t>
  </si>
  <si>
    <t>ORD11387</t>
  </si>
  <si>
    <t>ORD11388</t>
  </si>
  <si>
    <t>ORD11389</t>
  </si>
  <si>
    <t>₦85,500</t>
  </si>
  <si>
    <t>ORD11390</t>
  </si>
  <si>
    <t>ORD11391</t>
  </si>
  <si>
    <t>ORD11392</t>
  </si>
  <si>
    <t>ORD11393</t>
  </si>
  <si>
    <t>ORD11394</t>
  </si>
  <si>
    <t>ORD11395</t>
  </si>
  <si>
    <t>ORD11396</t>
  </si>
  <si>
    <t>2025-11-03</t>
  </si>
  <si>
    <t>ORD11397</t>
  </si>
  <si>
    <t>ORD11398</t>
  </si>
  <si>
    <t>ORD11399</t>
  </si>
  <si>
    <t>10/03/2026</t>
  </si>
  <si>
    <t>ORD11400</t>
  </si>
  <si>
    <t>ORD11401</t>
  </si>
  <si>
    <t>ORD11402</t>
  </si>
  <si>
    <t>2025-06-25</t>
  </si>
  <si>
    <t>ORD11403</t>
  </si>
  <si>
    <t>ORD11404</t>
  </si>
  <si>
    <t>ORD11405</t>
  </si>
  <si>
    <t>11-24-2025</t>
  </si>
  <si>
    <t>₦202,125</t>
  </si>
  <si>
    <t>ORD11406</t>
  </si>
  <si>
    <t>2025-02-09</t>
  </si>
  <si>
    <t>ORD11407</t>
  </si>
  <si>
    <t>ORD11408</t>
  </si>
  <si>
    <t>01/04/2025</t>
  </si>
  <si>
    <t>ORD11409</t>
  </si>
  <si>
    <t>ORD11410</t>
  </si>
  <si>
    <t>07-29-2025</t>
  </si>
  <si>
    <t>ORD11411</t>
  </si>
  <si>
    <t>2026-01-12</t>
  </si>
  <si>
    <t>ORD11412</t>
  </si>
  <si>
    <t>06-17-2026</t>
  </si>
  <si>
    <t>ORD11413</t>
  </si>
  <si>
    <t>ORD11414</t>
  </si>
  <si>
    <t>ORD11415</t>
  </si>
  <si>
    <t>ORD11416</t>
  </si>
  <si>
    <t>ORD11417</t>
  </si>
  <si>
    <t>ORD11418</t>
  </si>
  <si>
    <t>23/06/2025</t>
  </si>
  <si>
    <t>ORD11419</t>
  </si>
  <si>
    <t>2025-08-16</t>
  </si>
  <si>
    <t>ORD11420</t>
  </si>
  <si>
    <t>ORD11421</t>
  </si>
  <si>
    <t>ORD11422</t>
  </si>
  <si>
    <t>2026-04-27</t>
  </si>
  <si>
    <t>ORD11423</t>
  </si>
  <si>
    <t>ORD11424</t>
  </si>
  <si>
    <t>02-20-2026</t>
  </si>
  <si>
    <t>ORD11425</t>
  </si>
  <si>
    <t>ORD11426</t>
  </si>
  <si>
    <t>ORD11427</t>
  </si>
  <si>
    <t>2026-03-13</t>
  </si>
  <si>
    <t>ORD11428</t>
  </si>
  <si>
    <t>ORD11429</t>
  </si>
  <si>
    <t>2026-05-10</t>
  </si>
  <si>
    <t>ORD11430</t>
  </si>
  <si>
    <t>ORD11431</t>
  </si>
  <si>
    <t>ORD11432</t>
  </si>
  <si>
    <t>ORD11433</t>
  </si>
  <si>
    <t>16/03/2025</t>
  </si>
  <si>
    <t>ORD11434</t>
  </si>
  <si>
    <t>ORD11435</t>
  </si>
  <si>
    <t>08/04/2025</t>
  </si>
  <si>
    <t>ORD11436</t>
  </si>
  <si>
    <t>ORD11437</t>
  </si>
  <si>
    <t>ORD11438</t>
  </si>
  <si>
    <t>12-03-2025</t>
  </si>
  <si>
    <t>ORD11439</t>
  </si>
  <si>
    <t>04-15-2026</t>
  </si>
  <si>
    <t>ORD11440</t>
  </si>
  <si>
    <t>2025-09-24</t>
  </si>
  <si>
    <t>ORD11441</t>
  </si>
  <si>
    <t>ORD11442</t>
  </si>
  <si>
    <t>10/01/2025</t>
  </si>
  <si>
    <t>ORD11443</t>
  </si>
  <si>
    <t>ORD11444</t>
  </si>
  <si>
    <t>ORD11445</t>
  </si>
  <si>
    <t>01-17-2026</t>
  </si>
  <si>
    <t>ORD11446</t>
  </si>
  <si>
    <t>ORD11447</t>
  </si>
  <si>
    <t>ORD11448</t>
  </si>
  <si>
    <t>ORD11449</t>
  </si>
  <si>
    <t>ORD11450</t>
  </si>
  <si>
    <t>ORD11451</t>
  </si>
  <si>
    <t>2025-02-07</t>
  </si>
  <si>
    <t>ORD11452</t>
  </si>
  <si>
    <t>ORD11453</t>
  </si>
  <si>
    <t>03/05/2026</t>
  </si>
  <si>
    <t>ORD11454</t>
  </si>
  <si>
    <t>ORD11455</t>
  </si>
  <si>
    <t>06-02-2025</t>
  </si>
  <si>
    <t>ORD11456</t>
  </si>
  <si>
    <t>ORD11457</t>
  </si>
  <si>
    <t>ORD11458</t>
  </si>
  <si>
    <t>ORD11459</t>
  </si>
  <si>
    <t>06/08/2025</t>
  </si>
  <si>
    <t>ORD11460</t>
  </si>
  <si>
    <t>08-12-2025</t>
  </si>
  <si>
    <t>ORD11461</t>
  </si>
  <si>
    <t>ORD11462</t>
  </si>
  <si>
    <t>2025-07-11</t>
  </si>
  <si>
    <t>ORD11463</t>
  </si>
  <si>
    <t>ORD11464</t>
  </si>
  <si>
    <t>ORD11465</t>
  </si>
  <si>
    <t>2025-03-27</t>
  </si>
  <si>
    <t>ORD11466</t>
  </si>
  <si>
    <t>2025-03-01</t>
  </si>
  <si>
    <t>ORD11467</t>
  </si>
  <si>
    <t>ORD11468</t>
  </si>
  <si>
    <t>ORD11469</t>
  </si>
  <si>
    <t>ORD11470</t>
  </si>
  <si>
    <t>ORD11471</t>
  </si>
  <si>
    <t>23/04/2026</t>
  </si>
  <si>
    <t>ORD11472</t>
  </si>
  <si>
    <t>22/04/2026</t>
  </si>
  <si>
    <t>ORD11473</t>
  </si>
  <si>
    <t>05-31-2025</t>
  </si>
  <si>
    <t>ORD11474</t>
  </si>
  <si>
    <t>2025-12-19</t>
  </si>
  <si>
    <t>ORD11475</t>
  </si>
  <si>
    <t>ORD11476</t>
  </si>
  <si>
    <t>₦28,350</t>
  </si>
  <si>
    <t>ORD11477</t>
  </si>
  <si>
    <t>ORD11478</t>
  </si>
  <si>
    <t>ORD11479</t>
  </si>
  <si>
    <t>05/02/2026</t>
  </si>
  <si>
    <t>ORD11480</t>
  </si>
  <si>
    <t>ORD11481</t>
  </si>
  <si>
    <t>ORD11482</t>
  </si>
  <si>
    <t>ORD11483</t>
  </si>
  <si>
    <t>2025-09-13</t>
  </si>
  <si>
    <t>ORD11484</t>
  </si>
  <si>
    <t>05-20-2026</t>
  </si>
  <si>
    <t>ORD11485</t>
  </si>
  <si>
    <t>ORD11486</t>
  </si>
  <si>
    <t>2026-06-24</t>
  </si>
  <si>
    <t>ORD11487</t>
  </si>
  <si>
    <t>ORD11488</t>
  </si>
  <si>
    <t>2025-05-14</t>
  </si>
  <si>
    <t>ORD11489</t>
  </si>
  <si>
    <t>ORD11490</t>
  </si>
  <si>
    <t>ORD11491</t>
  </si>
  <si>
    <t>ORD11492</t>
  </si>
  <si>
    <t>2026-03-21</t>
  </si>
  <si>
    <t>ORD11493</t>
  </si>
  <si>
    <t>ORD11494</t>
  </si>
  <si>
    <t>2026-05-06</t>
  </si>
  <si>
    <t>ORD11495</t>
  </si>
  <si>
    <t>ORD11496</t>
  </si>
  <si>
    <t>06-01-2026</t>
  </si>
  <si>
    <t>ORD11497</t>
  </si>
  <si>
    <t>14/02/2025</t>
  </si>
  <si>
    <t>ORD11498</t>
  </si>
  <si>
    <t>20/01/2026</t>
  </si>
  <si>
    <t>ORD11499</t>
  </si>
  <si>
    <t>ORD11500</t>
  </si>
  <si>
    <t>25/04/2026</t>
  </si>
  <si>
    <t>ORD11501</t>
  </si>
  <si>
    <t>05-21-2026</t>
  </si>
  <si>
    <t>ORD11502</t>
  </si>
  <si>
    <t>18/01/2025</t>
  </si>
  <si>
    <t>ORD11503</t>
  </si>
  <si>
    <t>09-14-2025</t>
  </si>
  <si>
    <t>ORD11504</t>
  </si>
  <si>
    <t>ORD11505</t>
  </si>
  <si>
    <t>ORD11506</t>
  </si>
  <si>
    <t>ORD11507</t>
  </si>
  <si>
    <t>24/01/2026</t>
  </si>
  <si>
    <t>ORD11508</t>
  </si>
  <si>
    <t>ORD11509</t>
  </si>
  <si>
    <t>ORD11510</t>
  </si>
  <si>
    <t>₦74,250</t>
  </si>
  <si>
    <t>ORD11511</t>
  </si>
  <si>
    <t>ORD11512</t>
  </si>
  <si>
    <t>ORD11513</t>
  </si>
  <si>
    <t>09-15-2025</t>
  </si>
  <si>
    <t>ORD11514</t>
  </si>
  <si>
    <t>ORD11515</t>
  </si>
  <si>
    <t>ORD11516</t>
  </si>
  <si>
    <t>2025-04-05</t>
  </si>
  <si>
    <t>ORD11517</t>
  </si>
  <si>
    <t>ORD11518</t>
  </si>
  <si>
    <t>15/12/2025</t>
  </si>
  <si>
    <t>ORD11519</t>
  </si>
  <si>
    <t>ORD11520</t>
  </si>
  <si>
    <t>ORD11521</t>
  </si>
  <si>
    <t>03-01-2026</t>
  </si>
  <si>
    <t>ORD11522</t>
  </si>
  <si>
    <t>ORD11523</t>
  </si>
  <si>
    <t>10/03/2025</t>
  </si>
  <si>
    <t>ORD11524</t>
  </si>
  <si>
    <t>2026-06-07</t>
  </si>
  <si>
    <t>ORD11525</t>
  </si>
  <si>
    <t>ORD11526</t>
  </si>
  <si>
    <t>ORD11527</t>
  </si>
  <si>
    <t>2025-10-01</t>
  </si>
  <si>
    <t>ORD11528</t>
  </si>
  <si>
    <t>ORD11529</t>
  </si>
  <si>
    <t>ORD11530</t>
  </si>
  <si>
    <t>ORD11531</t>
  </si>
  <si>
    <t>ORD11532</t>
  </si>
  <si>
    <t>07-15-2025</t>
  </si>
  <si>
    <t>ORD11533</t>
  </si>
  <si>
    <t>ORD11534</t>
  </si>
  <si>
    <t>2026-05-23</t>
  </si>
  <si>
    <t>ORD11535</t>
  </si>
  <si>
    <t>ORD11536</t>
  </si>
  <si>
    <t>2025-09-20</t>
  </si>
  <si>
    <t>ORD11537</t>
  </si>
  <si>
    <t>ORD11538</t>
  </si>
  <si>
    <t>02-09-2026</t>
  </si>
  <si>
    <t>ORD11539</t>
  </si>
  <si>
    <t>ORD11540</t>
  </si>
  <si>
    <t>ORD11541</t>
  </si>
  <si>
    <t>ORD11542</t>
  </si>
  <si>
    <t>2025-03-20</t>
  </si>
  <si>
    <t>ORD11543</t>
  </si>
  <si>
    <t>18/03/2026</t>
  </si>
  <si>
    <t>ORD11544</t>
  </si>
  <si>
    <t>ORD11545</t>
  </si>
  <si>
    <t>2025-06-23</t>
  </si>
  <si>
    <t>ORD11546</t>
  </si>
  <si>
    <t>ORD11547</t>
  </si>
  <si>
    <t>30/01/2025</t>
  </si>
  <si>
    <t>ORD11548</t>
  </si>
  <si>
    <t>ORD11549</t>
  </si>
  <si>
    <t>ORD11550</t>
  </si>
  <si>
    <t>₦15,470</t>
  </si>
  <si>
    <t>ORD11551</t>
  </si>
  <si>
    <t>04-28-2026</t>
  </si>
  <si>
    <t>ORD11552</t>
  </si>
  <si>
    <t>2025-09-28</t>
  </si>
  <si>
    <t>ORD11553</t>
  </si>
  <si>
    <t>ORD11554</t>
  </si>
  <si>
    <t>2026-02-07</t>
  </si>
  <si>
    <t>ORD11555</t>
  </si>
  <si>
    <t>2025-08-21</t>
  </si>
  <si>
    <t>ORD11556</t>
  </si>
  <si>
    <t>ORD11557</t>
  </si>
  <si>
    <t>ORD11558</t>
  </si>
  <si>
    <t>ORD11559</t>
  </si>
  <si>
    <t>11-27-2025</t>
  </si>
  <si>
    <t>ORD11560</t>
  </si>
  <si>
    <t>ORD11561</t>
  </si>
  <si>
    <t>ORD11562</t>
  </si>
  <si>
    <t>ORD11563</t>
  </si>
  <si>
    <t>ORD11564</t>
  </si>
  <si>
    <t>2025-10-20</t>
  </si>
  <si>
    <t>ORD11565</t>
  </si>
  <si>
    <t>03-25-2026</t>
  </si>
  <si>
    <t>ORD11566</t>
  </si>
  <si>
    <t>05-30-2025</t>
  </si>
  <si>
    <t>ORD11567</t>
  </si>
  <si>
    <t>ORD11568</t>
  </si>
  <si>
    <t>ORD11569</t>
  </si>
  <si>
    <t>ORD11570</t>
  </si>
  <si>
    <t>ORD11571</t>
  </si>
  <si>
    <t>05-09-2026</t>
  </si>
  <si>
    <t>ORD11572</t>
  </si>
  <si>
    <t>ORD11573</t>
  </si>
  <si>
    <t>ORD11574</t>
  </si>
  <si>
    <t>ORD11575</t>
  </si>
  <si>
    <t>ORD11576</t>
  </si>
  <si>
    <t>15/01/2026</t>
  </si>
  <si>
    <t>ORD11577</t>
  </si>
  <si>
    <t>ORD11578</t>
  </si>
  <si>
    <t>ORD11579</t>
  </si>
  <si>
    <t>ORD11580</t>
  </si>
  <si>
    <t>ORD11581</t>
  </si>
  <si>
    <t>2025-11-15</t>
  </si>
  <si>
    <t>ORD11582</t>
  </si>
  <si>
    <t>2025-04-17</t>
  </si>
  <si>
    <t>ORD11583</t>
  </si>
  <si>
    <t>₦155,040</t>
  </si>
  <si>
    <t>ORD11584</t>
  </si>
  <si>
    <t>ORD11585</t>
  </si>
  <si>
    <t>14/01/2026</t>
  </si>
  <si>
    <t>ORD11586</t>
  </si>
  <si>
    <t>ORD11587</t>
  </si>
  <si>
    <t>ORD11588</t>
  </si>
  <si>
    <t>07/02/2026</t>
  </si>
  <si>
    <t>ORD11589</t>
  </si>
  <si>
    <t>ORD11590</t>
  </si>
  <si>
    <t>06-24-2026</t>
  </si>
  <si>
    <t>ORD11591</t>
  </si>
  <si>
    <t>ORD11592</t>
  </si>
  <si>
    <t>10/09/2025</t>
  </si>
  <si>
    <t>ORD11593</t>
  </si>
  <si>
    <t>18/10/2025</t>
  </si>
  <si>
    <t>ORD11594</t>
  </si>
  <si>
    <t>11/10/2025</t>
  </si>
  <si>
    <t>ORD11595</t>
  </si>
  <si>
    <t>ORD11596</t>
  </si>
  <si>
    <t>06-16-2026</t>
  </si>
  <si>
    <t>ORD11597</t>
  </si>
  <si>
    <t>2026-03-02</t>
  </si>
  <si>
    <t>ORD11598</t>
  </si>
  <si>
    <t>ORD11599</t>
  </si>
  <si>
    <t>2026-05-29</t>
  </si>
  <si>
    <t>ORD11600</t>
  </si>
  <si>
    <t>ORD11601</t>
  </si>
  <si>
    <t>ORD11602</t>
  </si>
  <si>
    <t>06-11-2026</t>
  </si>
  <si>
    <t>ORD11603</t>
  </si>
  <si>
    <t>ORD11604</t>
  </si>
  <si>
    <t>ORD11605</t>
  </si>
  <si>
    <t>ORD11606</t>
  </si>
  <si>
    <t>02-02-2026</t>
  </si>
  <si>
    <t>ORD11607</t>
  </si>
  <si>
    <t>ORD11608</t>
  </si>
  <si>
    <t>ORD11609</t>
  </si>
  <si>
    <t>04-13-2025</t>
  </si>
  <si>
    <t>ORD11610</t>
  </si>
  <si>
    <t>ORD11611</t>
  </si>
  <si>
    <t>22/02/2025</t>
  </si>
  <si>
    <t>ORD11612</t>
  </si>
  <si>
    <t>11/04/2026</t>
  </si>
  <si>
    <t>ORD11613</t>
  </si>
  <si>
    <t>ORD11614</t>
  </si>
  <si>
    <t>06-20-2026</t>
  </si>
  <si>
    <t>ORD11615</t>
  </si>
  <si>
    <t>ORD11616</t>
  </si>
  <si>
    <t>ORD11617</t>
  </si>
  <si>
    <t>ORD11618</t>
  </si>
  <si>
    <t>ORD11619</t>
  </si>
  <si>
    <t>ORD11620</t>
  </si>
  <si>
    <t>ORD11621</t>
  </si>
  <si>
    <t>ORD11622</t>
  </si>
  <si>
    <t>12/11/2025</t>
  </si>
  <si>
    <t>ORD11623</t>
  </si>
  <si>
    <t>ORD11624</t>
  </si>
  <si>
    <t>ORD11625</t>
  </si>
  <si>
    <t>ORD11626</t>
  </si>
  <si>
    <t>ORD11627</t>
  </si>
  <si>
    <t>17/01/2025</t>
  </si>
  <si>
    <t>ORD11628</t>
  </si>
  <si>
    <t>2025-12-09</t>
  </si>
  <si>
    <t>ORD11629</t>
  </si>
  <si>
    <t>ORD11630</t>
  </si>
  <si>
    <t>20/04/2026</t>
  </si>
  <si>
    <t>ORD11631</t>
  </si>
  <si>
    <t>ORD11632</t>
  </si>
  <si>
    <t>ORD11633</t>
  </si>
  <si>
    <t>28/02/2025</t>
  </si>
  <si>
    <t>ORD11634</t>
  </si>
  <si>
    <t>ORD11635</t>
  </si>
  <si>
    <t>10-25-2025</t>
  </si>
  <si>
    <t>ORD11636</t>
  </si>
  <si>
    <t>2025-04-13</t>
  </si>
  <si>
    <t>ORD11637</t>
  </si>
  <si>
    <t>28/01/2026</t>
  </si>
  <si>
    <t>ORD11638</t>
  </si>
  <si>
    <t>28/01/2025</t>
  </si>
  <si>
    <t>ORD11639</t>
  </si>
  <si>
    <t>05-21-2025</t>
  </si>
  <si>
    <t>ORD11640</t>
  </si>
  <si>
    <t>ORD11641</t>
  </si>
  <si>
    <t>ORD11642</t>
  </si>
  <si>
    <t>ORD11643</t>
  </si>
  <si>
    <t>ORD11644</t>
  </si>
  <si>
    <t>2026-02-09</t>
  </si>
  <si>
    <t>ORD11645</t>
  </si>
  <si>
    <t>ORD11646</t>
  </si>
  <si>
    <t>ORD11647</t>
  </si>
  <si>
    <t>ORD11648</t>
  </si>
  <si>
    <t>ORD11649</t>
  </si>
  <si>
    <t>ORD11650</t>
  </si>
  <si>
    <t>15/04/2026</t>
  </si>
  <si>
    <t>ORD11651</t>
  </si>
  <si>
    <t>ORD11652</t>
  </si>
  <si>
    <t>2026-06-06</t>
  </si>
  <si>
    <t>ORD11653</t>
  </si>
  <si>
    <t>ORD11654</t>
  </si>
  <si>
    <t>ORD11655</t>
  </si>
  <si>
    <t>ORD11656</t>
  </si>
  <si>
    <t>02/11/2025</t>
  </si>
  <si>
    <t>ORD11657</t>
  </si>
  <si>
    <t>ORD11658</t>
  </si>
  <si>
    <t>ORD11659</t>
  </si>
  <si>
    <t>ORD11660</t>
  </si>
  <si>
    <t>04-18-2026</t>
  </si>
  <si>
    <t>ORD11661</t>
  </si>
  <si>
    <t>ORD11662</t>
  </si>
  <si>
    <t>04-25-2025</t>
  </si>
  <si>
    <t>ORD11663</t>
  </si>
  <si>
    <t>ORD11664</t>
  </si>
  <si>
    <t>05-12-2026</t>
  </si>
  <si>
    <t>ORD11665</t>
  </si>
  <si>
    <t>28/03/2025</t>
  </si>
  <si>
    <t>ORD11666</t>
  </si>
  <si>
    <t>ORD11667</t>
  </si>
  <si>
    <t>ORD11668</t>
  </si>
  <si>
    <t>30/03/2025</t>
  </si>
  <si>
    <t>ORD11669</t>
  </si>
  <si>
    <t>2025-05-05</t>
  </si>
  <si>
    <t>ORD11670</t>
  </si>
  <si>
    <t>ORD11671</t>
  </si>
  <si>
    <t>04-18-2025</t>
  </si>
  <si>
    <t>ORD11672</t>
  </si>
  <si>
    <t>ORD11673</t>
  </si>
  <si>
    <t>ORD11674</t>
  </si>
  <si>
    <t>ORD11675</t>
  </si>
  <si>
    <t>07-03-2025</t>
  </si>
  <si>
    <t>ORD11676</t>
  </si>
  <si>
    <t>ORD11677</t>
  </si>
  <si>
    <t>02-19-2026</t>
  </si>
  <si>
    <t>ORD11678</t>
  </si>
  <si>
    <t>2025-01-21</t>
  </si>
  <si>
    <t>ORD11679</t>
  </si>
  <si>
    <t>15/02/2025</t>
  </si>
  <si>
    <t>ORD11680</t>
  </si>
  <si>
    <t>ORD11681</t>
  </si>
  <si>
    <t>ORD11682</t>
  </si>
  <si>
    <t>ORD11683</t>
  </si>
  <si>
    <t>23/07/2025</t>
  </si>
  <si>
    <t>ORD11684</t>
  </si>
  <si>
    <t>21/09/2025</t>
  </si>
  <si>
    <t>ORD11685</t>
  </si>
  <si>
    <t>05-23-2025</t>
  </si>
  <si>
    <t>ORD11686</t>
  </si>
  <si>
    <t>ORD11687</t>
  </si>
  <si>
    <t>ORD11688</t>
  </si>
  <si>
    <t>06-25-2026</t>
  </si>
  <si>
    <t>ORD11689</t>
  </si>
  <si>
    <t>ORD11690</t>
  </si>
  <si>
    <t>ORD11691</t>
  </si>
  <si>
    <t>ORD11692</t>
  </si>
  <si>
    <t>ORD11693</t>
  </si>
  <si>
    <t>₦39,235</t>
  </si>
  <si>
    <t>ORD11694</t>
  </si>
  <si>
    <t>ORD11695</t>
  </si>
  <si>
    <t>ORD11696</t>
  </si>
  <si>
    <t>ORD11697</t>
  </si>
  <si>
    <t>02-14-2025</t>
  </si>
  <si>
    <t>ORD11698</t>
  </si>
  <si>
    <t>2025-03-22</t>
  </si>
  <si>
    <t>ORD11699</t>
  </si>
  <si>
    <t>03-18-2026</t>
  </si>
  <si>
    <t>ORD11700</t>
  </si>
  <si>
    <t>2025-09-03</t>
  </si>
  <si>
    <t>ORD11701</t>
  </si>
  <si>
    <t>ORD11702</t>
  </si>
  <si>
    <t>06/06/2025</t>
  </si>
  <si>
    <t>ORD11703</t>
  </si>
  <si>
    <t>2026-01-20</t>
  </si>
  <si>
    <t>ORD11704</t>
  </si>
  <si>
    <t>04-08-2025</t>
  </si>
  <si>
    <t>ORD11705</t>
  </si>
  <si>
    <t>ORD11706</t>
  </si>
  <si>
    <t>ORD11707</t>
  </si>
  <si>
    <t>ORD11708</t>
  </si>
  <si>
    <t>ORD11709</t>
  </si>
  <si>
    <t>ORD11710</t>
  </si>
  <si>
    <t>2026-02-23</t>
  </si>
  <si>
    <t>ORD11711</t>
  </si>
  <si>
    <t>02-14-2026</t>
  </si>
  <si>
    <t>ORD11712</t>
  </si>
  <si>
    <t>ORD11713</t>
  </si>
  <si>
    <t>ORD11714</t>
  </si>
  <si>
    <t>ORD11715</t>
  </si>
  <si>
    <t>06/01/2026</t>
  </si>
  <si>
    <t>ORD11716</t>
  </si>
  <si>
    <t>ORD11717</t>
  </si>
  <si>
    <t>ORD11718</t>
  </si>
  <si>
    <t>ORD11719</t>
  </si>
  <si>
    <t>ORD11720</t>
  </si>
  <si>
    <t>ORD11721</t>
  </si>
  <si>
    <t>2025-01-02</t>
  </si>
  <si>
    <t>ORD11722</t>
  </si>
  <si>
    <t>28/12/2025</t>
  </si>
  <si>
    <t>ORD11723</t>
  </si>
  <si>
    <t>04-10-2025</t>
  </si>
  <si>
    <t>ORD11724</t>
  </si>
  <si>
    <t>2026-02-12</t>
  </si>
  <si>
    <t>ORD11725</t>
  </si>
  <si>
    <t>ORD11726</t>
  </si>
  <si>
    <t>2025-12-01</t>
  </si>
  <si>
    <t>ORD11727</t>
  </si>
  <si>
    <t>ORD11728</t>
  </si>
  <si>
    <t>2026-05-11</t>
  </si>
  <si>
    <t>ORD11729</t>
  </si>
  <si>
    <t>ORD11730</t>
  </si>
  <si>
    <t>ORD11731</t>
  </si>
  <si>
    <t>ORD11732</t>
  </si>
  <si>
    <t>ORD11733</t>
  </si>
  <si>
    <t>2025-06-29</t>
  </si>
  <si>
    <t>ORD11734</t>
  </si>
  <si>
    <t>ORD11735</t>
  </si>
  <si>
    <t>ORD11736</t>
  </si>
  <si>
    <t>ORD11737</t>
  </si>
  <si>
    <t>19/04/2025</t>
  </si>
  <si>
    <t>ORD11738</t>
  </si>
  <si>
    <t>ORD11739</t>
  </si>
  <si>
    <t>ORD11740</t>
  </si>
  <si>
    <t>ORD11741</t>
  </si>
  <si>
    <t>ORD11742</t>
  </si>
  <si>
    <t>ORD11743</t>
  </si>
  <si>
    <t>ORD11744</t>
  </si>
  <si>
    <t>ORD11745</t>
  </si>
  <si>
    <t>ORD11746</t>
  </si>
  <si>
    <t>06-22-2026</t>
  </si>
  <si>
    <t>ORD11747</t>
  </si>
  <si>
    <t>01-11-2025</t>
  </si>
  <si>
    <t>ORD11748</t>
  </si>
  <si>
    <t>08-22-2025</t>
  </si>
  <si>
    <t>ORD11749</t>
  </si>
  <si>
    <t>13/04/2026</t>
  </si>
  <si>
    <t>ORD11750</t>
  </si>
  <si>
    <t>ORD11751</t>
  </si>
  <si>
    <t>ORD11752</t>
  </si>
  <si>
    <t>ORD11753</t>
  </si>
  <si>
    <t>ORD11754</t>
  </si>
  <si>
    <t>ORD11755</t>
  </si>
  <si>
    <t>ORD11756</t>
  </si>
  <si>
    <t>ORD11757</t>
  </si>
  <si>
    <t>10-30-2025</t>
  </si>
  <si>
    <t>ORD11758</t>
  </si>
  <si>
    <t>05-26-2026</t>
  </si>
  <si>
    <t>ORD11759</t>
  </si>
  <si>
    <t>30/03/2026</t>
  </si>
  <si>
    <t>ORD11760</t>
  </si>
  <si>
    <t>ORD11761</t>
  </si>
  <si>
    <t>11/05/2026</t>
  </si>
  <si>
    <t>ORD11762</t>
  </si>
  <si>
    <t>07-06-2025</t>
  </si>
  <si>
    <t>ORD11763</t>
  </si>
  <si>
    <t>06-03-2026</t>
  </si>
  <si>
    <t>ORD11764</t>
  </si>
  <si>
    <t>ORD11765</t>
  </si>
  <si>
    <t>21/06/2025</t>
  </si>
  <si>
    <t>ORD11766</t>
  </si>
  <si>
    <t>ORD11767</t>
  </si>
  <si>
    <t>12-27-2025</t>
  </si>
  <si>
    <t>ORD11768</t>
  </si>
  <si>
    <t>ORD11769</t>
  </si>
  <si>
    <t>ORD11770</t>
  </si>
  <si>
    <t>04-19-2025</t>
  </si>
  <si>
    <t>ORD11771</t>
  </si>
  <si>
    <t>ORD11772</t>
  </si>
  <si>
    <t>ORD11773</t>
  </si>
  <si>
    <t>ORD11774</t>
  </si>
  <si>
    <t>04/01/2025</t>
  </si>
  <si>
    <t>ORD11775</t>
  </si>
  <si>
    <t>ORD11776</t>
  </si>
  <si>
    <t>ORD11777</t>
  </si>
  <si>
    <t>ORD11778</t>
  </si>
  <si>
    <t>ORD11779</t>
  </si>
  <si>
    <t>ORD11780</t>
  </si>
  <si>
    <t>ORD11781</t>
  </si>
  <si>
    <t>06-05-2026</t>
  </si>
  <si>
    <t>ORD11782</t>
  </si>
  <si>
    <t>ORD11783</t>
  </si>
  <si>
    <t>ORD11784</t>
  </si>
  <si>
    <t>31/05/2025</t>
  </si>
  <si>
    <t>ORD11785</t>
  </si>
  <si>
    <t>ORD11786</t>
  </si>
  <si>
    <t>05-28-2026</t>
  </si>
  <si>
    <t>ORD11787</t>
  </si>
  <si>
    <t>ORD11788</t>
  </si>
  <si>
    <t>ORD11789</t>
  </si>
  <si>
    <t>ORD11790</t>
  </si>
  <si>
    <t>ORD11791</t>
  </si>
  <si>
    <t>ORD11792</t>
  </si>
  <si>
    <t>ORD11793</t>
  </si>
  <si>
    <t>ORD11794</t>
  </si>
  <si>
    <t>28/09/2025</t>
  </si>
  <si>
    <t>ORD11795</t>
  </si>
  <si>
    <t>ORD11796</t>
  </si>
  <si>
    <t>ORD11797</t>
  </si>
  <si>
    <t>ORD11798</t>
  </si>
  <si>
    <t>ORD11799</t>
  </si>
  <si>
    <t>ORD11800</t>
  </si>
  <si>
    <t>2025-07-31</t>
  </si>
  <si>
    <t>ORD11801</t>
  </si>
  <si>
    <t>ORD11802</t>
  </si>
  <si>
    <t>ORD11803</t>
  </si>
  <si>
    <t>23/01/2026</t>
  </si>
  <si>
    <t>ORD11804</t>
  </si>
  <si>
    <t>ORD11805</t>
  </si>
  <si>
    <t>27/01/2026</t>
  </si>
  <si>
    <t>ORD11806</t>
  </si>
  <si>
    <t>09-25-2025</t>
  </si>
  <si>
    <t>ORD11807</t>
  </si>
  <si>
    <t>ORD11808</t>
  </si>
  <si>
    <t>ORD11809</t>
  </si>
  <si>
    <t>ORD11810</t>
  </si>
  <si>
    <t>2025-05-13</t>
  </si>
  <si>
    <t>ORD11811</t>
  </si>
  <si>
    <t>ORD11812</t>
  </si>
  <si>
    <t>ORD11813</t>
  </si>
  <si>
    <t>ORD11814</t>
  </si>
  <si>
    <t>₦27,200</t>
  </si>
  <si>
    <t>ORD11815</t>
  </si>
  <si>
    <t>09-29-2025</t>
  </si>
  <si>
    <t>ORD11816</t>
  </si>
  <si>
    <t>ORD11817</t>
  </si>
  <si>
    <t>ORD11818</t>
  </si>
  <si>
    <t>ORD11819</t>
  </si>
  <si>
    <t>ORD11820</t>
  </si>
  <si>
    <t>ORD11821</t>
  </si>
  <si>
    <t>ORD11822</t>
  </si>
  <si>
    <t>ORD11823</t>
  </si>
  <si>
    <t>ORD11824</t>
  </si>
  <si>
    <t>05-13-2025</t>
  </si>
  <si>
    <t>ORD11825</t>
  </si>
  <si>
    <t>ORD11826</t>
  </si>
  <si>
    <t>ORD11827</t>
  </si>
  <si>
    <t>ORD11828</t>
  </si>
  <si>
    <t>2025-11-14</t>
  </si>
  <si>
    <t>ORD11829</t>
  </si>
  <si>
    <t>ORD11830</t>
  </si>
  <si>
    <t>ORD11831</t>
  </si>
  <si>
    <t>ORD11832</t>
  </si>
  <si>
    <t>2025-12-13</t>
  </si>
  <si>
    <t>ORD11833</t>
  </si>
  <si>
    <t>ORD11834</t>
  </si>
  <si>
    <t>ORD11835</t>
  </si>
  <si>
    <t>ORD11836</t>
  </si>
  <si>
    <t>ORD11837</t>
  </si>
  <si>
    <t>ORD11838</t>
  </si>
  <si>
    <t>ORD11839</t>
  </si>
  <si>
    <t>26/05/2026</t>
  </si>
  <si>
    <t>₦66,300</t>
  </si>
  <si>
    <t>ORD11840</t>
  </si>
  <si>
    <t>02-24-2025</t>
  </si>
  <si>
    <t>ORD11841</t>
  </si>
  <si>
    <t>ORD11842</t>
  </si>
  <si>
    <t>ORD11843</t>
  </si>
  <si>
    <t>ORD11844</t>
  </si>
  <si>
    <t>ORD11845</t>
  </si>
  <si>
    <t>05-03-2026</t>
  </si>
  <si>
    <t>ORD11846</t>
  </si>
  <si>
    <t>ORD11847</t>
  </si>
  <si>
    <t>29/05/2026</t>
  </si>
  <si>
    <t>ORD11848</t>
  </si>
  <si>
    <t>ORD11849</t>
  </si>
  <si>
    <t>ORD11850</t>
  </si>
  <si>
    <t>ORD11851</t>
  </si>
  <si>
    <t>ORD11852</t>
  </si>
  <si>
    <t>ORD11853</t>
  </si>
  <si>
    <t>ORD11854</t>
  </si>
  <si>
    <t>ORD11855</t>
  </si>
  <si>
    <t>26/11/2025</t>
  </si>
  <si>
    <t>ORD11856</t>
  </si>
  <si>
    <t>ORD11857</t>
  </si>
  <si>
    <t>12/10/2025</t>
  </si>
  <si>
    <t>ORD11858</t>
  </si>
  <si>
    <t>2025-07-17</t>
  </si>
  <si>
    <t>ORD11859</t>
  </si>
  <si>
    <t>ORD11860</t>
  </si>
  <si>
    <t>ORD11861</t>
  </si>
  <si>
    <t>ORD11862</t>
  </si>
  <si>
    <t>ORD11863</t>
  </si>
  <si>
    <t>ORD11864</t>
  </si>
  <si>
    <t>ORD11865</t>
  </si>
  <si>
    <t>ORD11866</t>
  </si>
  <si>
    <t>ORD11867</t>
  </si>
  <si>
    <t>ORD11868</t>
  </si>
  <si>
    <t>ORD11869</t>
  </si>
  <si>
    <t>ORD11870</t>
  </si>
  <si>
    <t>2025-03-26</t>
  </si>
  <si>
    <t>ORD11871</t>
  </si>
  <si>
    <t>ORD11872</t>
  </si>
  <si>
    <t>ORD11873</t>
  </si>
  <si>
    <t>ORD11874</t>
  </si>
  <si>
    <t>ORD11875</t>
  </si>
  <si>
    <t>ORD11876</t>
  </si>
  <si>
    <t>ORD11877</t>
  </si>
  <si>
    <t>2026-04-17</t>
  </si>
  <si>
    <t>ORD11878</t>
  </si>
  <si>
    <t>₦126,720</t>
  </si>
  <si>
    <t>ORD11879</t>
  </si>
  <si>
    <t>₦68,800</t>
  </si>
  <si>
    <t>ORD11880</t>
  </si>
  <si>
    <t>ORD11881</t>
  </si>
  <si>
    <t>2025-09-07</t>
  </si>
  <si>
    <t>ORD11882</t>
  </si>
  <si>
    <t>ORD11883</t>
  </si>
  <si>
    <t>ORD11884</t>
  </si>
  <si>
    <t>10-29-2025</t>
  </si>
  <si>
    <t>ORD11885</t>
  </si>
  <si>
    <t>ORD11886</t>
  </si>
  <si>
    <t>ORD11887</t>
  </si>
  <si>
    <t>ORD11888</t>
  </si>
  <si>
    <t>ORD11889</t>
  </si>
  <si>
    <t>ORD11890</t>
  </si>
  <si>
    <t>ORD11891</t>
  </si>
  <si>
    <t>ORD11892</t>
  </si>
  <si>
    <t>ORD11893</t>
  </si>
  <si>
    <t>ORD11894</t>
  </si>
  <si>
    <t>ORD11895</t>
  </si>
  <si>
    <t>ORD11896</t>
  </si>
  <si>
    <t>ORD11897</t>
  </si>
  <si>
    <t>ORD11898</t>
  </si>
  <si>
    <t>04-22-2025</t>
  </si>
  <si>
    <t>ORD11899</t>
  </si>
  <si>
    <t>ORD11900</t>
  </si>
  <si>
    <t>ORD11901</t>
  </si>
  <si>
    <t>ORD11902</t>
  </si>
  <si>
    <t>2026-05-17</t>
  </si>
  <si>
    <t>ORD11903</t>
  </si>
  <si>
    <t>02-26-2026</t>
  </si>
  <si>
    <t>ORD11904</t>
  </si>
  <si>
    <t>06-18-2026</t>
  </si>
  <si>
    <t>ORD11905</t>
  </si>
  <si>
    <t>2025-12-17</t>
  </si>
  <si>
    <t>ORD11906</t>
  </si>
  <si>
    <t>25/10/2025</t>
  </si>
  <si>
    <t>ORD11907</t>
  </si>
  <si>
    <t>ORD11908</t>
  </si>
  <si>
    <t>ORD11909</t>
  </si>
  <si>
    <t>ORD11910</t>
  </si>
  <si>
    <t>ORD11911</t>
  </si>
  <si>
    <t>08-23-2025</t>
  </si>
  <si>
    <t>ORD11912</t>
  </si>
  <si>
    <t>ORD11913</t>
  </si>
  <si>
    <t>ORD11914</t>
  </si>
  <si>
    <t>ORD11915</t>
  </si>
  <si>
    <t>2026-05-27</t>
  </si>
  <si>
    <t>ORD11916</t>
  </si>
  <si>
    <t>ORD11917</t>
  </si>
  <si>
    <t>ORD11918</t>
  </si>
  <si>
    <t>ORD11919</t>
  </si>
  <si>
    <t>ORD11920</t>
  </si>
  <si>
    <t>2025-07-04</t>
  </si>
  <si>
    <t>ORD11921</t>
  </si>
  <si>
    <t>ORD11922</t>
  </si>
  <si>
    <t>ORD11923</t>
  </si>
  <si>
    <t>ORD11924</t>
  </si>
  <si>
    <t>ORD11925</t>
  </si>
  <si>
    <t>ORD11926</t>
  </si>
  <si>
    <t>2025-09-30</t>
  </si>
  <si>
    <t>ORD11927</t>
  </si>
  <si>
    <t>ORD11928</t>
  </si>
  <si>
    <t>ORD11929</t>
  </si>
  <si>
    <t>ORD11930</t>
  </si>
  <si>
    <t>₦237,660</t>
  </si>
  <si>
    <t>ORD11931</t>
  </si>
  <si>
    <t>ORD11932</t>
  </si>
  <si>
    <t>ORD11933</t>
  </si>
  <si>
    <t>11/12/2025</t>
  </si>
  <si>
    <t>ORD11934</t>
  </si>
  <si>
    <t>ORD11935</t>
  </si>
  <si>
    <t>12-23-2025</t>
  </si>
  <si>
    <t>ORD11936</t>
  </si>
  <si>
    <t>2025-07-26</t>
  </si>
  <si>
    <t>ORD11937</t>
  </si>
  <si>
    <t>ORD11938</t>
  </si>
  <si>
    <t>ORD11939</t>
  </si>
  <si>
    <t>01-17-2025</t>
  </si>
  <si>
    <t>ORD11940</t>
  </si>
  <si>
    <t>ORD11941</t>
  </si>
  <si>
    <t>₦217,000</t>
  </si>
  <si>
    <t>ORD11942</t>
  </si>
  <si>
    <t>2025-08-23</t>
  </si>
  <si>
    <t>ORD11943</t>
  </si>
  <si>
    <t>11-10-2025</t>
  </si>
  <si>
    <t>ORD11944</t>
  </si>
  <si>
    <t>ORD11945</t>
  </si>
  <si>
    <t>ORD11946</t>
  </si>
  <si>
    <t>ORD11947</t>
  </si>
  <si>
    <t>ORD11948</t>
  </si>
  <si>
    <t>07/10/2025</t>
  </si>
  <si>
    <t>ORD11949</t>
  </si>
  <si>
    <t>11/03/2026</t>
  </si>
  <si>
    <t>ORD11950</t>
  </si>
  <si>
    <t>01/04/2026</t>
  </si>
  <si>
    <t>ORD11951</t>
  </si>
  <si>
    <t>2025-06-26</t>
  </si>
  <si>
    <t>ORD11952</t>
  </si>
  <si>
    <t>ORD11953</t>
  </si>
  <si>
    <t>2026-01-19</t>
  </si>
  <si>
    <t>ORD11954</t>
  </si>
  <si>
    <t>13/11/2025</t>
  </si>
  <si>
    <t>ORD11955</t>
  </si>
  <si>
    <t>ORD11956</t>
  </si>
  <si>
    <t>2025-09-01</t>
  </si>
  <si>
    <t>ORD11957</t>
  </si>
  <si>
    <t>20/07/2025</t>
  </si>
  <si>
    <t>ORD11958</t>
  </si>
  <si>
    <t>05-01-2025</t>
  </si>
  <si>
    <t>ORD11959</t>
  </si>
  <si>
    <t>ORD11960</t>
  </si>
  <si>
    <t>2026-06-05</t>
  </si>
  <si>
    <t>ORD11961</t>
  </si>
  <si>
    <t>ORD11962</t>
  </si>
  <si>
    <t>ORD11963</t>
  </si>
  <si>
    <t>ORD11964</t>
  </si>
  <si>
    <t>ORD11965</t>
  </si>
  <si>
    <t>ORD11966</t>
  </si>
  <si>
    <t>ORD11967</t>
  </si>
  <si>
    <t>2026-06-14</t>
  </si>
  <si>
    <t>ORD11968</t>
  </si>
  <si>
    <t>ORD11969</t>
  </si>
  <si>
    <t>2025-07-09</t>
  </si>
  <si>
    <t>ORD11970</t>
  </si>
  <si>
    <t>ORD11971</t>
  </si>
  <si>
    <t>ORD11972</t>
  </si>
  <si>
    <t>04-11-2026</t>
  </si>
  <si>
    <t>ORD11973</t>
  </si>
  <si>
    <t>ORD11974</t>
  </si>
  <si>
    <t>ORD11975</t>
  </si>
  <si>
    <t>ORD11976</t>
  </si>
  <si>
    <t>ORD11977</t>
  </si>
  <si>
    <t>2025-06-27</t>
  </si>
  <si>
    <t>ORD11978</t>
  </si>
  <si>
    <t>ORD11979</t>
  </si>
  <si>
    <t>ORD11980</t>
  </si>
  <si>
    <t>ORD11981</t>
  </si>
  <si>
    <t>09/05/2025</t>
  </si>
  <si>
    <t>ORD11982</t>
  </si>
  <si>
    <t>ORD11983</t>
  </si>
  <si>
    <t>2025-03-04</t>
  </si>
  <si>
    <t>ORD11984</t>
  </si>
  <si>
    <t>ORD11985</t>
  </si>
  <si>
    <t>01-25-2025</t>
  </si>
  <si>
    <t>ORD11986</t>
  </si>
  <si>
    <t>ORD11987</t>
  </si>
  <si>
    <t>ORD11988</t>
  </si>
  <si>
    <t>ORD11989</t>
  </si>
  <si>
    <t>ORD11990</t>
  </si>
  <si>
    <t>ORD11991</t>
  </si>
  <si>
    <t>ORD11992</t>
  </si>
  <si>
    <t>ORD11993</t>
  </si>
  <si>
    <t>01-01-2025</t>
  </si>
  <si>
    <t>ORD11994</t>
  </si>
  <si>
    <t>2026-01-28</t>
  </si>
  <si>
    <t>ORD11995</t>
  </si>
  <si>
    <t>ORD11996</t>
  </si>
  <si>
    <t>ORD11997</t>
  </si>
  <si>
    <t>₦42,560</t>
  </si>
  <si>
    <t>ORD11998</t>
  </si>
  <si>
    <t>12-25-2025</t>
  </si>
  <si>
    <t>ORD11999</t>
  </si>
  <si>
    <t>Delivery Score</t>
  </si>
  <si>
    <t>Unknown</t>
  </si>
  <si>
    <t>Null</t>
  </si>
  <si>
    <t>ORDER DATE</t>
  </si>
  <si>
    <t>GENDER</t>
  </si>
  <si>
    <t>AGE</t>
  </si>
  <si>
    <t>CATEGORY</t>
  </si>
  <si>
    <t>QUALITY</t>
  </si>
  <si>
    <t>PAYMENT METHOD</t>
  </si>
  <si>
    <t>Sum of Sales Revenue</t>
  </si>
  <si>
    <t>Row Labels</t>
  </si>
  <si>
    <t>Grand Total</t>
  </si>
  <si>
    <t>Count of Order ID</t>
  </si>
  <si>
    <t>Sum of Delivery Score</t>
  </si>
  <si>
    <t>Sum of Quantity</t>
  </si>
  <si>
    <t>Jan</t>
  </si>
  <si>
    <t>Feb</t>
  </si>
  <si>
    <t>Mar</t>
  </si>
  <si>
    <t>Apr</t>
  </si>
  <si>
    <t>May</t>
  </si>
  <si>
    <t>Jun</t>
  </si>
  <si>
    <t>Jul</t>
  </si>
  <si>
    <t>Aug</t>
  </si>
  <si>
    <t>Sep</t>
  </si>
  <si>
    <t>Oct</t>
  </si>
  <si>
    <t>Nov</t>
  </si>
  <si>
    <t>Dec</t>
  </si>
  <si>
    <t>Column Labels</t>
  </si>
  <si>
    <t>Sum of Customer Rating</t>
  </si>
  <si>
    <t>(blank)</t>
  </si>
  <si>
    <t>Average of Sales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</si>
</sst>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quot;₦&quot;#,##0.00"/>
    <numFmt numFmtId="165" formatCode="_-* #,##0_-;\-* #,##0_-;_-* &quot;-&quot;??_-;_-@_-"/>
  </numFmts>
  <fonts count="3" x14ac:knownFonts="1">
    <font>
      <sz val="11"/>
      <color theme="1"/>
      <name val="Calibri"/>
      <family val="2"/>
      <scheme val="minor"/>
    </font>
    <font>
      <b/>
      <sz val="11"/>
      <color theme="0"/>
      <name val="Calibri"/>
      <family val="2"/>
      <scheme val="minor"/>
    </font>
    <font>
      <sz val="11"/>
      <color theme="1"/>
      <name val="Calibri"/>
      <family val="2"/>
      <scheme val="minor"/>
    </font>
  </fonts>
  <fills count="3">
    <fill>
      <patternFill patternType="none"/>
    </fill>
    <fill>
      <patternFill patternType="gray125"/>
    </fill>
    <fill>
      <patternFill patternType="solid">
        <fgColor rgb="FFA5A5A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3">
    <xf numFmtId="0" fontId="0" fillId="0" borderId="0"/>
    <xf numFmtId="0" fontId="1" fillId="2" borderId="1" applyNumberFormat="0" applyAlignment="0" applyProtection="0"/>
    <xf numFmtId="43" fontId="2" fillId="0" borderId="0" applyFont="0" applyFill="0" applyBorder="0" applyAlignment="0" applyProtection="0"/>
  </cellStyleXfs>
  <cellXfs count="9">
    <xf numFmtId="0" fontId="0" fillId="0" borderId="0" xfId="0"/>
    <xf numFmtId="14" fontId="0" fillId="0" borderId="0" xfId="0" applyNumberFormat="1"/>
    <xf numFmtId="14" fontId="1" fillId="2" borderId="1" xfId="1" applyNumberFormat="1"/>
    <xf numFmtId="0" fontId="1" fillId="2" borderId="1" xfId="1"/>
    <xf numFmtId="164" fontId="0" fillId="0" borderId="0" xfId="0" applyNumberFormat="1"/>
    <xf numFmtId="0" fontId="0" fillId="0" borderId="0" xfId="0" pivotButton="1"/>
    <xf numFmtId="0" fontId="0" fillId="0" borderId="0" xfId="0" applyAlignment="1">
      <alignment horizontal="left"/>
    </xf>
    <xf numFmtId="165" fontId="0" fillId="0" borderId="0" xfId="2" applyNumberFormat="1" applyFont="1"/>
    <xf numFmtId="0" fontId="0" fillId="0" borderId="0" xfId="0" applyNumberFormat="1"/>
  </cellXfs>
  <cellStyles count="3">
    <cellStyle name="Check Cell" xfId="1" builtinId="23"/>
    <cellStyle name="Comma" xfId="2" builtinId="3"/>
    <cellStyle name="Normal" xfId="0" builtinId="0"/>
  </cellStyles>
  <dxfs count="13">
    <dxf>
      <numFmt numFmtId="0" formatCode="General"/>
    </dxf>
    <dxf>
      <numFmt numFmtId="0" formatCode="General"/>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Dataset.xlsx]Analysis!PivotTable5</c:name>
    <c:fmtId val="3"/>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t>Total 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Analysis!$B$6:$B$18</c:f>
              <c:numCache>
                <c:formatCode>"₦"#,##0.00</c:formatCode>
                <c:ptCount val="12"/>
                <c:pt idx="0">
                  <c:v>20385945</c:v>
                </c:pt>
                <c:pt idx="1">
                  <c:v>19304555</c:v>
                </c:pt>
                <c:pt idx="2">
                  <c:v>19259095</c:v>
                </c:pt>
                <c:pt idx="3">
                  <c:v>21576305</c:v>
                </c:pt>
                <c:pt idx="4">
                  <c:v>18567260</c:v>
                </c:pt>
                <c:pt idx="5">
                  <c:v>19601220</c:v>
                </c:pt>
                <c:pt idx="6">
                  <c:v>14787210</c:v>
                </c:pt>
                <c:pt idx="7">
                  <c:v>13513785</c:v>
                </c:pt>
                <c:pt idx="8">
                  <c:v>13078995</c:v>
                </c:pt>
                <c:pt idx="9">
                  <c:v>10866870</c:v>
                </c:pt>
                <c:pt idx="10">
                  <c:v>11168680</c:v>
                </c:pt>
                <c:pt idx="11">
                  <c:v>12087925</c:v>
                </c:pt>
              </c:numCache>
            </c:numRef>
          </c:val>
          <c:smooth val="0"/>
          <c:extLst>
            <c:ext xmlns:c16="http://schemas.microsoft.com/office/drawing/2014/chart" uri="{C3380CC4-5D6E-409C-BE32-E72D297353CC}">
              <c16:uniqueId val="{00000000-42F5-4DAB-91B1-A5DD9730EF4E}"/>
            </c:ext>
          </c:extLst>
        </c:ser>
        <c:dLbls>
          <c:showLegendKey val="0"/>
          <c:showVal val="0"/>
          <c:showCatName val="0"/>
          <c:showSerName val="0"/>
          <c:showPercent val="0"/>
          <c:showBubbleSize val="0"/>
        </c:dLbls>
        <c:marker val="1"/>
        <c:smooth val="0"/>
        <c:axId val="780540240"/>
        <c:axId val="348594912"/>
      </c:lineChart>
      <c:catAx>
        <c:axId val="78054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8594912"/>
        <c:crosses val="autoZero"/>
        <c:auto val="1"/>
        <c:lblAlgn val="ctr"/>
        <c:lblOffset val="100"/>
        <c:noMultiLvlLbl val="0"/>
      </c:catAx>
      <c:valAx>
        <c:axId val="3485949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054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Dataset.xlsx]Analysis!PivotTable6</c:name>
    <c:fmtId val="4"/>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t>Total Revenue by sales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Analysis!$E$5</c:f>
              <c:strCache>
                <c:ptCount val="1"/>
                <c:pt idx="0">
                  <c:v>Total</c:v>
                </c:pt>
              </c:strCache>
            </c:strRef>
          </c:tx>
          <c:spPr>
            <a:solidFill>
              <a:schemeClr val="accent1"/>
            </a:solidFill>
            <a:ln>
              <a:noFill/>
            </a:ln>
            <a:effectLst/>
          </c:spPr>
          <c:invertIfNegative val="0"/>
          <c:cat>
            <c:strRef>
              <c:f>Analysis!$D$6:$D$12</c:f>
              <c:strCache>
                <c:ptCount val="6"/>
                <c:pt idx="0">
                  <c:v>Ada</c:v>
                </c:pt>
                <c:pt idx="1">
                  <c:v>Faith</c:v>
                </c:pt>
                <c:pt idx="2">
                  <c:v>James</c:v>
                </c:pt>
                <c:pt idx="3">
                  <c:v>Kelvin</c:v>
                </c:pt>
                <c:pt idx="4">
                  <c:v>Musa</c:v>
                </c:pt>
                <c:pt idx="5">
                  <c:v>Sandra</c:v>
                </c:pt>
              </c:strCache>
            </c:strRef>
          </c:cat>
          <c:val>
            <c:numRef>
              <c:f>Analysis!$E$6:$E$12</c:f>
              <c:numCache>
                <c:formatCode>"₦"#,##0.00</c:formatCode>
                <c:ptCount val="6"/>
                <c:pt idx="0">
                  <c:v>29567795</c:v>
                </c:pt>
                <c:pt idx="1">
                  <c:v>30299095</c:v>
                </c:pt>
                <c:pt idx="2">
                  <c:v>34217180</c:v>
                </c:pt>
                <c:pt idx="3">
                  <c:v>33198910</c:v>
                </c:pt>
                <c:pt idx="4">
                  <c:v>33813560</c:v>
                </c:pt>
                <c:pt idx="5">
                  <c:v>33101305</c:v>
                </c:pt>
              </c:numCache>
            </c:numRef>
          </c:val>
          <c:extLst>
            <c:ext xmlns:c16="http://schemas.microsoft.com/office/drawing/2014/chart" uri="{C3380CC4-5D6E-409C-BE32-E72D297353CC}">
              <c16:uniqueId val="{00000000-F2B9-4767-AE97-D55FA61EEAA4}"/>
            </c:ext>
          </c:extLst>
        </c:ser>
        <c:dLbls>
          <c:showLegendKey val="0"/>
          <c:showVal val="0"/>
          <c:showCatName val="0"/>
          <c:showSerName val="0"/>
          <c:showPercent val="0"/>
          <c:showBubbleSize val="0"/>
        </c:dLbls>
        <c:gapWidth val="219"/>
        <c:overlap val="-27"/>
        <c:axId val="780581536"/>
        <c:axId val="272884768"/>
      </c:barChart>
      <c:catAx>
        <c:axId val="78058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2884768"/>
        <c:crosses val="autoZero"/>
        <c:auto val="1"/>
        <c:lblAlgn val="ctr"/>
        <c:lblOffset val="100"/>
        <c:noMultiLvlLbl val="0"/>
      </c:catAx>
      <c:valAx>
        <c:axId val="272884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058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Dataset.xlsx]Analysis!PivotTable10</c:name>
    <c:fmtId val="8"/>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t>Total Revenue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Analysis!$E$14</c:f>
              <c:strCache>
                <c:ptCount val="1"/>
                <c:pt idx="0">
                  <c:v>Total</c:v>
                </c:pt>
              </c:strCache>
            </c:strRef>
          </c:tx>
          <c:spPr>
            <a:solidFill>
              <a:schemeClr val="accent1"/>
            </a:solidFill>
            <a:ln>
              <a:noFill/>
            </a:ln>
            <a:effectLst/>
          </c:spPr>
          <c:invertIfNegative val="0"/>
          <c:cat>
            <c:strRef>
              <c:f>Analysis!$D$15:$D$19</c:f>
              <c:strCache>
                <c:ptCount val="4"/>
                <c:pt idx="0">
                  <c:v>Card</c:v>
                </c:pt>
                <c:pt idx="1">
                  <c:v>Cash</c:v>
                </c:pt>
                <c:pt idx="2">
                  <c:v>Null</c:v>
                </c:pt>
                <c:pt idx="3">
                  <c:v>Transfer</c:v>
                </c:pt>
              </c:strCache>
            </c:strRef>
          </c:cat>
          <c:val>
            <c:numRef>
              <c:f>Analysis!$E$15:$E$19</c:f>
              <c:numCache>
                <c:formatCode>"₦"#,##0.00</c:formatCode>
                <c:ptCount val="4"/>
                <c:pt idx="0">
                  <c:v>52988730</c:v>
                </c:pt>
                <c:pt idx="1">
                  <c:v>49924945</c:v>
                </c:pt>
                <c:pt idx="2">
                  <c:v>4482750</c:v>
                </c:pt>
                <c:pt idx="3">
                  <c:v>86801420</c:v>
                </c:pt>
              </c:numCache>
            </c:numRef>
          </c:val>
          <c:extLst>
            <c:ext xmlns:c16="http://schemas.microsoft.com/office/drawing/2014/chart" uri="{C3380CC4-5D6E-409C-BE32-E72D297353CC}">
              <c16:uniqueId val="{00000000-ABD8-4DF9-94B8-895D73BBC80E}"/>
            </c:ext>
          </c:extLst>
        </c:ser>
        <c:dLbls>
          <c:showLegendKey val="0"/>
          <c:showVal val="0"/>
          <c:showCatName val="0"/>
          <c:showSerName val="0"/>
          <c:showPercent val="0"/>
          <c:showBubbleSize val="0"/>
        </c:dLbls>
        <c:gapWidth val="182"/>
        <c:axId val="780611696"/>
        <c:axId val="846470720"/>
      </c:barChart>
      <c:catAx>
        <c:axId val="78061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6470720"/>
        <c:crosses val="autoZero"/>
        <c:auto val="1"/>
        <c:lblAlgn val="ctr"/>
        <c:lblOffset val="100"/>
        <c:noMultiLvlLbl val="0"/>
      </c:catAx>
      <c:valAx>
        <c:axId val="8464707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061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Dataset.xlsx]Analysis!PivotTable7</c:name>
    <c:fmtId val="4"/>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t>Total 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Analysis!$H$5</c:f>
              <c:strCache>
                <c:ptCount val="1"/>
                <c:pt idx="0">
                  <c:v>Total</c:v>
                </c:pt>
              </c:strCache>
            </c:strRef>
          </c:tx>
          <c:spPr>
            <a:solidFill>
              <a:schemeClr val="accent1"/>
            </a:solidFill>
            <a:ln>
              <a:noFill/>
            </a:ln>
            <a:effectLst/>
          </c:spPr>
          <c:invertIfNegative val="0"/>
          <c:cat>
            <c:strRef>
              <c:f>Analysis!$G$6:$G$10</c:f>
              <c:strCache>
                <c:ptCount val="4"/>
                <c:pt idx="0">
                  <c:v>Electronics</c:v>
                </c:pt>
                <c:pt idx="1">
                  <c:v>Fashion</c:v>
                </c:pt>
                <c:pt idx="2">
                  <c:v>Furniture</c:v>
                </c:pt>
                <c:pt idx="3">
                  <c:v>Groceries</c:v>
                </c:pt>
              </c:strCache>
            </c:strRef>
          </c:cat>
          <c:val>
            <c:numRef>
              <c:f>Analysis!$H$6:$H$10</c:f>
              <c:numCache>
                <c:formatCode>"₦"#,##0.00</c:formatCode>
                <c:ptCount val="4"/>
                <c:pt idx="0">
                  <c:v>52830885</c:v>
                </c:pt>
                <c:pt idx="1">
                  <c:v>49100880</c:v>
                </c:pt>
                <c:pt idx="2">
                  <c:v>47549395</c:v>
                </c:pt>
                <c:pt idx="3">
                  <c:v>44716685</c:v>
                </c:pt>
              </c:numCache>
            </c:numRef>
          </c:val>
          <c:extLst>
            <c:ext xmlns:c16="http://schemas.microsoft.com/office/drawing/2014/chart" uri="{C3380CC4-5D6E-409C-BE32-E72D297353CC}">
              <c16:uniqueId val="{00000000-4562-4E43-A7AD-073768A0A78E}"/>
            </c:ext>
          </c:extLst>
        </c:ser>
        <c:dLbls>
          <c:showLegendKey val="0"/>
          <c:showVal val="0"/>
          <c:showCatName val="0"/>
          <c:showSerName val="0"/>
          <c:showPercent val="0"/>
          <c:showBubbleSize val="0"/>
        </c:dLbls>
        <c:gapWidth val="182"/>
        <c:axId val="780647424"/>
        <c:axId val="846465440"/>
      </c:barChart>
      <c:catAx>
        <c:axId val="780647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6465440"/>
        <c:crosses val="autoZero"/>
        <c:auto val="1"/>
        <c:lblAlgn val="ctr"/>
        <c:lblOffset val="100"/>
        <c:noMultiLvlLbl val="0"/>
      </c:catAx>
      <c:valAx>
        <c:axId val="8464654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064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Dataset.xlsx]Analysis!PivotTable8</c:name>
    <c:fmtId val="4"/>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t>Total Total revenue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Analysis!$G$13:$G$19</c:f>
              <c:strCache>
                <c:ptCount val="6"/>
                <c:pt idx="0">
                  <c:v>Abuja</c:v>
                </c:pt>
                <c:pt idx="1">
                  <c:v>Enugu</c:v>
                </c:pt>
                <c:pt idx="2">
                  <c:v>Kano</c:v>
                </c:pt>
                <c:pt idx="3">
                  <c:v>Lagos</c:v>
                </c:pt>
                <c:pt idx="4">
                  <c:v>Oyo</c:v>
                </c:pt>
                <c:pt idx="5">
                  <c:v>Rivers</c:v>
                </c:pt>
              </c:strCache>
            </c:strRef>
          </c:cat>
          <c:val>
            <c:numRef>
              <c:f>Analysis!$H$13:$H$19</c:f>
              <c:numCache>
                <c:formatCode>"₦"#,##0.00</c:formatCode>
                <c:ptCount val="6"/>
                <c:pt idx="0">
                  <c:v>29832520</c:v>
                </c:pt>
                <c:pt idx="1">
                  <c:v>32341175</c:v>
                </c:pt>
                <c:pt idx="2">
                  <c:v>29760270</c:v>
                </c:pt>
                <c:pt idx="3">
                  <c:v>29917330</c:v>
                </c:pt>
                <c:pt idx="4">
                  <c:v>35435050</c:v>
                </c:pt>
                <c:pt idx="5">
                  <c:v>36911500</c:v>
                </c:pt>
              </c:numCache>
            </c:numRef>
          </c:val>
          <c:smooth val="0"/>
          <c:extLst>
            <c:ext xmlns:c16="http://schemas.microsoft.com/office/drawing/2014/chart" uri="{C3380CC4-5D6E-409C-BE32-E72D297353CC}">
              <c16:uniqueId val="{00000000-89AF-4517-91A9-0643D3BAF6BE}"/>
            </c:ext>
          </c:extLst>
        </c:ser>
        <c:dLbls>
          <c:showLegendKey val="0"/>
          <c:showVal val="0"/>
          <c:showCatName val="0"/>
          <c:showSerName val="0"/>
          <c:showPercent val="0"/>
          <c:showBubbleSize val="0"/>
        </c:dLbls>
        <c:marker val="1"/>
        <c:smooth val="0"/>
        <c:axId val="780666912"/>
        <c:axId val="846455360"/>
      </c:lineChart>
      <c:catAx>
        <c:axId val="78066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6455360"/>
        <c:crosses val="autoZero"/>
        <c:auto val="1"/>
        <c:lblAlgn val="ctr"/>
        <c:lblOffset val="100"/>
        <c:noMultiLvlLbl val="0"/>
      </c:catAx>
      <c:valAx>
        <c:axId val="8464553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066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Dataset.xlsx]Analysis!PivotTable1</c:name>
    <c:fmtId val="4"/>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solidFill>
                  <a:schemeClr val="tx2"/>
                </a:solidFill>
              </a:rPr>
              <a:t>Total quantity by sales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Analysis!$K$5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B8-49C5-86B5-4D70A0B315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B8-49C5-86B5-4D70A0B315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B8-49C5-86B5-4D70A0B315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B8-49C5-86B5-4D70A0B315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9B8-49C5-86B5-4D70A0B3155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9B8-49C5-86B5-4D70A0B3155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Analysis!$J$6:$J$12</c:f>
              <c:strCache>
                <c:ptCount val="6"/>
                <c:pt idx="0">
                  <c:v>Ada</c:v>
                </c:pt>
                <c:pt idx="1">
                  <c:v>Faith</c:v>
                </c:pt>
                <c:pt idx="2">
                  <c:v>James</c:v>
                </c:pt>
                <c:pt idx="3">
                  <c:v>Kelvin</c:v>
                </c:pt>
                <c:pt idx="4">
                  <c:v>Musa</c:v>
                </c:pt>
                <c:pt idx="5">
                  <c:v>Sandra</c:v>
                </c:pt>
              </c:strCache>
            </c:strRef>
          </c:cat>
          <c:val>
            <c:numRef>
              <c:f>Analysis!$K$6:$K$12</c:f>
              <c:numCache>
                <c:formatCode>General</c:formatCode>
                <c:ptCount val="6"/>
                <c:pt idx="0">
                  <c:v>1381</c:v>
                </c:pt>
                <c:pt idx="1">
                  <c:v>1302</c:v>
                </c:pt>
                <c:pt idx="2">
                  <c:v>1417</c:v>
                </c:pt>
                <c:pt idx="3">
                  <c:v>1501</c:v>
                </c:pt>
                <c:pt idx="4">
                  <c:v>1479</c:v>
                </c:pt>
                <c:pt idx="5">
                  <c:v>1396</c:v>
                </c:pt>
              </c:numCache>
            </c:numRef>
          </c:val>
          <c:extLst>
            <c:ext xmlns:c16="http://schemas.microsoft.com/office/drawing/2014/chart" uri="{C3380CC4-5D6E-409C-BE32-E72D297353CC}">
              <c16:uniqueId val="{0000000C-59B8-49C5-86B5-4D70A0B3155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Dataset.xlsx]Analysis!PivotTable9</c:name>
    <c:fmtId val="5"/>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t>Delivery distribution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Analysis!$B$22:$B$23</c:f>
              <c:strCache>
                <c:ptCount val="1"/>
                <c:pt idx="0">
                  <c:v>Cancelled</c:v>
                </c:pt>
              </c:strCache>
            </c:strRef>
          </c:tx>
          <c:spPr>
            <a:solidFill>
              <a:schemeClr val="accent1"/>
            </a:solidFill>
            <a:ln>
              <a:noFill/>
            </a:ln>
            <a:effectLst/>
          </c:spPr>
          <c:invertIfNegative val="0"/>
          <c:cat>
            <c:strRef>
              <c:f>Analysis!$A$24:$A$30</c:f>
              <c:strCache>
                <c:ptCount val="6"/>
                <c:pt idx="0">
                  <c:v>Abuja</c:v>
                </c:pt>
                <c:pt idx="1">
                  <c:v>Enugu</c:v>
                </c:pt>
                <c:pt idx="2">
                  <c:v>Kano</c:v>
                </c:pt>
                <c:pt idx="3">
                  <c:v>Lagos</c:v>
                </c:pt>
                <c:pt idx="4">
                  <c:v>Oyo</c:v>
                </c:pt>
                <c:pt idx="5">
                  <c:v>Rivers</c:v>
                </c:pt>
              </c:strCache>
            </c:strRef>
          </c:cat>
          <c:val>
            <c:numRef>
              <c:f>Analysis!$B$24:$B$30</c:f>
              <c:numCache>
                <c:formatCode>General</c:formatCode>
                <c:ptCount val="6"/>
                <c:pt idx="0">
                  <c:v>372</c:v>
                </c:pt>
                <c:pt idx="1">
                  <c:v>280</c:v>
                </c:pt>
                <c:pt idx="2">
                  <c:v>376</c:v>
                </c:pt>
                <c:pt idx="3">
                  <c:v>321</c:v>
                </c:pt>
                <c:pt idx="4">
                  <c:v>313</c:v>
                </c:pt>
                <c:pt idx="5">
                  <c:v>400</c:v>
                </c:pt>
              </c:numCache>
            </c:numRef>
          </c:val>
          <c:extLst>
            <c:ext xmlns:c16="http://schemas.microsoft.com/office/drawing/2014/chart" uri="{C3380CC4-5D6E-409C-BE32-E72D297353CC}">
              <c16:uniqueId val="{00000000-5116-404F-B7FD-B7F09C58D7C3}"/>
            </c:ext>
          </c:extLst>
        </c:ser>
        <c:ser>
          <c:idx val="1"/>
          <c:order val="1"/>
          <c:tx>
            <c:strRef>
              <c:f>Analysis!$C$22:$C$23</c:f>
              <c:strCache>
                <c:ptCount val="1"/>
                <c:pt idx="0">
                  <c:v>Delivered</c:v>
                </c:pt>
              </c:strCache>
            </c:strRef>
          </c:tx>
          <c:spPr>
            <a:solidFill>
              <a:schemeClr val="accent2"/>
            </a:solidFill>
            <a:ln>
              <a:noFill/>
            </a:ln>
            <a:effectLst/>
          </c:spPr>
          <c:invertIfNegative val="0"/>
          <c:cat>
            <c:strRef>
              <c:f>Analysis!$A$24:$A$30</c:f>
              <c:strCache>
                <c:ptCount val="6"/>
                <c:pt idx="0">
                  <c:v>Abuja</c:v>
                </c:pt>
                <c:pt idx="1">
                  <c:v>Enugu</c:v>
                </c:pt>
                <c:pt idx="2">
                  <c:v>Kano</c:v>
                </c:pt>
                <c:pt idx="3">
                  <c:v>Lagos</c:v>
                </c:pt>
                <c:pt idx="4">
                  <c:v>Oyo</c:v>
                </c:pt>
                <c:pt idx="5">
                  <c:v>Rivers</c:v>
                </c:pt>
              </c:strCache>
            </c:strRef>
          </c:cat>
          <c:val>
            <c:numRef>
              <c:f>Analysis!$C$24:$C$30</c:f>
              <c:numCache>
                <c:formatCode>General</c:formatCode>
                <c:ptCount val="6"/>
                <c:pt idx="0">
                  <c:v>363</c:v>
                </c:pt>
                <c:pt idx="1">
                  <c:v>419</c:v>
                </c:pt>
                <c:pt idx="2">
                  <c:v>253</c:v>
                </c:pt>
                <c:pt idx="3">
                  <c:v>328</c:v>
                </c:pt>
                <c:pt idx="4">
                  <c:v>332</c:v>
                </c:pt>
                <c:pt idx="5">
                  <c:v>341</c:v>
                </c:pt>
              </c:numCache>
            </c:numRef>
          </c:val>
          <c:extLst>
            <c:ext xmlns:c16="http://schemas.microsoft.com/office/drawing/2014/chart" uri="{C3380CC4-5D6E-409C-BE32-E72D297353CC}">
              <c16:uniqueId val="{00000002-858E-4C4C-8B45-25C025B364C1}"/>
            </c:ext>
          </c:extLst>
        </c:ser>
        <c:ser>
          <c:idx val="2"/>
          <c:order val="2"/>
          <c:tx>
            <c:strRef>
              <c:f>Analysis!$D$22:$D$23</c:f>
              <c:strCache>
                <c:ptCount val="1"/>
                <c:pt idx="0">
                  <c:v>In Transit</c:v>
                </c:pt>
              </c:strCache>
            </c:strRef>
          </c:tx>
          <c:spPr>
            <a:solidFill>
              <a:schemeClr val="accent3"/>
            </a:solidFill>
            <a:ln>
              <a:noFill/>
            </a:ln>
            <a:effectLst/>
          </c:spPr>
          <c:invertIfNegative val="0"/>
          <c:cat>
            <c:strRef>
              <c:f>Analysis!$A$24:$A$30</c:f>
              <c:strCache>
                <c:ptCount val="6"/>
                <c:pt idx="0">
                  <c:v>Abuja</c:v>
                </c:pt>
                <c:pt idx="1">
                  <c:v>Enugu</c:v>
                </c:pt>
                <c:pt idx="2">
                  <c:v>Kano</c:v>
                </c:pt>
                <c:pt idx="3">
                  <c:v>Lagos</c:v>
                </c:pt>
                <c:pt idx="4">
                  <c:v>Oyo</c:v>
                </c:pt>
                <c:pt idx="5">
                  <c:v>Rivers</c:v>
                </c:pt>
              </c:strCache>
            </c:strRef>
          </c:cat>
          <c:val>
            <c:numRef>
              <c:f>Analysis!$D$24:$D$30</c:f>
              <c:numCache>
                <c:formatCode>General</c:formatCode>
                <c:ptCount val="6"/>
                <c:pt idx="0">
                  <c:v>247</c:v>
                </c:pt>
                <c:pt idx="1">
                  <c:v>377</c:v>
                </c:pt>
                <c:pt idx="2">
                  <c:v>387</c:v>
                </c:pt>
                <c:pt idx="3">
                  <c:v>375</c:v>
                </c:pt>
                <c:pt idx="4">
                  <c:v>409</c:v>
                </c:pt>
                <c:pt idx="5">
                  <c:v>418</c:v>
                </c:pt>
              </c:numCache>
            </c:numRef>
          </c:val>
          <c:extLst>
            <c:ext xmlns:c16="http://schemas.microsoft.com/office/drawing/2014/chart" uri="{C3380CC4-5D6E-409C-BE32-E72D297353CC}">
              <c16:uniqueId val="{00000003-858E-4C4C-8B45-25C025B364C1}"/>
            </c:ext>
          </c:extLst>
        </c:ser>
        <c:ser>
          <c:idx val="3"/>
          <c:order val="3"/>
          <c:tx>
            <c:strRef>
              <c:f>Analysis!$E$22:$E$23</c:f>
              <c:strCache>
                <c:ptCount val="1"/>
                <c:pt idx="0">
                  <c:v>Pending</c:v>
                </c:pt>
              </c:strCache>
            </c:strRef>
          </c:tx>
          <c:spPr>
            <a:solidFill>
              <a:schemeClr val="accent4"/>
            </a:solidFill>
            <a:ln>
              <a:noFill/>
            </a:ln>
            <a:effectLst/>
          </c:spPr>
          <c:invertIfNegative val="0"/>
          <c:cat>
            <c:strRef>
              <c:f>Analysis!$A$24:$A$30</c:f>
              <c:strCache>
                <c:ptCount val="6"/>
                <c:pt idx="0">
                  <c:v>Abuja</c:v>
                </c:pt>
                <c:pt idx="1">
                  <c:v>Enugu</c:v>
                </c:pt>
                <c:pt idx="2">
                  <c:v>Kano</c:v>
                </c:pt>
                <c:pt idx="3">
                  <c:v>Lagos</c:v>
                </c:pt>
                <c:pt idx="4">
                  <c:v>Oyo</c:v>
                </c:pt>
                <c:pt idx="5">
                  <c:v>Rivers</c:v>
                </c:pt>
              </c:strCache>
            </c:strRef>
          </c:cat>
          <c:val>
            <c:numRef>
              <c:f>Analysis!$E$24:$E$30</c:f>
              <c:numCache>
                <c:formatCode>General</c:formatCode>
                <c:ptCount val="6"/>
                <c:pt idx="0">
                  <c:v>385</c:v>
                </c:pt>
                <c:pt idx="1">
                  <c:v>316</c:v>
                </c:pt>
                <c:pt idx="2">
                  <c:v>302</c:v>
                </c:pt>
                <c:pt idx="3">
                  <c:v>291</c:v>
                </c:pt>
                <c:pt idx="4">
                  <c:v>460</c:v>
                </c:pt>
                <c:pt idx="5">
                  <c:v>411</c:v>
                </c:pt>
              </c:numCache>
            </c:numRef>
          </c:val>
          <c:extLst>
            <c:ext xmlns:c16="http://schemas.microsoft.com/office/drawing/2014/chart" uri="{C3380CC4-5D6E-409C-BE32-E72D297353CC}">
              <c16:uniqueId val="{00000001-9D29-4636-BB08-8A04E89AFF08}"/>
            </c:ext>
          </c:extLst>
        </c:ser>
        <c:dLbls>
          <c:showLegendKey val="0"/>
          <c:showVal val="0"/>
          <c:showCatName val="0"/>
          <c:showSerName val="0"/>
          <c:showPercent val="0"/>
          <c:showBubbleSize val="0"/>
        </c:dLbls>
        <c:gapWidth val="219"/>
        <c:axId val="1164481888"/>
        <c:axId val="348608832"/>
      </c:barChart>
      <c:catAx>
        <c:axId val="116448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8608832"/>
        <c:crosses val="autoZero"/>
        <c:auto val="1"/>
        <c:lblAlgn val="ctr"/>
        <c:lblOffset val="100"/>
        <c:noMultiLvlLbl val="0"/>
      </c:catAx>
      <c:valAx>
        <c:axId val="34860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448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Dataset.xlsx]Analysis!PivotTable11</c:name>
    <c:fmtId val="4"/>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t>Customer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Analysis!$I$22:$I$23</c:f>
              <c:strCache>
                <c:ptCount val="1"/>
                <c:pt idx="0">
                  <c:v>1</c:v>
                </c:pt>
              </c:strCache>
            </c:strRef>
          </c:tx>
          <c:spPr>
            <a:solidFill>
              <a:schemeClr val="accent1"/>
            </a:solidFill>
            <a:ln>
              <a:noFill/>
            </a:ln>
            <a:effectLst/>
          </c:spPr>
          <c:invertIfNegative val="0"/>
          <c:cat>
            <c:strRef>
              <c:f>Analysis!$H$24:$H$28</c:f>
              <c:strCache>
                <c:ptCount val="4"/>
                <c:pt idx="0">
                  <c:v>Electronics</c:v>
                </c:pt>
                <c:pt idx="1">
                  <c:v>Fashion</c:v>
                </c:pt>
                <c:pt idx="2">
                  <c:v>Furniture</c:v>
                </c:pt>
                <c:pt idx="3">
                  <c:v>Groceries</c:v>
                </c:pt>
              </c:strCache>
            </c:strRef>
          </c:cat>
          <c:val>
            <c:numRef>
              <c:f>Analysis!$I$24:$I$28</c:f>
              <c:numCache>
                <c:formatCode>General</c:formatCode>
                <c:ptCount val="4"/>
                <c:pt idx="0">
                  <c:v>57</c:v>
                </c:pt>
                <c:pt idx="1">
                  <c:v>65</c:v>
                </c:pt>
                <c:pt idx="2">
                  <c:v>70</c:v>
                </c:pt>
                <c:pt idx="3">
                  <c:v>49</c:v>
                </c:pt>
              </c:numCache>
            </c:numRef>
          </c:val>
          <c:extLst>
            <c:ext xmlns:c16="http://schemas.microsoft.com/office/drawing/2014/chart" uri="{C3380CC4-5D6E-409C-BE32-E72D297353CC}">
              <c16:uniqueId val="{00000000-5645-481A-958F-F67A57E63FA4}"/>
            </c:ext>
          </c:extLst>
        </c:ser>
        <c:ser>
          <c:idx val="1"/>
          <c:order val="1"/>
          <c:tx>
            <c:strRef>
              <c:f>Analysis!$J$22:$J$23</c:f>
              <c:strCache>
                <c:ptCount val="1"/>
                <c:pt idx="0">
                  <c:v>2</c:v>
                </c:pt>
              </c:strCache>
            </c:strRef>
          </c:tx>
          <c:spPr>
            <a:solidFill>
              <a:schemeClr val="accent2"/>
            </a:solidFill>
            <a:ln>
              <a:noFill/>
            </a:ln>
            <a:effectLst/>
          </c:spPr>
          <c:invertIfNegative val="0"/>
          <c:cat>
            <c:strRef>
              <c:f>Analysis!$H$24:$H$28</c:f>
              <c:strCache>
                <c:ptCount val="4"/>
                <c:pt idx="0">
                  <c:v>Electronics</c:v>
                </c:pt>
                <c:pt idx="1">
                  <c:v>Fashion</c:v>
                </c:pt>
                <c:pt idx="2">
                  <c:v>Furniture</c:v>
                </c:pt>
                <c:pt idx="3">
                  <c:v>Groceries</c:v>
                </c:pt>
              </c:strCache>
            </c:strRef>
          </c:cat>
          <c:val>
            <c:numRef>
              <c:f>Analysis!$J$24:$J$28</c:f>
              <c:numCache>
                <c:formatCode>General</c:formatCode>
                <c:ptCount val="4"/>
                <c:pt idx="0">
                  <c:v>92</c:v>
                </c:pt>
                <c:pt idx="1">
                  <c:v>102</c:v>
                </c:pt>
                <c:pt idx="2">
                  <c:v>100</c:v>
                </c:pt>
                <c:pt idx="3">
                  <c:v>138</c:v>
                </c:pt>
              </c:numCache>
            </c:numRef>
          </c:val>
          <c:extLst>
            <c:ext xmlns:c16="http://schemas.microsoft.com/office/drawing/2014/chart" uri="{C3380CC4-5D6E-409C-BE32-E72D297353CC}">
              <c16:uniqueId val="{00000001-5645-481A-958F-F67A57E63FA4}"/>
            </c:ext>
          </c:extLst>
        </c:ser>
        <c:ser>
          <c:idx val="2"/>
          <c:order val="2"/>
          <c:tx>
            <c:strRef>
              <c:f>Analysis!$K$22:$K$23</c:f>
              <c:strCache>
                <c:ptCount val="1"/>
                <c:pt idx="0">
                  <c:v>3</c:v>
                </c:pt>
              </c:strCache>
            </c:strRef>
          </c:tx>
          <c:spPr>
            <a:solidFill>
              <a:schemeClr val="accent3"/>
            </a:solidFill>
            <a:ln>
              <a:noFill/>
            </a:ln>
            <a:effectLst/>
          </c:spPr>
          <c:invertIfNegative val="0"/>
          <c:cat>
            <c:strRef>
              <c:f>Analysis!$H$24:$H$28</c:f>
              <c:strCache>
                <c:ptCount val="4"/>
                <c:pt idx="0">
                  <c:v>Electronics</c:v>
                </c:pt>
                <c:pt idx="1">
                  <c:v>Fashion</c:v>
                </c:pt>
                <c:pt idx="2">
                  <c:v>Furniture</c:v>
                </c:pt>
                <c:pt idx="3">
                  <c:v>Groceries</c:v>
                </c:pt>
              </c:strCache>
            </c:strRef>
          </c:cat>
          <c:val>
            <c:numRef>
              <c:f>Analysis!$K$24:$K$28</c:f>
              <c:numCache>
                <c:formatCode>General</c:formatCode>
                <c:ptCount val="4"/>
                <c:pt idx="0">
                  <c:v>180</c:v>
                </c:pt>
                <c:pt idx="1">
                  <c:v>147</c:v>
                </c:pt>
                <c:pt idx="2">
                  <c:v>147</c:v>
                </c:pt>
                <c:pt idx="3">
                  <c:v>150</c:v>
                </c:pt>
              </c:numCache>
            </c:numRef>
          </c:val>
          <c:extLst>
            <c:ext xmlns:c16="http://schemas.microsoft.com/office/drawing/2014/chart" uri="{C3380CC4-5D6E-409C-BE32-E72D297353CC}">
              <c16:uniqueId val="{00000002-5645-481A-958F-F67A57E63FA4}"/>
            </c:ext>
          </c:extLst>
        </c:ser>
        <c:ser>
          <c:idx val="3"/>
          <c:order val="3"/>
          <c:tx>
            <c:strRef>
              <c:f>Analysis!$L$22:$L$23</c:f>
              <c:strCache>
                <c:ptCount val="1"/>
                <c:pt idx="0">
                  <c:v>4</c:v>
                </c:pt>
              </c:strCache>
            </c:strRef>
          </c:tx>
          <c:spPr>
            <a:solidFill>
              <a:schemeClr val="accent4"/>
            </a:solidFill>
            <a:ln>
              <a:noFill/>
            </a:ln>
            <a:effectLst/>
          </c:spPr>
          <c:invertIfNegative val="0"/>
          <c:cat>
            <c:strRef>
              <c:f>Analysis!$H$24:$H$28</c:f>
              <c:strCache>
                <c:ptCount val="4"/>
                <c:pt idx="0">
                  <c:v>Electronics</c:v>
                </c:pt>
                <c:pt idx="1">
                  <c:v>Fashion</c:v>
                </c:pt>
                <c:pt idx="2">
                  <c:v>Furniture</c:v>
                </c:pt>
                <c:pt idx="3">
                  <c:v>Groceries</c:v>
                </c:pt>
              </c:strCache>
            </c:strRef>
          </c:cat>
          <c:val>
            <c:numRef>
              <c:f>Analysis!$L$24:$L$28</c:f>
              <c:numCache>
                <c:formatCode>General</c:formatCode>
                <c:ptCount val="4"/>
                <c:pt idx="0">
                  <c:v>232</c:v>
                </c:pt>
                <c:pt idx="1">
                  <c:v>208</c:v>
                </c:pt>
                <c:pt idx="2">
                  <c:v>184</c:v>
                </c:pt>
                <c:pt idx="3">
                  <c:v>200</c:v>
                </c:pt>
              </c:numCache>
            </c:numRef>
          </c:val>
          <c:extLst>
            <c:ext xmlns:c16="http://schemas.microsoft.com/office/drawing/2014/chart" uri="{C3380CC4-5D6E-409C-BE32-E72D297353CC}">
              <c16:uniqueId val="{00000003-5645-481A-958F-F67A57E63FA4}"/>
            </c:ext>
          </c:extLst>
        </c:ser>
        <c:ser>
          <c:idx val="4"/>
          <c:order val="4"/>
          <c:tx>
            <c:strRef>
              <c:f>Analysis!$M$22:$M$23</c:f>
              <c:strCache>
                <c:ptCount val="1"/>
                <c:pt idx="0">
                  <c:v>5</c:v>
                </c:pt>
              </c:strCache>
            </c:strRef>
          </c:tx>
          <c:spPr>
            <a:solidFill>
              <a:schemeClr val="accent5"/>
            </a:solidFill>
            <a:ln>
              <a:noFill/>
            </a:ln>
            <a:effectLst/>
          </c:spPr>
          <c:invertIfNegative val="0"/>
          <c:cat>
            <c:strRef>
              <c:f>Analysis!$H$24:$H$28</c:f>
              <c:strCache>
                <c:ptCount val="4"/>
                <c:pt idx="0">
                  <c:v>Electronics</c:v>
                </c:pt>
                <c:pt idx="1">
                  <c:v>Fashion</c:v>
                </c:pt>
                <c:pt idx="2">
                  <c:v>Furniture</c:v>
                </c:pt>
                <c:pt idx="3">
                  <c:v>Groceries</c:v>
                </c:pt>
              </c:strCache>
            </c:strRef>
          </c:cat>
          <c:val>
            <c:numRef>
              <c:f>Analysis!$M$24:$M$28</c:f>
              <c:numCache>
                <c:formatCode>General</c:formatCode>
                <c:ptCount val="4"/>
                <c:pt idx="0">
                  <c:v>275</c:v>
                </c:pt>
                <c:pt idx="1">
                  <c:v>220</c:v>
                </c:pt>
                <c:pt idx="2">
                  <c:v>255</c:v>
                </c:pt>
                <c:pt idx="3">
                  <c:v>230</c:v>
                </c:pt>
              </c:numCache>
            </c:numRef>
          </c:val>
          <c:extLst>
            <c:ext xmlns:c16="http://schemas.microsoft.com/office/drawing/2014/chart" uri="{C3380CC4-5D6E-409C-BE32-E72D297353CC}">
              <c16:uniqueId val="{00000004-5645-481A-958F-F67A57E63FA4}"/>
            </c:ext>
          </c:extLst>
        </c:ser>
        <c:ser>
          <c:idx val="5"/>
          <c:order val="5"/>
          <c:tx>
            <c:strRef>
              <c:f>Analysis!$N$22:$N$23</c:f>
              <c:strCache>
                <c:ptCount val="1"/>
                <c:pt idx="0">
                  <c:v>(blank)</c:v>
                </c:pt>
              </c:strCache>
            </c:strRef>
          </c:tx>
          <c:spPr>
            <a:solidFill>
              <a:schemeClr val="accent6"/>
            </a:solidFill>
            <a:ln>
              <a:noFill/>
            </a:ln>
            <a:effectLst/>
          </c:spPr>
          <c:invertIfNegative val="0"/>
          <c:cat>
            <c:strRef>
              <c:f>Analysis!$H$24:$H$28</c:f>
              <c:strCache>
                <c:ptCount val="4"/>
                <c:pt idx="0">
                  <c:v>Electronics</c:v>
                </c:pt>
                <c:pt idx="1">
                  <c:v>Fashion</c:v>
                </c:pt>
                <c:pt idx="2">
                  <c:v>Furniture</c:v>
                </c:pt>
                <c:pt idx="3">
                  <c:v>Groceries</c:v>
                </c:pt>
              </c:strCache>
            </c:strRef>
          </c:cat>
          <c:val>
            <c:numRef>
              <c:f>Analysis!$N$24:$N$28</c:f>
              <c:numCache>
                <c:formatCode>General</c:formatCode>
                <c:ptCount val="4"/>
              </c:numCache>
            </c:numRef>
          </c:val>
          <c:extLst>
            <c:ext xmlns:c16="http://schemas.microsoft.com/office/drawing/2014/chart" uri="{C3380CC4-5D6E-409C-BE32-E72D297353CC}">
              <c16:uniqueId val="{00000005-5645-481A-958F-F67A57E63FA4}"/>
            </c:ext>
          </c:extLst>
        </c:ser>
        <c:dLbls>
          <c:showLegendKey val="0"/>
          <c:showVal val="0"/>
          <c:showCatName val="0"/>
          <c:showSerName val="0"/>
          <c:showPercent val="0"/>
          <c:showBubbleSize val="0"/>
        </c:dLbls>
        <c:gapWidth val="219"/>
        <c:overlap val="-27"/>
        <c:axId val="780698000"/>
        <c:axId val="348584832"/>
      </c:barChart>
      <c:catAx>
        <c:axId val="78069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8584832"/>
        <c:crosses val="autoZero"/>
        <c:auto val="1"/>
        <c:lblAlgn val="ctr"/>
        <c:lblOffset val="100"/>
        <c:noMultiLvlLbl val="0"/>
      </c:catAx>
      <c:valAx>
        <c:axId val="34858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069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Dataset.xlsx]Analysis!PivotTable13</c:name>
    <c:fmtId val="23"/>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t>Total Quantity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Analysis!$N$5</c:f>
              <c:strCache>
                <c:ptCount val="1"/>
                <c:pt idx="0">
                  <c:v>Total</c:v>
                </c:pt>
              </c:strCache>
            </c:strRef>
          </c:tx>
          <c:spPr>
            <a:solidFill>
              <a:schemeClr val="accent1"/>
            </a:solidFill>
            <a:ln>
              <a:noFill/>
            </a:ln>
            <a:effectLst/>
          </c:spPr>
          <c:cat>
            <c:strRef>
              <c:f>Analysis!$M$6:$M$12</c:f>
              <c:strCache>
                <c:ptCount val="6"/>
                <c:pt idx="0">
                  <c:v>Abuja</c:v>
                </c:pt>
                <c:pt idx="1">
                  <c:v>Enugu</c:v>
                </c:pt>
                <c:pt idx="2">
                  <c:v>Kano</c:v>
                </c:pt>
                <c:pt idx="3">
                  <c:v>Lagos</c:v>
                </c:pt>
                <c:pt idx="4">
                  <c:v>Oyo</c:v>
                </c:pt>
                <c:pt idx="5">
                  <c:v>Rivers</c:v>
                </c:pt>
              </c:strCache>
            </c:strRef>
          </c:cat>
          <c:val>
            <c:numRef>
              <c:f>Analysis!$N$6:$N$12</c:f>
              <c:numCache>
                <c:formatCode>General</c:formatCode>
                <c:ptCount val="6"/>
                <c:pt idx="0">
                  <c:v>1367</c:v>
                </c:pt>
                <c:pt idx="1">
                  <c:v>1392</c:v>
                </c:pt>
                <c:pt idx="2">
                  <c:v>1318</c:v>
                </c:pt>
                <c:pt idx="3">
                  <c:v>1315</c:v>
                </c:pt>
                <c:pt idx="4">
                  <c:v>1514</c:v>
                </c:pt>
                <c:pt idx="5">
                  <c:v>1570</c:v>
                </c:pt>
              </c:numCache>
            </c:numRef>
          </c:val>
          <c:extLst>
            <c:ext xmlns:c16="http://schemas.microsoft.com/office/drawing/2014/chart" uri="{C3380CC4-5D6E-409C-BE32-E72D297353CC}">
              <c16:uniqueId val="{00000000-6912-4F34-8BBD-E4C745614F75}"/>
            </c:ext>
          </c:extLst>
        </c:ser>
        <c:dLbls>
          <c:showLegendKey val="0"/>
          <c:showVal val="0"/>
          <c:showCatName val="0"/>
          <c:showSerName val="0"/>
          <c:showPercent val="0"/>
          <c:showBubbleSize val="0"/>
        </c:dLbls>
        <c:axId val="780541168"/>
        <c:axId val="846487040"/>
      </c:areaChart>
      <c:catAx>
        <c:axId val="78054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6487040"/>
        <c:crosses val="autoZero"/>
        <c:auto val="1"/>
        <c:lblAlgn val="ctr"/>
        <c:lblOffset val="100"/>
        <c:noMultiLvlLbl val="0"/>
      </c:catAx>
      <c:valAx>
        <c:axId val="84648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05411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svg"/><Relationship Id="rId18"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svg"/><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image" Target="../media/image1.png"/><Relationship Id="rId19" Type="http://schemas.openxmlformats.org/officeDocument/2006/relationships/image" Target="../media/image10.sv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6</xdr:col>
      <xdr:colOff>115645</xdr:colOff>
      <xdr:row>6</xdr:row>
      <xdr:rowOff>29527</xdr:rowOff>
    </xdr:from>
    <xdr:to>
      <xdr:col>9</xdr:col>
      <xdr:colOff>565225</xdr:colOff>
      <xdr:row>10</xdr:row>
      <xdr:rowOff>44767</xdr:rowOff>
    </xdr:to>
    <xdr:sp macro="" textlink="Analysis!A3">
      <xdr:nvSpPr>
        <xdr:cNvPr id="2" name="TextBox 1">
          <a:extLst>
            <a:ext uri="{FF2B5EF4-FFF2-40B4-BE49-F238E27FC236}">
              <a16:creationId xmlns:a16="http://schemas.microsoft.com/office/drawing/2014/main" id="{1E81AA2F-8E37-B4C2-EFBB-35204FEFBF9B}"/>
            </a:ext>
          </a:extLst>
        </xdr:cNvPr>
        <xdr:cNvSpPr txBox="1"/>
      </xdr:nvSpPr>
      <xdr:spPr>
        <a:xfrm>
          <a:off x="3773245" y="1115377"/>
          <a:ext cx="227838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AF7BCFA-3087-40F9-B75D-E5A3824CC869}" type="TxLink">
            <a:rPr lang="en-US" sz="1600" b="1" i="0" u="none" strike="noStrike">
              <a:solidFill>
                <a:schemeClr val="tx2"/>
              </a:solidFill>
              <a:latin typeface="Calibri"/>
              <a:ea typeface="Calibri"/>
              <a:cs typeface="Calibri"/>
            </a:rPr>
            <a:pPr algn="r"/>
            <a:t>₦194,197,845.00</a:t>
          </a:fld>
          <a:endParaRPr lang="en-US" sz="2400" b="1">
            <a:solidFill>
              <a:schemeClr val="tx2"/>
            </a:solidFill>
          </a:endParaRPr>
        </a:p>
      </xdr:txBody>
    </xdr:sp>
    <xdr:clientData/>
  </xdr:twoCellAnchor>
  <xdr:twoCellAnchor>
    <xdr:from>
      <xdr:col>10</xdr:col>
      <xdr:colOff>73539</xdr:colOff>
      <xdr:row>6</xdr:row>
      <xdr:rowOff>29527</xdr:rowOff>
    </xdr:from>
    <xdr:to>
      <xdr:col>13</xdr:col>
      <xdr:colOff>523119</xdr:colOff>
      <xdr:row>10</xdr:row>
      <xdr:rowOff>44767</xdr:rowOff>
    </xdr:to>
    <xdr:sp macro="" textlink="Analysis!C3">
      <xdr:nvSpPr>
        <xdr:cNvPr id="3" name="TextBox 2">
          <a:extLst>
            <a:ext uri="{FF2B5EF4-FFF2-40B4-BE49-F238E27FC236}">
              <a16:creationId xmlns:a16="http://schemas.microsoft.com/office/drawing/2014/main" id="{B7E607EB-3EF2-4EF3-B5B3-51EAE43F57CD}"/>
            </a:ext>
          </a:extLst>
        </xdr:cNvPr>
        <xdr:cNvSpPr txBox="1"/>
      </xdr:nvSpPr>
      <xdr:spPr>
        <a:xfrm>
          <a:off x="6169539" y="1115377"/>
          <a:ext cx="227838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11DE3045-2047-485A-A7E6-2E93237C4210}" type="TxLink">
            <a:rPr lang="en-US" sz="1600" b="1" i="0" u="none" strike="noStrike">
              <a:solidFill>
                <a:schemeClr val="tx2"/>
              </a:solidFill>
              <a:latin typeface="Calibri"/>
              <a:ea typeface="Calibri"/>
              <a:cs typeface="Calibri"/>
            </a:rPr>
            <a:pPr algn="r"/>
            <a:t> 1,533 </a:t>
          </a:fld>
          <a:endParaRPr lang="en-US" sz="2400" b="1">
            <a:solidFill>
              <a:schemeClr val="tx2"/>
            </a:solidFill>
          </a:endParaRPr>
        </a:p>
      </xdr:txBody>
    </xdr:sp>
    <xdr:clientData/>
  </xdr:twoCellAnchor>
  <xdr:twoCellAnchor>
    <xdr:from>
      <xdr:col>14</xdr:col>
      <xdr:colOff>31434</xdr:colOff>
      <xdr:row>6</xdr:row>
      <xdr:rowOff>29527</xdr:rowOff>
    </xdr:from>
    <xdr:to>
      <xdr:col>17</xdr:col>
      <xdr:colOff>481014</xdr:colOff>
      <xdr:row>10</xdr:row>
      <xdr:rowOff>44767</xdr:rowOff>
    </xdr:to>
    <xdr:sp macro="" textlink="Analysis!E3">
      <xdr:nvSpPr>
        <xdr:cNvPr id="4" name="TextBox 3">
          <a:extLst>
            <a:ext uri="{FF2B5EF4-FFF2-40B4-BE49-F238E27FC236}">
              <a16:creationId xmlns:a16="http://schemas.microsoft.com/office/drawing/2014/main" id="{037E8B01-FFDA-44CA-9D76-14C30EC4AB7B}"/>
            </a:ext>
          </a:extLst>
        </xdr:cNvPr>
        <xdr:cNvSpPr txBox="1"/>
      </xdr:nvSpPr>
      <xdr:spPr>
        <a:xfrm>
          <a:off x="8565834" y="1115377"/>
          <a:ext cx="227838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2FA36B7-418B-43D0-BC7C-8023A59B720B}" type="TxLink">
            <a:rPr lang="en-US" sz="1600" b="1" i="0" u="none" strike="noStrike">
              <a:solidFill>
                <a:schemeClr val="tx2"/>
              </a:solidFill>
              <a:latin typeface="Calibri"/>
              <a:ea typeface="Calibri"/>
              <a:cs typeface="Calibri"/>
            </a:rPr>
            <a:pPr algn="r"/>
            <a:t> 368 </a:t>
          </a:fld>
          <a:endParaRPr lang="en-US" sz="3600" b="1">
            <a:solidFill>
              <a:schemeClr val="tx2"/>
            </a:solidFill>
          </a:endParaRPr>
        </a:p>
      </xdr:txBody>
    </xdr:sp>
    <xdr:clientData/>
  </xdr:twoCellAnchor>
  <xdr:twoCellAnchor>
    <xdr:from>
      <xdr:col>17</xdr:col>
      <xdr:colOff>598929</xdr:colOff>
      <xdr:row>6</xdr:row>
      <xdr:rowOff>29527</xdr:rowOff>
    </xdr:from>
    <xdr:to>
      <xdr:col>21</xdr:col>
      <xdr:colOff>438909</xdr:colOff>
      <xdr:row>10</xdr:row>
      <xdr:rowOff>44767</xdr:rowOff>
    </xdr:to>
    <xdr:sp macro="" textlink="Analysis!G3">
      <xdr:nvSpPr>
        <xdr:cNvPr id="5" name="TextBox 4">
          <a:extLst>
            <a:ext uri="{FF2B5EF4-FFF2-40B4-BE49-F238E27FC236}">
              <a16:creationId xmlns:a16="http://schemas.microsoft.com/office/drawing/2014/main" id="{A75AC01D-107E-40B6-8598-1175AEB4FF42}"/>
            </a:ext>
          </a:extLst>
        </xdr:cNvPr>
        <xdr:cNvSpPr txBox="1"/>
      </xdr:nvSpPr>
      <xdr:spPr>
        <a:xfrm>
          <a:off x="10962129" y="1115377"/>
          <a:ext cx="227838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B507290-FCD2-4794-815D-9677FC25A2CA}" type="TxLink">
            <a:rPr lang="en-US" sz="1600" b="1" i="0" u="none" strike="noStrike">
              <a:solidFill>
                <a:schemeClr val="tx2"/>
              </a:solidFill>
              <a:latin typeface="Calibri"/>
              <a:ea typeface="Calibri"/>
              <a:cs typeface="Calibri"/>
            </a:rPr>
            <a:pPr algn="r"/>
            <a:t> 8,476 </a:t>
          </a:fld>
          <a:endParaRPr lang="en-US" sz="3600" b="1">
            <a:solidFill>
              <a:schemeClr val="tx2"/>
            </a:solidFill>
          </a:endParaRPr>
        </a:p>
      </xdr:txBody>
    </xdr:sp>
    <xdr:clientData/>
  </xdr:twoCellAnchor>
  <xdr:twoCellAnchor>
    <xdr:from>
      <xdr:col>6</xdr:col>
      <xdr:colOff>115645</xdr:colOff>
      <xdr:row>11</xdr:row>
      <xdr:rowOff>22076</xdr:rowOff>
    </xdr:from>
    <xdr:to>
      <xdr:col>12</xdr:col>
      <xdr:colOff>207085</xdr:colOff>
      <xdr:row>21</xdr:row>
      <xdr:rowOff>67796</xdr:rowOff>
    </xdr:to>
    <xdr:graphicFrame macro="">
      <xdr:nvGraphicFramePr>
        <xdr:cNvPr id="6" name="Chart 5">
          <a:extLst>
            <a:ext uri="{FF2B5EF4-FFF2-40B4-BE49-F238E27FC236}">
              <a16:creationId xmlns:a16="http://schemas.microsoft.com/office/drawing/2014/main" id="{4B921F15-B5BB-40C1-9677-A16DE34DF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475412</xdr:colOff>
      <xdr:row>11</xdr:row>
      <xdr:rowOff>32385</xdr:rowOff>
    </xdr:from>
    <xdr:to>
      <xdr:col>19</xdr:col>
      <xdr:colOff>109652</xdr:colOff>
      <xdr:row>21</xdr:row>
      <xdr:rowOff>70485</xdr:rowOff>
    </xdr:to>
    <xdr:graphicFrame macro="">
      <xdr:nvGraphicFramePr>
        <xdr:cNvPr id="7" name="Chart 6">
          <a:extLst>
            <a:ext uri="{FF2B5EF4-FFF2-40B4-BE49-F238E27FC236}">
              <a16:creationId xmlns:a16="http://schemas.microsoft.com/office/drawing/2014/main" id="{26E2E814-1032-4E83-9229-FB40DB146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404424</xdr:colOff>
      <xdr:row>11</xdr:row>
      <xdr:rowOff>62865</xdr:rowOff>
    </xdr:from>
    <xdr:to>
      <xdr:col>25</xdr:col>
      <xdr:colOff>396803</xdr:colOff>
      <xdr:row>21</xdr:row>
      <xdr:rowOff>85725</xdr:rowOff>
    </xdr:to>
    <xdr:graphicFrame macro="">
      <xdr:nvGraphicFramePr>
        <xdr:cNvPr id="8" name="Chart 7">
          <a:extLst>
            <a:ext uri="{FF2B5EF4-FFF2-40B4-BE49-F238E27FC236}">
              <a16:creationId xmlns:a16="http://schemas.microsoft.com/office/drawing/2014/main" id="{2E653449-E101-4953-8BF7-6D8A9E42B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115645</xdr:colOff>
      <xdr:row>22</xdr:row>
      <xdr:rowOff>40005</xdr:rowOff>
    </xdr:from>
    <xdr:to>
      <xdr:col>12</xdr:col>
      <xdr:colOff>153745</xdr:colOff>
      <xdr:row>32</xdr:row>
      <xdr:rowOff>139065</xdr:rowOff>
    </xdr:to>
    <xdr:graphicFrame macro="">
      <xdr:nvGraphicFramePr>
        <xdr:cNvPr id="9" name="Chart 8">
          <a:extLst>
            <a:ext uri="{FF2B5EF4-FFF2-40B4-BE49-F238E27FC236}">
              <a16:creationId xmlns:a16="http://schemas.microsoft.com/office/drawing/2014/main" id="{B59752C0-0914-48BC-828D-6C3784C96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449415</xdr:colOff>
      <xdr:row>22</xdr:row>
      <xdr:rowOff>59055</xdr:rowOff>
    </xdr:from>
    <xdr:to>
      <xdr:col>19</xdr:col>
      <xdr:colOff>121755</xdr:colOff>
      <xdr:row>32</xdr:row>
      <xdr:rowOff>120015</xdr:rowOff>
    </xdr:to>
    <xdr:graphicFrame macro="">
      <xdr:nvGraphicFramePr>
        <xdr:cNvPr id="10" name="Chart 9">
          <a:extLst>
            <a:ext uri="{FF2B5EF4-FFF2-40B4-BE49-F238E27FC236}">
              <a16:creationId xmlns:a16="http://schemas.microsoft.com/office/drawing/2014/main" id="{E65F557C-854C-414E-AE3D-C329D7A7F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396803</xdr:colOff>
      <xdr:row>22</xdr:row>
      <xdr:rowOff>47625</xdr:rowOff>
    </xdr:from>
    <xdr:to>
      <xdr:col>25</xdr:col>
      <xdr:colOff>396803</xdr:colOff>
      <xdr:row>32</xdr:row>
      <xdr:rowOff>131445</xdr:rowOff>
    </xdr:to>
    <xdr:graphicFrame macro="">
      <xdr:nvGraphicFramePr>
        <xdr:cNvPr id="11" name="Chart 10">
          <a:extLst>
            <a:ext uri="{FF2B5EF4-FFF2-40B4-BE49-F238E27FC236}">
              <a16:creationId xmlns:a16="http://schemas.microsoft.com/office/drawing/2014/main" id="{E91D706F-A727-4B52-9401-FCF0B785A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115645</xdr:colOff>
      <xdr:row>33</xdr:row>
      <xdr:rowOff>177165</xdr:rowOff>
    </xdr:from>
    <xdr:to>
      <xdr:col>12</xdr:col>
      <xdr:colOff>138505</xdr:colOff>
      <xdr:row>44</xdr:row>
      <xdr:rowOff>100965</xdr:rowOff>
    </xdr:to>
    <xdr:graphicFrame macro="">
      <xdr:nvGraphicFramePr>
        <xdr:cNvPr id="13" name="Chart 12">
          <a:extLst>
            <a:ext uri="{FF2B5EF4-FFF2-40B4-BE49-F238E27FC236}">
              <a16:creationId xmlns:a16="http://schemas.microsoft.com/office/drawing/2014/main" id="{633259C3-C189-DD14-4DCB-B7F7B8F21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396803</xdr:colOff>
      <xdr:row>33</xdr:row>
      <xdr:rowOff>158115</xdr:rowOff>
    </xdr:from>
    <xdr:to>
      <xdr:col>25</xdr:col>
      <xdr:colOff>396803</xdr:colOff>
      <xdr:row>44</xdr:row>
      <xdr:rowOff>120015</xdr:rowOff>
    </xdr:to>
    <xdr:graphicFrame macro="">
      <xdr:nvGraphicFramePr>
        <xdr:cNvPr id="14" name="Chart 13">
          <a:extLst>
            <a:ext uri="{FF2B5EF4-FFF2-40B4-BE49-F238E27FC236}">
              <a16:creationId xmlns:a16="http://schemas.microsoft.com/office/drawing/2014/main" id="{FFE3E26E-9872-41B1-A20F-55A299D17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445381</xdr:colOff>
      <xdr:row>33</xdr:row>
      <xdr:rowOff>138112</xdr:rowOff>
    </xdr:from>
    <xdr:to>
      <xdr:col>19</xdr:col>
      <xdr:colOff>110101</xdr:colOff>
      <xdr:row>44</xdr:row>
      <xdr:rowOff>140017</xdr:rowOff>
    </xdr:to>
    <xdr:graphicFrame macro="">
      <xdr:nvGraphicFramePr>
        <xdr:cNvPr id="15" name="Chart 14">
          <a:extLst>
            <a:ext uri="{FF2B5EF4-FFF2-40B4-BE49-F238E27FC236}">
              <a16:creationId xmlns:a16="http://schemas.microsoft.com/office/drawing/2014/main" id="{29721237-CF85-4093-821F-7D2011C82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405317</xdr:colOff>
      <xdr:row>6</xdr:row>
      <xdr:rowOff>29527</xdr:rowOff>
    </xdr:from>
    <xdr:to>
      <xdr:col>5</xdr:col>
      <xdr:colOff>552450</xdr:colOff>
      <xdr:row>12</xdr:row>
      <xdr:rowOff>99005</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6B94D292-7AAB-4EDB-BB91-0736330A0AB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24517" y="1115377"/>
              <a:ext cx="1975933" cy="1155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393887</xdr:colOff>
      <xdr:row>18</xdr:row>
      <xdr:rowOff>162010</xdr:rowOff>
    </xdr:from>
    <xdr:to>
      <xdr:col>5</xdr:col>
      <xdr:colOff>561974</xdr:colOff>
      <xdr:row>27</xdr:row>
      <xdr:rowOff>9610</xdr:rowOff>
    </xdr:to>
    <mc:AlternateContent xmlns:mc="http://schemas.openxmlformats.org/markup-compatibility/2006" xmlns:a14="http://schemas.microsoft.com/office/drawing/2010/main">
      <mc:Choice Requires="a14">
        <xdr:graphicFrame macro="">
          <xdr:nvGraphicFramePr>
            <xdr:cNvPr id="17" name="Product Category">
              <a:extLst>
                <a:ext uri="{FF2B5EF4-FFF2-40B4-BE49-F238E27FC236}">
                  <a16:creationId xmlns:a16="http://schemas.microsoft.com/office/drawing/2014/main" id="{2CA6B16F-BF52-4813-BAD9-C3583479CDA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613087" y="3419560"/>
              <a:ext cx="1996887"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388287</xdr:colOff>
      <xdr:row>27</xdr:row>
      <xdr:rowOff>111261</xdr:rowOff>
    </xdr:from>
    <xdr:to>
      <xdr:col>5</xdr:col>
      <xdr:colOff>561975</xdr:colOff>
      <xdr:row>35</xdr:row>
      <xdr:rowOff>111262</xdr:rowOff>
    </xdr:to>
    <mc:AlternateContent xmlns:mc="http://schemas.openxmlformats.org/markup-compatibility/2006" xmlns:a14="http://schemas.microsoft.com/office/drawing/2010/main">
      <mc:Choice Requires="a14">
        <xdr:graphicFrame macro="">
          <xdr:nvGraphicFramePr>
            <xdr:cNvPr id="18" name="Payment Method">
              <a:extLst>
                <a:ext uri="{FF2B5EF4-FFF2-40B4-BE49-F238E27FC236}">
                  <a16:creationId xmlns:a16="http://schemas.microsoft.com/office/drawing/2014/main" id="{4D1BA0B1-AC7E-4148-BF62-EF9F3DC91E93}"/>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607487" y="4997586"/>
              <a:ext cx="2002488" cy="1447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397810</xdr:colOff>
      <xdr:row>13</xdr:row>
      <xdr:rowOff>19681</xdr:rowOff>
    </xdr:from>
    <xdr:to>
      <xdr:col>5</xdr:col>
      <xdr:colOff>552449</xdr:colOff>
      <xdr:row>18</xdr:row>
      <xdr:rowOff>60359</xdr:rowOff>
    </xdr:to>
    <mc:AlternateContent xmlns:mc="http://schemas.openxmlformats.org/markup-compatibility/2006" xmlns:a14="http://schemas.microsoft.com/office/drawing/2010/main">
      <mc:Choice Requires="a14">
        <xdr:graphicFrame macro="">
          <xdr:nvGraphicFramePr>
            <xdr:cNvPr id="19" name="Delivery Score">
              <a:extLst>
                <a:ext uri="{FF2B5EF4-FFF2-40B4-BE49-F238E27FC236}">
                  <a16:creationId xmlns:a16="http://schemas.microsoft.com/office/drawing/2014/main" id="{75E1361D-E222-4149-8014-28B02B540AC9}"/>
                </a:ext>
              </a:extLst>
            </xdr:cNvPr>
            <xdr:cNvGraphicFramePr/>
          </xdr:nvGraphicFramePr>
          <xdr:xfrm>
            <a:off x="0" y="0"/>
            <a:ext cx="0" cy="0"/>
          </xdr:xfrm>
          <a:graphic>
            <a:graphicData uri="http://schemas.microsoft.com/office/drawing/2010/slicer">
              <sle:slicer xmlns:sle="http://schemas.microsoft.com/office/drawing/2010/slicer" name="Delivery Score"/>
            </a:graphicData>
          </a:graphic>
        </xdr:graphicFrame>
      </mc:Choice>
      <mc:Fallback xmlns="">
        <xdr:sp macro="" textlink="">
          <xdr:nvSpPr>
            <xdr:cNvPr id="0" name=""/>
            <xdr:cNvSpPr>
              <a:spLocks noTextEdit="1"/>
            </xdr:cNvSpPr>
          </xdr:nvSpPr>
          <xdr:spPr>
            <a:xfrm>
              <a:off x="1617010" y="2372356"/>
              <a:ext cx="1983439" cy="9455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381002</xdr:colOff>
      <xdr:row>36</xdr:row>
      <xdr:rowOff>31937</xdr:rowOff>
    </xdr:from>
    <xdr:to>
      <xdr:col>5</xdr:col>
      <xdr:colOff>571500</xdr:colOff>
      <xdr:row>44</xdr:row>
      <xdr:rowOff>76201</xdr:rowOff>
    </xdr:to>
    <mc:AlternateContent xmlns:mc="http://schemas.openxmlformats.org/markup-compatibility/2006" xmlns:a14="http://schemas.microsoft.com/office/drawing/2010/main">
      <mc:Choice Requires="a14">
        <xdr:graphicFrame macro="">
          <xdr:nvGraphicFramePr>
            <xdr:cNvPr id="20" name="Months (Order Date)">
              <a:extLst>
                <a:ext uri="{FF2B5EF4-FFF2-40B4-BE49-F238E27FC236}">
                  <a16:creationId xmlns:a16="http://schemas.microsoft.com/office/drawing/2014/main" id="{B16B1C80-8A1E-4B46-AF4D-A5AFC676A617}"/>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600202" y="6547037"/>
              <a:ext cx="2019298" cy="14920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556823</xdr:colOff>
      <xdr:row>6</xdr:row>
      <xdr:rowOff>29527</xdr:rowOff>
    </xdr:from>
    <xdr:to>
      <xdr:col>25</xdr:col>
      <xdr:colOff>396803</xdr:colOff>
      <xdr:row>10</xdr:row>
      <xdr:rowOff>44767</xdr:rowOff>
    </xdr:to>
    <xdr:sp macro="" textlink="Analysis!I3">
      <xdr:nvSpPr>
        <xdr:cNvPr id="12" name="TextBox 11">
          <a:extLst>
            <a:ext uri="{FF2B5EF4-FFF2-40B4-BE49-F238E27FC236}">
              <a16:creationId xmlns:a16="http://schemas.microsoft.com/office/drawing/2014/main" id="{18B4A620-5258-47EC-92E4-9D00893B0EDB}"/>
            </a:ext>
          </a:extLst>
        </xdr:cNvPr>
        <xdr:cNvSpPr txBox="1"/>
      </xdr:nvSpPr>
      <xdr:spPr>
        <a:xfrm>
          <a:off x="13358423" y="1115377"/>
          <a:ext cx="227838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66D224F8-ADAA-42D6-AE1A-AEF7797D052D}" type="TxLink">
            <a:rPr lang="en-US" sz="1600" b="1" i="0" u="none" strike="noStrike">
              <a:solidFill>
                <a:schemeClr val="tx2"/>
              </a:solidFill>
              <a:latin typeface="Calibri"/>
              <a:ea typeface="Calibri"/>
              <a:cs typeface="Calibri"/>
            </a:rPr>
            <a:pPr algn="r"/>
            <a:t>₦126,678.31</a:t>
          </a:fld>
          <a:endParaRPr lang="en-US" sz="3600" b="1">
            <a:solidFill>
              <a:schemeClr val="tx2"/>
            </a:solidFill>
          </a:endParaRPr>
        </a:p>
      </xdr:txBody>
    </xdr:sp>
    <xdr:clientData/>
  </xdr:twoCellAnchor>
  <xdr:twoCellAnchor>
    <xdr:from>
      <xdr:col>7</xdr:col>
      <xdr:colOff>304800</xdr:colOff>
      <xdr:row>6</xdr:row>
      <xdr:rowOff>80963</xdr:rowOff>
    </xdr:from>
    <xdr:to>
      <xdr:col>9</xdr:col>
      <xdr:colOff>457200</xdr:colOff>
      <xdr:row>7</xdr:row>
      <xdr:rowOff>119063</xdr:rowOff>
    </xdr:to>
    <xdr:sp macro="" textlink="">
      <xdr:nvSpPr>
        <xdr:cNvPr id="22" name="TextBox 21">
          <a:extLst>
            <a:ext uri="{FF2B5EF4-FFF2-40B4-BE49-F238E27FC236}">
              <a16:creationId xmlns:a16="http://schemas.microsoft.com/office/drawing/2014/main" id="{85176A64-525F-CC0A-A42E-6BF1F011B174}"/>
            </a:ext>
          </a:extLst>
        </xdr:cNvPr>
        <xdr:cNvSpPr txBox="1"/>
      </xdr:nvSpPr>
      <xdr:spPr>
        <a:xfrm>
          <a:off x="4572000" y="1166813"/>
          <a:ext cx="1371600" cy="2190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a:solidFill>
                <a:schemeClr val="tx2"/>
              </a:solidFill>
            </a:rPr>
            <a:t>Total Revenue</a:t>
          </a:r>
        </a:p>
      </xdr:txBody>
    </xdr:sp>
    <xdr:clientData/>
  </xdr:twoCellAnchor>
  <xdr:twoCellAnchor>
    <xdr:from>
      <xdr:col>11</xdr:col>
      <xdr:colOff>271462</xdr:colOff>
      <xdr:row>6</xdr:row>
      <xdr:rowOff>80963</xdr:rowOff>
    </xdr:from>
    <xdr:to>
      <xdr:col>13</xdr:col>
      <xdr:colOff>423862</xdr:colOff>
      <xdr:row>7</xdr:row>
      <xdr:rowOff>119063</xdr:rowOff>
    </xdr:to>
    <xdr:sp macro="" textlink="">
      <xdr:nvSpPr>
        <xdr:cNvPr id="23" name="TextBox 22">
          <a:extLst>
            <a:ext uri="{FF2B5EF4-FFF2-40B4-BE49-F238E27FC236}">
              <a16:creationId xmlns:a16="http://schemas.microsoft.com/office/drawing/2014/main" id="{13AADAF7-F3A8-4022-8A24-CFA88BB3B294}"/>
            </a:ext>
          </a:extLst>
        </xdr:cNvPr>
        <xdr:cNvSpPr txBox="1"/>
      </xdr:nvSpPr>
      <xdr:spPr>
        <a:xfrm>
          <a:off x="6977062" y="1166813"/>
          <a:ext cx="1371600" cy="2190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a:solidFill>
                <a:schemeClr val="tx2"/>
              </a:solidFill>
            </a:rPr>
            <a:t>Count of Orders</a:t>
          </a:r>
        </a:p>
      </xdr:txBody>
    </xdr:sp>
    <xdr:clientData/>
  </xdr:twoCellAnchor>
  <xdr:twoCellAnchor>
    <xdr:from>
      <xdr:col>15</xdr:col>
      <xdr:colOff>238124</xdr:colOff>
      <xdr:row>6</xdr:row>
      <xdr:rowOff>80963</xdr:rowOff>
    </xdr:from>
    <xdr:to>
      <xdr:col>17</xdr:col>
      <xdr:colOff>390524</xdr:colOff>
      <xdr:row>7</xdr:row>
      <xdr:rowOff>119063</xdr:rowOff>
    </xdr:to>
    <xdr:sp macro="" textlink="">
      <xdr:nvSpPr>
        <xdr:cNvPr id="24" name="TextBox 23">
          <a:extLst>
            <a:ext uri="{FF2B5EF4-FFF2-40B4-BE49-F238E27FC236}">
              <a16:creationId xmlns:a16="http://schemas.microsoft.com/office/drawing/2014/main" id="{102CA88C-4DAF-4DFB-A0BD-E7F4025D3282}"/>
            </a:ext>
          </a:extLst>
        </xdr:cNvPr>
        <xdr:cNvSpPr txBox="1"/>
      </xdr:nvSpPr>
      <xdr:spPr>
        <a:xfrm>
          <a:off x="9382124" y="1166813"/>
          <a:ext cx="1371600" cy="2190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a:solidFill>
                <a:schemeClr val="tx2"/>
              </a:solidFill>
            </a:rPr>
            <a:t>Successful Deliveries</a:t>
          </a:r>
        </a:p>
      </xdr:txBody>
    </xdr:sp>
    <xdr:clientData/>
  </xdr:twoCellAnchor>
  <xdr:twoCellAnchor>
    <xdr:from>
      <xdr:col>19</xdr:col>
      <xdr:colOff>204786</xdr:colOff>
      <xdr:row>6</xdr:row>
      <xdr:rowOff>80963</xdr:rowOff>
    </xdr:from>
    <xdr:to>
      <xdr:col>21</xdr:col>
      <xdr:colOff>357186</xdr:colOff>
      <xdr:row>7</xdr:row>
      <xdr:rowOff>119063</xdr:rowOff>
    </xdr:to>
    <xdr:sp macro="" textlink="">
      <xdr:nvSpPr>
        <xdr:cNvPr id="25" name="TextBox 24">
          <a:extLst>
            <a:ext uri="{FF2B5EF4-FFF2-40B4-BE49-F238E27FC236}">
              <a16:creationId xmlns:a16="http://schemas.microsoft.com/office/drawing/2014/main" id="{B85EBFAA-888D-4951-ABDE-184922FC3A83}"/>
            </a:ext>
          </a:extLst>
        </xdr:cNvPr>
        <xdr:cNvSpPr txBox="1"/>
      </xdr:nvSpPr>
      <xdr:spPr>
        <a:xfrm>
          <a:off x="11787186" y="1166813"/>
          <a:ext cx="1371600" cy="2190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a:solidFill>
                <a:schemeClr val="tx2"/>
              </a:solidFill>
            </a:rPr>
            <a:t>Total Quantity</a:t>
          </a:r>
        </a:p>
      </xdr:txBody>
    </xdr:sp>
    <xdr:clientData/>
  </xdr:twoCellAnchor>
  <xdr:twoCellAnchor>
    <xdr:from>
      <xdr:col>23</xdr:col>
      <xdr:colOff>171450</xdr:colOff>
      <xdr:row>6</xdr:row>
      <xdr:rowOff>80963</xdr:rowOff>
    </xdr:from>
    <xdr:to>
      <xdr:col>25</xdr:col>
      <xdr:colOff>323850</xdr:colOff>
      <xdr:row>7</xdr:row>
      <xdr:rowOff>119063</xdr:rowOff>
    </xdr:to>
    <xdr:sp macro="" textlink="">
      <xdr:nvSpPr>
        <xdr:cNvPr id="26" name="TextBox 25">
          <a:extLst>
            <a:ext uri="{FF2B5EF4-FFF2-40B4-BE49-F238E27FC236}">
              <a16:creationId xmlns:a16="http://schemas.microsoft.com/office/drawing/2014/main" id="{5846F69C-37E9-453C-BC27-D2929E1DAAA5}"/>
            </a:ext>
          </a:extLst>
        </xdr:cNvPr>
        <xdr:cNvSpPr txBox="1"/>
      </xdr:nvSpPr>
      <xdr:spPr>
        <a:xfrm>
          <a:off x="14192250" y="1166813"/>
          <a:ext cx="1371600" cy="2190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a:solidFill>
                <a:schemeClr val="tx2"/>
              </a:solidFill>
            </a:rPr>
            <a:t>Average Revenue</a:t>
          </a:r>
        </a:p>
      </xdr:txBody>
    </xdr:sp>
    <xdr:clientData/>
  </xdr:twoCellAnchor>
  <xdr:twoCellAnchor>
    <xdr:from>
      <xdr:col>2</xdr:col>
      <xdr:colOff>409575</xdr:colOff>
      <xdr:row>1</xdr:row>
      <xdr:rowOff>114300</xdr:rowOff>
    </xdr:from>
    <xdr:to>
      <xdr:col>25</xdr:col>
      <xdr:colOff>371475</xdr:colOff>
      <xdr:row>5</xdr:row>
      <xdr:rowOff>123825</xdr:rowOff>
    </xdr:to>
    <xdr:sp macro="" textlink="">
      <xdr:nvSpPr>
        <xdr:cNvPr id="21" name="TextBox 20">
          <a:extLst>
            <a:ext uri="{FF2B5EF4-FFF2-40B4-BE49-F238E27FC236}">
              <a16:creationId xmlns:a16="http://schemas.microsoft.com/office/drawing/2014/main" id="{6DE90EB5-4D29-EECE-BAB8-3F653B2A29DA}"/>
            </a:ext>
          </a:extLst>
        </xdr:cNvPr>
        <xdr:cNvSpPr txBox="1"/>
      </xdr:nvSpPr>
      <xdr:spPr>
        <a:xfrm>
          <a:off x="1628775" y="295275"/>
          <a:ext cx="13982700" cy="733425"/>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bg1"/>
              </a:solidFill>
            </a:rPr>
            <a:t>Retail Sales Performance Dashboard</a:t>
          </a:r>
        </a:p>
      </xdr:txBody>
    </xdr:sp>
    <xdr:clientData/>
  </xdr:twoCellAnchor>
  <xdr:twoCellAnchor editAs="oneCell">
    <xdr:from>
      <xdr:col>6</xdr:col>
      <xdr:colOff>209550</xdr:colOff>
      <xdr:row>7</xdr:row>
      <xdr:rowOff>14288</xdr:rowOff>
    </xdr:from>
    <xdr:to>
      <xdr:col>6</xdr:col>
      <xdr:colOff>600075</xdr:colOff>
      <xdr:row>9</xdr:row>
      <xdr:rowOff>42863</xdr:rowOff>
    </xdr:to>
    <xdr:pic>
      <xdr:nvPicPr>
        <xdr:cNvPr id="28" name="Graphic 27" descr="Bar graph with upward trend with solid fill">
          <a:extLst>
            <a:ext uri="{FF2B5EF4-FFF2-40B4-BE49-F238E27FC236}">
              <a16:creationId xmlns:a16="http://schemas.microsoft.com/office/drawing/2014/main" id="{377A055C-FA6C-3963-3AD7-F291953AA03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67150" y="1281113"/>
          <a:ext cx="390525" cy="390525"/>
        </a:xfrm>
        <a:prstGeom prst="rect">
          <a:avLst/>
        </a:prstGeom>
      </xdr:spPr>
    </xdr:pic>
    <xdr:clientData/>
  </xdr:twoCellAnchor>
  <xdr:twoCellAnchor editAs="oneCell">
    <xdr:from>
      <xdr:col>14</xdr:col>
      <xdr:colOff>80962</xdr:colOff>
      <xdr:row>6</xdr:row>
      <xdr:rowOff>171450</xdr:rowOff>
    </xdr:from>
    <xdr:to>
      <xdr:col>14</xdr:col>
      <xdr:colOff>519112</xdr:colOff>
      <xdr:row>9</xdr:row>
      <xdr:rowOff>66675</xdr:rowOff>
    </xdr:to>
    <xdr:pic>
      <xdr:nvPicPr>
        <xdr:cNvPr id="30" name="Graphic 29" descr="Truck with solid fill">
          <a:extLst>
            <a:ext uri="{FF2B5EF4-FFF2-40B4-BE49-F238E27FC236}">
              <a16:creationId xmlns:a16="http://schemas.microsoft.com/office/drawing/2014/main" id="{748DDD78-3252-48D3-49BB-F49589FF333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615362" y="1257300"/>
          <a:ext cx="438150" cy="438150"/>
        </a:xfrm>
        <a:prstGeom prst="rect">
          <a:avLst/>
        </a:prstGeom>
      </xdr:spPr>
    </xdr:pic>
    <xdr:clientData/>
  </xdr:twoCellAnchor>
  <xdr:twoCellAnchor editAs="oneCell">
    <xdr:from>
      <xdr:col>22</xdr:col>
      <xdr:colOff>38101</xdr:colOff>
      <xdr:row>7</xdr:row>
      <xdr:rowOff>19050</xdr:rowOff>
    </xdr:from>
    <xdr:to>
      <xdr:col>22</xdr:col>
      <xdr:colOff>419101</xdr:colOff>
      <xdr:row>9</xdr:row>
      <xdr:rowOff>38100</xdr:rowOff>
    </xdr:to>
    <xdr:pic>
      <xdr:nvPicPr>
        <xdr:cNvPr id="32" name="Graphic 31" descr="Dollar with solid fill">
          <a:extLst>
            <a:ext uri="{FF2B5EF4-FFF2-40B4-BE49-F238E27FC236}">
              <a16:creationId xmlns:a16="http://schemas.microsoft.com/office/drawing/2014/main" id="{FBBECB49-DB9F-7CAD-F574-AD4236724A3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449301" y="1285875"/>
          <a:ext cx="381000" cy="381000"/>
        </a:xfrm>
        <a:prstGeom prst="rect">
          <a:avLst/>
        </a:prstGeom>
      </xdr:spPr>
    </xdr:pic>
    <xdr:clientData/>
  </xdr:twoCellAnchor>
  <xdr:twoCellAnchor editAs="oneCell">
    <xdr:from>
      <xdr:col>10</xdr:col>
      <xdr:colOff>126206</xdr:colOff>
      <xdr:row>6</xdr:row>
      <xdr:rowOff>176213</xdr:rowOff>
    </xdr:from>
    <xdr:to>
      <xdr:col>10</xdr:col>
      <xdr:colOff>554831</xdr:colOff>
      <xdr:row>9</xdr:row>
      <xdr:rowOff>61913</xdr:rowOff>
    </xdr:to>
    <xdr:pic>
      <xdr:nvPicPr>
        <xdr:cNvPr id="34" name="Graphic 33" descr="Target Audience with solid fill">
          <a:extLst>
            <a:ext uri="{FF2B5EF4-FFF2-40B4-BE49-F238E27FC236}">
              <a16:creationId xmlns:a16="http://schemas.microsoft.com/office/drawing/2014/main" id="{CAC72609-9314-8824-9BEB-D704C5C113E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222206" y="1262063"/>
          <a:ext cx="428625" cy="428625"/>
        </a:xfrm>
        <a:prstGeom prst="rect">
          <a:avLst/>
        </a:prstGeom>
      </xdr:spPr>
    </xdr:pic>
    <xdr:clientData/>
  </xdr:twoCellAnchor>
  <xdr:twoCellAnchor editAs="oneCell">
    <xdr:from>
      <xdr:col>18</xdr:col>
      <xdr:colOff>45243</xdr:colOff>
      <xdr:row>6</xdr:row>
      <xdr:rowOff>157163</xdr:rowOff>
    </xdr:from>
    <xdr:to>
      <xdr:col>18</xdr:col>
      <xdr:colOff>511968</xdr:colOff>
      <xdr:row>9</xdr:row>
      <xdr:rowOff>80963</xdr:rowOff>
    </xdr:to>
    <xdr:pic>
      <xdr:nvPicPr>
        <xdr:cNvPr id="36" name="Graphic 35" descr="List with solid fill">
          <a:extLst>
            <a:ext uri="{FF2B5EF4-FFF2-40B4-BE49-F238E27FC236}">
              <a16:creationId xmlns:a16="http://schemas.microsoft.com/office/drawing/2014/main" id="{967144E9-303E-FB15-9614-427AB0D2570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018043" y="1243013"/>
          <a:ext cx="466725" cy="4667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OGANA" refreshedDate="46214.478764236112" createdVersion="8" refreshedVersion="8" minRefreshableVersion="3" recordCount="1533" xr:uid="{BF9585E5-62BC-4846-AAFF-5B85C519FCDF}">
  <cacheSource type="worksheet">
    <worksheetSource name="Retail_Sales"/>
  </cacheSource>
  <cacheFields count="21">
    <cacheField name="Order ID" numFmtId="0">
      <sharedItems/>
    </cacheField>
    <cacheField name="Order Date" numFmtId="14">
      <sharedItems containsSemiMixedTypes="0" containsNonDate="0" containsDate="1" containsString="0" minDate="2025-01-01T00:00:00" maxDate="2026-12-07T00:00:00" count="534">
        <d v="2025-11-10T00:00:00"/>
        <d v="2025-02-24T00:00:00"/>
        <d v="2026-04-26T00:00:00"/>
        <d v="2026-06-21T00:00:00"/>
        <d v="2025-10-30T00:00:00"/>
        <d v="2025-05-12T00:00:00"/>
        <d v="2025-03-23T00:00:00"/>
        <d v="2026-06-14T00:00:00"/>
        <d v="2026-05-02T00:00:00"/>
        <d v="2026-10-03T00:00:00"/>
        <d v="2026-06-23T00:00:00"/>
        <d v="2026-04-10T00:00:00"/>
        <d v="2025-09-22T00:00:00"/>
        <d v="2026-01-09T00:00:00"/>
        <d v="2025-08-06T00:00:00"/>
        <d v="2025-07-18T00:00:00"/>
        <d v="2025-11-30T00:00:00"/>
        <d v="2025-04-10T00:00:00"/>
        <d v="2025-10-20T00:00:00"/>
        <d v="2025-06-26T00:00:00"/>
        <d v="2025-02-23T00:00:00"/>
        <d v="2026-05-05T00:00:00"/>
        <d v="2026-03-28T00:00:00"/>
        <d v="2025-11-17T00:00:00"/>
        <d v="2025-04-24T00:00:00"/>
        <d v="2026-04-12T00:00:00"/>
        <d v="2026-04-02T00:00:00"/>
        <d v="2025-06-20T00:00:00"/>
        <d v="2025-09-18T00:00:00"/>
        <d v="2026-02-14T00:00:00"/>
        <d v="2025-11-20T00:00:00"/>
        <d v="2026-08-01T00:00:00"/>
        <d v="2025-01-15T00:00:00"/>
        <d v="2025-08-11T00:00:00"/>
        <d v="2026-01-22T00:00:00"/>
        <d v="2025-06-08T00:00:00"/>
        <d v="2026-05-15T00:00:00"/>
        <d v="2025-01-29T00:00:00"/>
        <d v="2025-01-12T00:00:00"/>
        <d v="2025-06-10T00:00:00"/>
        <d v="2025-03-12T00:00:00"/>
        <d v="2025-03-15T00:00:00"/>
        <d v="2026-05-03T00:00:00"/>
        <d v="2025-11-02T00:00:00"/>
        <d v="2025-10-28T00:00:00"/>
        <d v="2026-03-26T00:00:00"/>
        <d v="2025-08-25T00:00:00"/>
        <d v="2026-05-14T00:00:00"/>
        <d v="2025-04-19T00:00:00"/>
        <d v="2025-11-13T00:00:00"/>
        <d v="2025-05-06T00:00:00"/>
        <d v="2025-05-18T00:00:00"/>
        <d v="2026-05-09T00:00:00"/>
        <d v="2025-02-27T00:00:00"/>
        <d v="2026-01-01T00:00:00"/>
        <d v="2025-08-31T00:00:00"/>
        <d v="2025-03-02T00:00:00"/>
        <d v="2025-12-08T00:00:00"/>
        <d v="2025-12-23T00:00:00"/>
        <d v="2025-07-28T00:00:00"/>
        <d v="2025-01-28T00:00:00"/>
        <d v="2026-02-24T00:00:00"/>
        <d v="2026-05-24T00:00:00"/>
        <d v="2026-04-06T00:00:00"/>
        <d v="2026-06-04T00:00:00"/>
        <d v="2025-12-03T00:00:00"/>
        <d v="2025-12-05T00:00:00"/>
        <d v="2025-09-09T00:00:00"/>
        <d v="2025-06-09T00:00:00"/>
        <d v="2025-08-09T00:00:00"/>
        <d v="2025-09-02T00:00:00"/>
        <d v="2025-05-11T00:00:00"/>
        <d v="2026-03-05T00:00:00"/>
        <d v="2025-05-22T00:00:00"/>
        <d v="2026-05-01T00:00:00"/>
        <d v="2025-06-29T00:00:00"/>
        <d v="2026-06-01T00:00:00"/>
        <d v="2026-02-20T00:00:00"/>
        <d v="2025-11-22T00:00:00"/>
        <d v="2025-08-12T00:00:00"/>
        <d v="2025-07-17T00:00:00"/>
        <d v="2025-08-24T00:00:00"/>
        <d v="2026-01-14T00:00:00"/>
        <d v="2025-08-18T00:00:00"/>
        <d v="2025-12-15T00:00:00"/>
        <d v="2025-01-22T00:00:00"/>
        <d v="2026-04-08T00:00:00"/>
        <d v="2025-09-13T00:00:00"/>
        <d v="2025-03-06T00:00:00"/>
        <d v="2026-12-04T00:00:00"/>
        <d v="2025-04-17T00:00:00"/>
        <d v="2026-02-04T00:00:00"/>
        <d v="2025-05-13T00:00:00"/>
        <d v="2025-12-14T00:00:00"/>
        <d v="2025-01-13T00:00:00"/>
        <d v="2025-06-16T00:00:00"/>
        <d v="2026-01-27T00:00:00"/>
        <d v="2025-07-21T00:00:00"/>
        <d v="2025-10-26T00:00:00"/>
        <d v="2026-03-27T00:00:00"/>
        <d v="2025-04-13T00:00:00"/>
        <d v="2026-02-15T00:00:00"/>
        <d v="2025-01-05T00:00:00"/>
        <d v="2025-03-19T00:00:00"/>
        <d v="2025-11-07T00:00:00"/>
        <d v="2026-09-03T00:00:00"/>
        <d v="2025-09-03T00:00:00"/>
        <d v="2025-09-29T00:00:00"/>
        <d v="2025-12-04T00:00:00"/>
        <d v="2025-05-08T00:00:00"/>
        <d v="2025-04-16T00:00:00"/>
        <d v="2025-10-27T00:00:00"/>
        <d v="2026-01-31T00:00:00"/>
        <d v="2025-08-19T00:00:00"/>
        <d v="2026-03-29T00:00:00"/>
        <d v="2026-06-08T00:00:00"/>
        <d v="2025-11-24T00:00:00"/>
        <d v="2026-02-02T00:00:00"/>
        <d v="2025-04-22T00:00:00"/>
        <d v="2025-04-29T00:00:00"/>
        <d v="2025-02-08T00:00:00"/>
        <d v="2026-01-11T00:00:00"/>
        <d v="2025-03-05T00:00:00"/>
        <d v="2025-03-09T00:00:00"/>
        <d v="2026-11-03T00:00:00"/>
        <d v="2025-02-05T00:00:00"/>
        <d v="2026-03-10T00:00:00"/>
        <d v="2026-04-17T00:00:00"/>
        <d v="2025-09-06T00:00:00"/>
        <d v="2026-06-02T00:00:00"/>
        <d v="2025-12-09T00:00:00"/>
        <d v="2025-03-14T00:00:00"/>
        <d v="2026-06-15T00:00:00"/>
        <d v="2025-06-11T00:00:00"/>
        <d v="2025-01-24T00:00:00"/>
        <d v="2026-06-25T00:00:00"/>
        <d v="2026-05-06T00:00:00"/>
        <d v="2025-09-27T00:00:00"/>
        <d v="2025-10-12T00:00:00"/>
        <d v="2026-04-16T00:00:00"/>
        <d v="2025-02-02T00:00:00"/>
        <d v="2026-06-22T00:00:00"/>
        <d v="2026-04-27T00:00:00"/>
        <d v="2025-08-13T00:00:00"/>
        <d v="2026-04-05T00:00:00"/>
        <d v="2026-06-18T00:00:00"/>
        <d v="2025-05-29T00:00:00"/>
        <d v="2026-03-04T00:00:00"/>
        <d v="2026-05-17T00:00:00"/>
        <d v="2025-07-01T00:00:00"/>
        <d v="2026-06-13T00:00:00"/>
        <d v="2025-02-26T00:00:00"/>
        <d v="2026-02-26T00:00:00"/>
        <d v="2026-05-28T00:00:00"/>
        <d v="2026-06-05T00:00:00"/>
        <d v="2025-01-16T00:00:00"/>
        <d v="2026-05-12T00:00:00"/>
        <d v="2026-04-01T00:00:00"/>
        <d v="2025-03-04T00:00:00"/>
        <d v="2026-10-05T00:00:00"/>
        <d v="2025-07-12T00:00:00"/>
        <d v="2025-10-10T00:00:00"/>
        <d v="2025-05-16T00:00:00"/>
        <d v="2026-04-29T00:00:00"/>
        <d v="2025-03-22T00:00:00"/>
        <d v="2025-07-08T00:00:00"/>
        <d v="2025-09-12T00:00:00"/>
        <d v="2025-04-12T00:00:00"/>
        <d v="2025-08-02T00:00:00"/>
        <d v="2026-06-03T00:00:00"/>
        <d v="2025-09-25T00:00:00"/>
        <d v="2025-07-04T00:00:00"/>
        <d v="2025-07-02T00:00:00"/>
        <d v="2025-02-06T00:00:00"/>
        <d v="2026-05-26T00:00:00"/>
        <d v="2026-03-03T00:00:00"/>
        <d v="2025-12-18T00:00:00"/>
        <d v="2025-08-29T00:00:00"/>
        <d v="2025-11-05T00:00:00"/>
        <d v="2026-05-31T00:00:00"/>
        <d v="2025-06-06T00:00:00"/>
        <d v="2025-07-13T00:00:00"/>
        <d v="2025-02-12T00:00:00"/>
        <d v="2026-02-12T00:00:00"/>
        <d v="2025-06-14T00:00:00"/>
        <d v="2026-01-05T00:00:00"/>
        <d v="2025-02-28T00:00:00"/>
        <d v="2026-03-01T00:00:00"/>
        <d v="2025-11-19T00:00:00"/>
        <d v="2026-04-21T00:00:00"/>
        <d v="2025-12-26T00:00:00"/>
        <d v="2025-02-25T00:00:00"/>
        <d v="2025-02-22T00:00:00"/>
        <d v="2025-04-21T00:00:00"/>
        <d v="2025-09-05T00:00:00"/>
        <d v="2025-09-08T00:00:00"/>
        <d v="2025-07-25T00:00:00"/>
        <d v="2025-09-11T00:00:00"/>
        <d v="2026-03-07T00:00:00"/>
        <d v="2025-03-31T00:00:00"/>
        <d v="2025-12-29T00:00:00"/>
        <d v="2026-08-05T00:00:00"/>
        <d v="2026-02-01T00:00:00"/>
        <d v="2025-11-11T00:00:00"/>
        <d v="2026-03-23T00:00:00"/>
        <d v="2025-08-15T00:00:00"/>
        <d v="2025-12-02T00:00:00"/>
        <d v="2025-01-06T00:00:00"/>
        <d v="2025-04-03T00:00:00"/>
        <d v="2025-08-01T00:00:00"/>
        <d v="2025-08-17T00:00:00"/>
        <d v="2025-10-25T00:00:00"/>
        <d v="2025-03-25T00:00:00"/>
        <d v="2026-09-01T00:00:00"/>
        <d v="2025-05-03T00:00:00"/>
        <d v="2025-07-10T00:00:00"/>
        <d v="2025-05-01T00:00:00"/>
        <d v="2025-06-12T00:00:00"/>
        <d v="2026-07-02T00:00:00"/>
        <d v="2025-03-10T00:00:00"/>
        <d v="2025-07-05T00:00:00"/>
        <d v="2025-03-08T00:00:00"/>
        <d v="2025-09-10T00:00:00"/>
        <d v="2025-07-15T00:00:00"/>
        <d v="2025-12-10T00:00:00"/>
        <d v="2025-04-27T00:00:00"/>
        <d v="2025-05-25T00:00:00"/>
        <d v="2025-09-15T00:00:00"/>
        <d v="2025-07-07T00:00:00"/>
        <d v="2025-05-09T00:00:00"/>
        <d v="2025-05-15T00:00:00"/>
        <d v="2026-04-14T00:00:00"/>
        <d v="2025-04-01T00:00:00"/>
        <d v="2025-12-24T00:00:00"/>
        <d v="2026-05-19T00:00:00"/>
        <d v="2026-04-24T00:00:00"/>
        <d v="2025-06-15T00:00:00"/>
        <d v="2025-04-18T00:00:00"/>
        <d v="2026-12-06T00:00:00"/>
        <d v="2026-08-03T00:00:00"/>
        <d v="2025-06-05T00:00:00"/>
        <d v="2026-01-24T00:00:00"/>
        <d v="2025-10-24T00:00:00"/>
        <d v="2025-11-27T00:00:00"/>
        <d v="2025-10-09T00:00:00"/>
        <d v="2025-06-18T00:00:00"/>
        <d v="2025-11-15T00:00:00"/>
        <d v="2026-02-03T00:00:00"/>
        <d v="2026-03-14T00:00:00"/>
        <d v="2025-06-04T00:00:00"/>
        <d v="2025-06-17T00:00:00"/>
        <d v="2025-06-13T00:00:00"/>
        <d v="2025-07-31T00:00:00"/>
        <d v="2025-01-26T00:00:00"/>
        <d v="2025-01-03T00:00:00"/>
        <d v="2025-10-29T00:00:00"/>
        <d v="2025-07-30T00:00:00"/>
        <d v="2025-12-06T00:00:00"/>
        <d v="2025-07-11T00:00:00"/>
        <d v="2025-02-11T00:00:00"/>
        <d v="2026-01-04T00:00:00"/>
        <d v="2025-03-03T00:00:00"/>
        <d v="2026-02-21T00:00:00"/>
        <d v="2025-04-20T00:00:00"/>
        <d v="2026-04-03T00:00:00"/>
        <d v="2025-01-11T00:00:00"/>
        <d v="2025-09-19T00:00:00"/>
        <d v="2025-02-18T00:00:00"/>
        <d v="2025-06-30T00:00:00"/>
        <d v="2025-11-29T00:00:00"/>
        <d v="2025-03-11T00:00:00"/>
        <d v="2026-01-17T00:00:00"/>
        <d v="2026-05-21T00:00:00"/>
        <d v="2025-05-17T00:00:00"/>
        <d v="2026-02-11T00:00:00"/>
        <d v="2025-07-27T00:00:00"/>
        <d v="2025-02-21T00:00:00"/>
        <d v="2025-06-28T00:00:00"/>
        <d v="2025-01-17T00:00:00"/>
        <d v="2026-07-06T00:00:00"/>
        <d v="2025-05-30T00:00:00"/>
        <d v="2026-01-26T00:00:00"/>
        <d v="2025-09-23T00:00:00"/>
        <d v="2025-10-22T00:00:00"/>
        <d v="2025-09-16T00:00:00"/>
        <d v="2025-12-28T00:00:00"/>
        <d v="2025-08-22T00:00:00"/>
        <d v="2025-11-08T00:00:00"/>
        <d v="2025-05-24T00:00:00"/>
        <d v="2026-10-04T00:00:00"/>
        <d v="2025-03-26T00:00:00"/>
        <d v="2025-10-16T00:00:00"/>
        <d v="2025-09-26T00:00:00"/>
        <d v="2025-11-25T00:00:00"/>
        <d v="2025-12-30T00:00:00"/>
        <d v="2025-10-05T00:00:00"/>
        <d v="2026-10-06T00:00:00"/>
        <d v="2026-02-18T00:00:00"/>
        <d v="2025-02-07T00:00:00"/>
        <d v="2025-04-11T00:00:00"/>
        <d v="2025-10-15T00:00:00"/>
        <d v="2025-05-10T00:00:00"/>
        <d v="2025-10-21T00:00:00"/>
        <d v="2026-09-04T00:00:00"/>
        <d v="2025-01-25T00:00:00"/>
        <d v="2026-06-20T00:00:00"/>
        <d v="2025-12-21T00:00:00"/>
        <d v="2025-09-20T00:00:00"/>
        <d v="2025-10-06T00:00:00"/>
        <d v="2025-07-14T00:00:00"/>
        <d v="2025-08-20T00:00:00"/>
        <d v="2026-06-07T00:00:00"/>
        <d v="2025-01-10T00:00:00"/>
        <d v="2026-04-19T00:00:00"/>
        <d v="2025-12-31T00:00:00"/>
        <d v="2025-04-04T00:00:00"/>
        <d v="2025-02-10T00:00:00"/>
        <d v="2026-02-28T00:00:00"/>
        <d v="2026-01-03T00:00:00"/>
        <d v="2025-03-30T00:00:00"/>
        <d v="2025-03-29T00:00:00"/>
        <d v="2026-03-16T00:00:00"/>
        <d v="2026-04-11T00:00:00"/>
        <d v="2025-08-03T00:00:00"/>
        <d v="2026-12-02T00:00:00"/>
        <d v="2026-01-10T00:00:00"/>
        <d v="2025-02-01T00:00:00"/>
        <d v="2026-03-08T00:00:00"/>
        <d v="2026-03-17T00:00:00"/>
        <d v="2026-04-23T00:00:00"/>
        <d v="2025-01-02T00:00:00"/>
        <d v="2026-02-22T00:00:00"/>
        <d v="2025-04-06T00:00:00"/>
        <d v="2026-01-21T00:00:00"/>
        <d v="2026-05-20T00:00:00"/>
        <d v="2026-02-10T00:00:00"/>
        <d v="2026-02-16T00:00:00"/>
        <d v="2025-11-12T00:00:00"/>
        <d v="2025-02-13T00:00:00"/>
        <d v="2025-05-05T00:00:00"/>
        <d v="2026-06-06T00:00:00"/>
        <d v="2026-02-25T00:00:00"/>
        <d v="2025-08-07T00:00:00"/>
        <d v="2026-05-22T00:00:00"/>
        <d v="2025-06-03T00:00:00"/>
        <d v="2025-11-16T00:00:00"/>
        <d v="2025-08-27T00:00:00"/>
        <d v="2025-03-24T00:00:00"/>
        <d v="2026-05-30T00:00:00"/>
        <d v="2025-05-04T00:00:00"/>
        <d v="2026-03-31T00:00:00"/>
        <d v="2025-01-23T00:00:00"/>
        <d v="2025-04-25T00:00:00"/>
        <d v="2025-08-16T00:00:00"/>
        <d v="2025-02-19T00:00:00"/>
        <d v="2025-03-28T00:00:00"/>
        <d v="2025-02-03T00:00:00"/>
        <d v="2025-07-29T00:00:00"/>
        <d v="2026-05-25T00:00:00"/>
        <d v="2025-07-19T00:00:00"/>
        <d v="2026-03-02T00:00:00"/>
        <d v="2025-06-22T00:00:00"/>
        <d v="2025-11-23T00:00:00"/>
        <d v="2026-03-11T00:00:00"/>
        <d v="2025-07-06T00:00:00"/>
        <d v="2026-03-12T00:00:00"/>
        <d v="2025-10-02T00:00:00"/>
        <d v="2025-07-16T00:00:00"/>
        <d v="2025-01-08T00:00:00"/>
        <d v="2026-06-11T00:00:00"/>
        <d v="2026-05-04T00:00:00"/>
        <d v="2026-01-18T00:00:00"/>
        <d v="2025-06-25T00:00:00"/>
        <d v="2025-06-24T00:00:00"/>
        <d v="2025-11-04T00:00:00"/>
        <d v="2025-04-15T00:00:00"/>
        <d v="2025-04-02T00:00:00"/>
        <d v="2025-05-23T00:00:00"/>
        <d v="2025-01-09T00:00:00"/>
        <d v="2026-07-03T00:00:00"/>
        <d v="2026-04-07T00:00:00"/>
        <d v="2025-03-16T00:00:00"/>
        <d v="2026-05-13T00:00:00"/>
        <d v="2025-12-27T00:00:00"/>
        <d v="2026-02-09T00:00:00"/>
        <d v="2025-04-23T00:00:00"/>
        <d v="2025-12-22T00:00:00"/>
        <d v="2025-03-17T00:00:00"/>
        <d v="2025-12-25T00:00:00"/>
        <d v="2026-03-30T00:00:00"/>
        <d v="2026-03-22T00:00:00"/>
        <d v="2025-07-09T00:00:00"/>
        <d v="2025-12-12T00:00:00"/>
        <d v="2025-10-14T00:00:00"/>
        <d v="2026-03-20T00:00:00"/>
        <d v="2025-02-17T00:00:00"/>
        <d v="2025-01-19T00:00:00"/>
        <d v="2025-06-01T00:00:00"/>
        <d v="2026-06-16T00:00:00"/>
        <d v="2025-02-20T00:00:00"/>
        <d v="2026-03-19T00:00:00"/>
        <d v="2025-04-30T00:00:00"/>
        <d v="2025-05-27T00:00:00"/>
        <d v="2026-01-29T00:00:00"/>
        <d v="2026-02-05T00:00:00"/>
        <d v="2025-01-31T00:00:00"/>
        <d v="2025-08-30T00:00:00"/>
        <d v="2026-01-12T00:00:00"/>
        <d v="2025-11-26T00:00:00"/>
        <d v="2025-05-28T00:00:00"/>
        <d v="2025-05-07T00:00:00"/>
        <d v="2026-07-05T00:00:00"/>
        <d v="2025-12-16T00:00:00"/>
        <d v="2025-07-03T00:00:00"/>
        <d v="2025-10-08T00:00:00"/>
        <d v="2025-01-30T00:00:00"/>
        <d v="2025-05-26T00:00:00"/>
        <d v="2025-08-14T00:00:00"/>
        <d v="2026-01-30T00:00:00"/>
        <d v="2025-04-09T00:00:00"/>
        <d v="2025-11-21T00:00:00"/>
        <d v="2026-06-24T00:00:00"/>
        <d v="2025-05-02T00:00:00"/>
        <d v="2026-05-18T00:00:00"/>
        <d v="2025-10-17T00:00:00"/>
        <d v="2025-11-09T00:00:00"/>
        <d v="2025-10-04T00:00:00"/>
        <d v="2026-05-23T00:00:00"/>
        <d v="2025-08-04T00:00:00"/>
        <d v="2025-03-27T00:00:00"/>
        <d v="2026-09-06T00:00:00"/>
        <d v="2026-03-09T00:00:00"/>
        <d v="2026-01-07T00:00:00"/>
        <d v="2026-03-15T00:00:00"/>
        <d v="2026-06-12T00:00:00"/>
        <d v="2025-12-11T00:00:00"/>
        <d v="2025-03-21T00:00:00"/>
        <d v="2025-10-07T00:00:00"/>
        <d v="2025-04-08T00:00:00"/>
        <d v="2025-05-21T00:00:00"/>
        <d v="2025-01-27T00:00:00"/>
        <d v="2025-01-01T00:00:00"/>
        <d v="2026-06-17T00:00:00"/>
        <d v="2026-04-30T00:00:00"/>
        <d v="2025-07-24T00:00:00"/>
        <d v="2026-05-16T00:00:00"/>
        <d v="2026-10-02T00:00:00"/>
        <d v="2025-04-26T00:00:00"/>
        <d v="2026-02-13T00:00:00"/>
        <d v="2026-06-10T00:00:00"/>
        <d v="2025-03-07T00:00:00"/>
        <d v="2025-02-16T00:00:00"/>
        <d v="2025-08-26T00:00:00"/>
        <d v="2025-09-17T00:00:00"/>
        <d v="2026-06-19T00:00:00"/>
        <d v="2026-02-27T00:00:00"/>
        <d v="2025-10-13T00:00:00"/>
        <d v="2025-10-31T00:00:00"/>
        <d v="2026-04-09T00:00:00"/>
        <d v="2026-01-25T00:00:00"/>
        <d v="2026-12-01T00:00:00"/>
        <d v="2025-10-23T00:00:00"/>
        <d v="2025-01-04T00:00:00"/>
        <d v="2026-05-08T00:00:00"/>
        <d v="2025-12-20T00:00:00"/>
        <d v="2025-09-07T00:00:00"/>
        <d v="2026-01-13T00:00:00"/>
        <d v="2025-10-01T00:00:00"/>
        <d v="2025-10-19T00:00:00"/>
        <d v="2025-01-14T00:00:00"/>
        <d v="2025-06-21T00:00:00"/>
        <d v="2025-11-28T00:00:00"/>
        <d v="2025-12-13T00:00:00"/>
        <d v="2025-04-28T00:00:00"/>
        <d v="2026-04-20T00:00:00"/>
        <d v="2025-03-13T00:00:00"/>
        <d v="2025-04-05T00:00:00"/>
        <d v="2025-09-01T00:00:00"/>
        <d v="2025-08-08T00:00:00"/>
        <d v="2025-11-06T00:00:00"/>
        <d v="2025-11-03T00:00:00"/>
        <d v="2025-02-09T00:00:00"/>
        <d v="2025-06-23T00:00:00"/>
        <d v="2026-03-13T00:00:00"/>
        <d v="2026-05-10T00:00:00"/>
        <d v="2025-09-24T00:00:00"/>
        <d v="2025-03-01T00:00:00"/>
        <d v="2026-04-22T00:00:00"/>
        <d v="2025-12-19T00:00:00"/>
        <d v="2025-05-14T00:00:00"/>
        <d v="2026-03-21T00:00:00"/>
        <d v="2026-01-06T00:00:00"/>
        <d v="2025-02-14T00:00:00"/>
        <d v="2026-01-20T00:00:00"/>
        <d v="2026-04-25T00:00:00"/>
        <d v="2025-01-18T00:00:00"/>
        <d v="2026-09-02T00:00:00"/>
        <d v="2025-03-20T00:00:00"/>
        <d v="2026-03-18T00:00:00"/>
        <d v="2025-09-28T00:00:00"/>
        <d v="2026-02-07T00:00:00"/>
        <d v="2025-08-21T00:00:00"/>
        <d v="2026-09-05T00:00:00"/>
        <d v="2026-01-15T00:00:00"/>
        <d v="2025-10-18T00:00:00"/>
        <d v="2025-10-11T00:00:00"/>
        <d v="2026-05-29T00:00:00"/>
        <d v="2026-11-06T00:00:00"/>
        <d v="2026-01-28T00:00:00"/>
        <d v="2026-04-15T00:00:00"/>
        <d v="2026-12-05T00:00:00"/>
        <d v="2025-01-21T00:00:00"/>
        <d v="2025-02-15T00:00:00"/>
        <d v="2025-07-23T00:00:00"/>
        <d v="2025-09-21T00:00:00"/>
        <d v="2026-02-23T00:00:00"/>
        <d v="2025-12-01T00:00:00"/>
        <d v="2026-05-11T00:00:00"/>
        <d v="2025-11-01T00:00:00"/>
        <d v="2026-04-13T00:00:00"/>
        <d v="2025-06-07T00:00:00"/>
        <d v="2026-03-06T00:00:00"/>
        <d v="2025-05-31T00:00:00"/>
        <d v="2026-01-23T00:00:00"/>
        <d v="2025-11-14T00:00:00"/>
        <d v="2025-12-17T00:00:00"/>
        <d v="2026-05-27T00:00:00"/>
        <d v="2025-09-30T00:00:00"/>
        <d v="2025-07-26T00:00:00"/>
        <d v="2025-08-23T00:00:00"/>
        <d v="2026-01-19T00:00:00"/>
        <d v="2025-07-20T00:00:00"/>
        <d v="2026-11-04T00:00:00"/>
        <d v="2025-06-27T00:00:00"/>
      </sharedItems>
      <fieldGroup par="20"/>
    </cacheField>
    <cacheField name="Customer Name" numFmtId="0">
      <sharedItems/>
    </cacheField>
    <cacheField name="Gender" numFmtId="0">
      <sharedItems count="3">
        <s v="Male"/>
        <s v="Unknown"/>
        <s v="Female"/>
      </sharedItems>
    </cacheField>
    <cacheField name="Age" numFmtId="0">
      <sharedItems containsSemiMixedTypes="0" containsString="0" containsNumber="1" containsInteger="1" minValue="18" maxValue="150"/>
    </cacheField>
    <cacheField name="State" numFmtId="0">
      <sharedItems count="6">
        <s v="Enugu"/>
        <s v="Lagos"/>
        <s v="Abuja"/>
        <s v="Kano"/>
        <s v="Oyo"/>
        <s v="Rivers"/>
      </sharedItems>
    </cacheField>
    <cacheField name="City" numFmtId="0">
      <sharedItems/>
    </cacheField>
    <cacheField name="Product Category" numFmtId="0">
      <sharedItems count="4">
        <s v="Fashion"/>
        <s v="Electronics"/>
        <s v="Groceries"/>
        <s v="Furniture"/>
      </sharedItems>
    </cacheField>
    <cacheField name="Product Name" numFmtId="0">
      <sharedItems/>
    </cacheField>
    <cacheField name="Sales Representative" numFmtId="0">
      <sharedItems count="6">
        <s v="James"/>
        <s v="Kelvin"/>
        <s v="Faith"/>
        <s v="Sandra"/>
        <s v="Ada"/>
        <s v="Musa"/>
      </sharedItems>
    </cacheField>
    <cacheField name="Quantity" numFmtId="0">
      <sharedItems containsSemiMixedTypes="0" containsString="0" containsNumber="1" containsInteger="1" minValue="1" maxValue="10"/>
    </cacheField>
    <cacheField name="Unit Price" numFmtId="164">
      <sharedItems containsSemiMixedTypes="0" containsString="0" containsNumber="1" containsInteger="1" minValue="2000" maxValue="50000"/>
    </cacheField>
    <cacheField name="Discount (%)" numFmtId="0">
      <sharedItems containsSemiMixedTypes="0" containsString="0" containsNumber="1" containsInteger="1" minValue="0" maxValue="25"/>
    </cacheField>
    <cacheField name="Sales Revenue" numFmtId="164">
      <sharedItems containsSemiMixedTypes="0" containsString="0" containsNumber="1" containsInteger="1" minValue="2070" maxValue="494000"/>
    </cacheField>
    <cacheField name="Payment Method" numFmtId="0">
      <sharedItems count="4">
        <s v="Card"/>
        <s v="Transfer"/>
        <s v="Cash"/>
        <s v="Null"/>
      </sharedItems>
    </cacheField>
    <cacheField name="Customer Rating" numFmtId="0">
      <sharedItems containsString="0" containsBlank="1" containsNumber="1" containsInteger="1" minValue="1" maxValue="5" count="6">
        <m/>
        <n v="5"/>
        <n v="1"/>
        <n v="3"/>
        <n v="2"/>
        <n v="4"/>
      </sharedItems>
    </cacheField>
    <cacheField name="Delivery Status" numFmtId="0">
      <sharedItems count="4">
        <s v="In Transit"/>
        <s v="Delivered"/>
        <s v="Pending"/>
        <s v="Cancelled"/>
      </sharedItems>
    </cacheField>
    <cacheField name="Delivery Score" numFmtId="0">
      <sharedItems containsSemiMixedTypes="0" containsString="0" containsNumber="1" containsInteger="1" minValue="0" maxValue="1" count="2">
        <n v="0"/>
        <n v="1"/>
      </sharedItems>
    </cacheField>
    <cacheField name="Months (Order Date)" numFmtId="0" databaseField="0">
      <fieldGroup base="1">
        <rangePr groupBy="months" startDate="2025-01-01T00:00:00" endDate="2026-12-07T00:00:00"/>
        <groupItems count="14">
          <s v="&lt;01/01/2025"/>
          <s v="Jan"/>
          <s v="Feb"/>
          <s v="Mar"/>
          <s v="Apr"/>
          <s v="May"/>
          <s v="Jun"/>
          <s v="Jul"/>
          <s v="Aug"/>
          <s v="Sep"/>
          <s v="Oct"/>
          <s v="Nov"/>
          <s v="Dec"/>
          <s v="&gt;07/12/2026"/>
        </groupItems>
      </fieldGroup>
    </cacheField>
    <cacheField name="Quarters (Order Date)" numFmtId="0" databaseField="0">
      <fieldGroup base="1">
        <rangePr groupBy="quarters" startDate="2025-01-01T00:00:00" endDate="2026-12-07T00:00:00"/>
        <groupItems count="6">
          <s v="&lt;01/01/2025"/>
          <s v="Qtr1"/>
          <s v="Qtr2"/>
          <s v="Qtr3"/>
          <s v="Qtr4"/>
          <s v="&gt;07/12/2026"/>
        </groupItems>
      </fieldGroup>
    </cacheField>
    <cacheField name="Years (Order Date)" numFmtId="0" databaseField="0">
      <fieldGroup base="1">
        <rangePr groupBy="years" startDate="2025-01-01T00:00:00" endDate="2026-12-07T00:00:00"/>
        <groupItems count="4">
          <s v="&lt;01/01/2025"/>
          <s v="2025"/>
          <s v="2026"/>
          <s v="&gt;07/12/2026"/>
        </groupItems>
      </fieldGroup>
    </cacheField>
  </cacheFields>
  <extLst>
    <ext xmlns:x14="http://schemas.microsoft.com/office/spreadsheetml/2009/9/main" uri="{725AE2AE-9491-48be-B2B4-4EB974FC3084}">
      <x14:pivotCacheDefinition pivotCacheId="848850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3">
  <r>
    <s v="ORD10000"/>
    <x v="0"/>
    <s v="John"/>
    <x v="0"/>
    <n v="22"/>
    <x v="0"/>
    <s v="Enugu"/>
    <x v="0"/>
    <s v="Shoes"/>
    <x v="0"/>
    <n v="7"/>
    <n v="26500"/>
    <n v="0"/>
    <n v="185500"/>
    <x v="0"/>
    <x v="0"/>
    <x v="0"/>
    <x v="0"/>
  </r>
  <r>
    <s v="ORD10004"/>
    <x v="1"/>
    <s v="John"/>
    <x v="1"/>
    <n v="24"/>
    <x v="1"/>
    <s v="Ikeja"/>
    <x v="1"/>
    <s v="Phone"/>
    <x v="1"/>
    <n v="10"/>
    <n v="3600"/>
    <n v="20"/>
    <n v="28800"/>
    <x v="0"/>
    <x v="1"/>
    <x v="1"/>
    <x v="1"/>
  </r>
  <r>
    <s v="ORD10005"/>
    <x v="2"/>
    <s v="Ruth"/>
    <x v="1"/>
    <n v="44"/>
    <x v="2"/>
    <s v="Wuse"/>
    <x v="2"/>
    <s v="Rice"/>
    <x v="0"/>
    <n v="3"/>
    <n v="46300"/>
    <n v="0"/>
    <n v="138900"/>
    <x v="0"/>
    <x v="2"/>
    <x v="1"/>
    <x v="1"/>
  </r>
  <r>
    <s v="ORD10006"/>
    <x v="3"/>
    <s v="Emeka"/>
    <x v="1"/>
    <n v="39"/>
    <x v="3"/>
    <s v="Kano"/>
    <x v="3"/>
    <s v="Chair"/>
    <x v="2"/>
    <n v="1"/>
    <n v="48800"/>
    <n v="25"/>
    <n v="36600"/>
    <x v="1"/>
    <x v="3"/>
    <x v="2"/>
    <x v="0"/>
  </r>
  <r>
    <s v="ORD10007"/>
    <x v="4"/>
    <s v="David"/>
    <x v="1"/>
    <n v="37"/>
    <x v="4"/>
    <s v="Ibadan"/>
    <x v="1"/>
    <s v="Phone"/>
    <x v="0"/>
    <n v="3"/>
    <n v="26200"/>
    <n v="10"/>
    <n v="70740"/>
    <x v="1"/>
    <x v="0"/>
    <x v="2"/>
    <x v="0"/>
  </r>
  <r>
    <s v="ORD10008"/>
    <x v="5"/>
    <s v="Mary"/>
    <x v="2"/>
    <n v="61"/>
    <x v="3"/>
    <s v="Kano"/>
    <x v="2"/>
    <s v="Rice"/>
    <x v="3"/>
    <n v="2"/>
    <n v="35400"/>
    <n v="15"/>
    <n v="60180"/>
    <x v="2"/>
    <x v="4"/>
    <x v="3"/>
    <x v="0"/>
  </r>
  <r>
    <s v="ORD10010"/>
    <x v="6"/>
    <s v="Peter"/>
    <x v="0"/>
    <n v="47"/>
    <x v="5"/>
    <s v="Obio"/>
    <x v="0"/>
    <s v="Shirt"/>
    <x v="1"/>
    <n v="5"/>
    <n v="37800"/>
    <n v="10"/>
    <n v="170100"/>
    <x v="1"/>
    <x v="4"/>
    <x v="0"/>
    <x v="0"/>
  </r>
  <r>
    <s v="ORD10011"/>
    <x v="7"/>
    <s v="Chioma"/>
    <x v="2"/>
    <n v="34"/>
    <x v="0"/>
    <s v="Enugu"/>
    <x v="1"/>
    <s v="Laptop"/>
    <x v="4"/>
    <n v="3"/>
    <n v="31600"/>
    <n v="15"/>
    <n v="80580"/>
    <x v="1"/>
    <x v="5"/>
    <x v="2"/>
    <x v="0"/>
  </r>
  <r>
    <s v="ORD10012"/>
    <x v="8"/>
    <s v="Ruth"/>
    <x v="0"/>
    <n v="31"/>
    <x v="2"/>
    <s v="Wuse"/>
    <x v="2"/>
    <s v="Beans"/>
    <x v="4"/>
    <n v="10"/>
    <n v="43900"/>
    <n v="25"/>
    <n v="329250"/>
    <x v="2"/>
    <x v="1"/>
    <x v="1"/>
    <x v="1"/>
  </r>
  <r>
    <s v="ORD10013"/>
    <x v="9"/>
    <s v="Aisha"/>
    <x v="0"/>
    <n v="58"/>
    <x v="5"/>
    <s v="Port Harcourt"/>
    <x v="0"/>
    <s v="Shoes"/>
    <x v="1"/>
    <n v="9"/>
    <n v="3300"/>
    <n v="15"/>
    <n v="25245"/>
    <x v="1"/>
    <x v="4"/>
    <x v="2"/>
    <x v="0"/>
  </r>
  <r>
    <s v="ORD10015"/>
    <x v="10"/>
    <s v="Aisha"/>
    <x v="0"/>
    <n v="47"/>
    <x v="4"/>
    <s v="Ogbomosho"/>
    <x v="1"/>
    <s v="Phone"/>
    <x v="3"/>
    <n v="4"/>
    <n v="31600"/>
    <n v="5"/>
    <n v="120080"/>
    <x v="1"/>
    <x v="2"/>
    <x v="2"/>
    <x v="0"/>
  </r>
  <r>
    <s v="ORD10016"/>
    <x v="11"/>
    <s v="Chioma"/>
    <x v="2"/>
    <n v="24"/>
    <x v="1"/>
    <s v="Lekki"/>
    <x v="2"/>
    <s v="Rice"/>
    <x v="1"/>
    <n v="3"/>
    <n v="42800"/>
    <n v="0"/>
    <n v="128400"/>
    <x v="0"/>
    <x v="0"/>
    <x v="0"/>
    <x v="0"/>
  </r>
  <r>
    <s v="ORD10018"/>
    <x v="12"/>
    <s v="David"/>
    <x v="0"/>
    <n v="51"/>
    <x v="3"/>
    <s v="Kano"/>
    <x v="1"/>
    <s v="Laptop"/>
    <x v="0"/>
    <n v="3"/>
    <n v="4600"/>
    <n v="0"/>
    <n v="13800"/>
    <x v="2"/>
    <x v="2"/>
    <x v="1"/>
    <x v="1"/>
  </r>
  <r>
    <s v="ORD10019"/>
    <x v="13"/>
    <s v="Daniel"/>
    <x v="2"/>
    <n v="65"/>
    <x v="1"/>
    <s v="Lekki"/>
    <x v="3"/>
    <s v="Chair"/>
    <x v="2"/>
    <n v="2"/>
    <n v="14800"/>
    <n v="5"/>
    <n v="28120"/>
    <x v="1"/>
    <x v="0"/>
    <x v="3"/>
    <x v="0"/>
  </r>
  <r>
    <s v="ORD10020"/>
    <x v="14"/>
    <s v="Daniel"/>
    <x v="0"/>
    <n v="57"/>
    <x v="0"/>
    <s v="Enugu"/>
    <x v="0"/>
    <s v="Shoes"/>
    <x v="4"/>
    <n v="1"/>
    <n v="47000"/>
    <n v="15"/>
    <n v="39950"/>
    <x v="2"/>
    <x v="0"/>
    <x v="2"/>
    <x v="0"/>
  </r>
  <r>
    <s v="ORD10021"/>
    <x v="15"/>
    <s v="Ruth"/>
    <x v="2"/>
    <n v="63"/>
    <x v="1"/>
    <s v="Ikeja"/>
    <x v="0"/>
    <s v="Shoes"/>
    <x v="0"/>
    <n v="2"/>
    <n v="18000"/>
    <n v="10"/>
    <n v="32400"/>
    <x v="2"/>
    <x v="5"/>
    <x v="0"/>
    <x v="0"/>
  </r>
  <r>
    <s v="ORD10022"/>
    <x v="16"/>
    <s v="Grace"/>
    <x v="2"/>
    <n v="30"/>
    <x v="1"/>
    <s v="Lekki"/>
    <x v="3"/>
    <s v="Chair"/>
    <x v="5"/>
    <n v="6"/>
    <n v="2700"/>
    <n v="25"/>
    <n v="12150"/>
    <x v="1"/>
    <x v="4"/>
    <x v="1"/>
    <x v="1"/>
  </r>
  <r>
    <s v="ORD10023"/>
    <x v="17"/>
    <s v="Grace"/>
    <x v="1"/>
    <n v="49"/>
    <x v="3"/>
    <s v="Kano"/>
    <x v="2"/>
    <s v="Rice"/>
    <x v="0"/>
    <n v="8"/>
    <n v="20600"/>
    <n v="20"/>
    <n v="131840"/>
    <x v="1"/>
    <x v="2"/>
    <x v="0"/>
    <x v="0"/>
  </r>
  <r>
    <s v="ORD10024"/>
    <x v="18"/>
    <s v="Mary"/>
    <x v="1"/>
    <n v="28"/>
    <x v="4"/>
    <s v="Ibadan"/>
    <x v="2"/>
    <s v="Rice"/>
    <x v="2"/>
    <n v="1"/>
    <n v="5300"/>
    <n v="15"/>
    <n v="4505"/>
    <x v="0"/>
    <x v="5"/>
    <x v="3"/>
    <x v="0"/>
  </r>
  <r>
    <s v="ORD10025"/>
    <x v="19"/>
    <s v="Aisha"/>
    <x v="2"/>
    <n v="24"/>
    <x v="5"/>
    <s v="Obio"/>
    <x v="2"/>
    <s v="Rice"/>
    <x v="0"/>
    <n v="6"/>
    <n v="2900"/>
    <n v="10"/>
    <n v="15660"/>
    <x v="0"/>
    <x v="5"/>
    <x v="3"/>
    <x v="0"/>
  </r>
  <r>
    <s v="ORD10026"/>
    <x v="20"/>
    <s v="Emeka"/>
    <x v="2"/>
    <n v="40"/>
    <x v="5"/>
    <s v="Port Harcourt"/>
    <x v="0"/>
    <s v="Shoes"/>
    <x v="4"/>
    <n v="6"/>
    <n v="40600"/>
    <n v="15"/>
    <n v="207060"/>
    <x v="2"/>
    <x v="2"/>
    <x v="2"/>
    <x v="0"/>
  </r>
  <r>
    <s v="ORD10027"/>
    <x v="21"/>
    <s v="John"/>
    <x v="2"/>
    <n v="22"/>
    <x v="4"/>
    <s v="Ibadan"/>
    <x v="0"/>
    <s v="Shirt"/>
    <x v="3"/>
    <n v="3"/>
    <n v="22000"/>
    <n v="25"/>
    <n v="49500"/>
    <x v="2"/>
    <x v="0"/>
    <x v="0"/>
    <x v="0"/>
  </r>
  <r>
    <s v="ORD10028"/>
    <x v="22"/>
    <s v="Grace"/>
    <x v="0"/>
    <n v="29"/>
    <x v="0"/>
    <s v="Enugu"/>
    <x v="2"/>
    <s v="Beans"/>
    <x v="4"/>
    <n v="8"/>
    <n v="38100"/>
    <n v="0"/>
    <n v="304800"/>
    <x v="2"/>
    <x v="4"/>
    <x v="0"/>
    <x v="0"/>
  </r>
  <r>
    <s v="ORD10029"/>
    <x v="23"/>
    <s v="Chioma"/>
    <x v="0"/>
    <n v="39"/>
    <x v="0"/>
    <s v="Enugu"/>
    <x v="0"/>
    <s v="Shoes"/>
    <x v="4"/>
    <n v="8"/>
    <n v="49400"/>
    <n v="10"/>
    <n v="355680"/>
    <x v="2"/>
    <x v="1"/>
    <x v="2"/>
    <x v="0"/>
  </r>
  <r>
    <s v="ORD10030"/>
    <x v="24"/>
    <s v="Ruth"/>
    <x v="0"/>
    <n v="23"/>
    <x v="3"/>
    <s v="Kano"/>
    <x v="1"/>
    <s v="Laptop"/>
    <x v="3"/>
    <n v="9"/>
    <n v="21700"/>
    <n v="15"/>
    <n v="166005"/>
    <x v="1"/>
    <x v="4"/>
    <x v="2"/>
    <x v="0"/>
  </r>
  <r>
    <s v="ORD10032"/>
    <x v="25"/>
    <s v="Mary"/>
    <x v="1"/>
    <n v="36"/>
    <x v="2"/>
    <s v="Garki"/>
    <x v="1"/>
    <s v="Phone"/>
    <x v="3"/>
    <n v="2"/>
    <n v="19800"/>
    <n v="20"/>
    <n v="31680"/>
    <x v="2"/>
    <x v="0"/>
    <x v="0"/>
    <x v="0"/>
  </r>
  <r>
    <s v="ORD10033"/>
    <x v="26"/>
    <s v="Peter"/>
    <x v="2"/>
    <n v="43"/>
    <x v="1"/>
    <s v="Lekki"/>
    <x v="1"/>
    <s v="Phone"/>
    <x v="3"/>
    <n v="4"/>
    <n v="18700"/>
    <n v="20"/>
    <n v="59840"/>
    <x v="2"/>
    <x v="0"/>
    <x v="0"/>
    <x v="0"/>
  </r>
  <r>
    <s v="ORD10035"/>
    <x v="27"/>
    <s v="Aisha"/>
    <x v="2"/>
    <n v="34"/>
    <x v="4"/>
    <s v="Ibadan"/>
    <x v="3"/>
    <s v="Desk"/>
    <x v="3"/>
    <n v="2"/>
    <n v="8700"/>
    <n v="5"/>
    <n v="16530"/>
    <x v="1"/>
    <x v="1"/>
    <x v="1"/>
    <x v="1"/>
  </r>
  <r>
    <s v="ORD10036"/>
    <x v="28"/>
    <s v="Daniel"/>
    <x v="0"/>
    <n v="51"/>
    <x v="1"/>
    <s v="Ikeja"/>
    <x v="2"/>
    <s v="Rice"/>
    <x v="1"/>
    <n v="5"/>
    <n v="39700"/>
    <n v="0"/>
    <n v="198500"/>
    <x v="1"/>
    <x v="0"/>
    <x v="3"/>
    <x v="0"/>
  </r>
  <r>
    <s v="ORD10037"/>
    <x v="29"/>
    <s v="Mary"/>
    <x v="2"/>
    <n v="61"/>
    <x v="0"/>
    <s v="Enugu"/>
    <x v="1"/>
    <s v="Phone"/>
    <x v="5"/>
    <n v="2"/>
    <n v="13500"/>
    <n v="5"/>
    <n v="25650"/>
    <x v="1"/>
    <x v="0"/>
    <x v="3"/>
    <x v="0"/>
  </r>
  <r>
    <s v="ORD10038"/>
    <x v="30"/>
    <s v="Peter"/>
    <x v="0"/>
    <n v="44"/>
    <x v="4"/>
    <s v="Ibadan"/>
    <x v="2"/>
    <s v="Rice"/>
    <x v="0"/>
    <n v="9"/>
    <n v="10300"/>
    <n v="5"/>
    <n v="88065"/>
    <x v="0"/>
    <x v="2"/>
    <x v="0"/>
    <x v="0"/>
  </r>
  <r>
    <s v="ORD10040"/>
    <x v="31"/>
    <s v="Ruth"/>
    <x v="0"/>
    <n v="55"/>
    <x v="5"/>
    <s v="Port Harcourt"/>
    <x v="2"/>
    <s v="Beans"/>
    <x v="3"/>
    <n v="3"/>
    <n v="30300"/>
    <n v="25"/>
    <n v="68175"/>
    <x v="2"/>
    <x v="5"/>
    <x v="3"/>
    <x v="0"/>
  </r>
  <r>
    <s v="ORD10041"/>
    <x v="32"/>
    <s v="David"/>
    <x v="2"/>
    <n v="23"/>
    <x v="3"/>
    <s v="Kano"/>
    <x v="1"/>
    <s v="Phone"/>
    <x v="0"/>
    <n v="10"/>
    <n v="10900"/>
    <n v="25"/>
    <n v="81750"/>
    <x v="3"/>
    <x v="0"/>
    <x v="3"/>
    <x v="0"/>
  </r>
  <r>
    <s v="ORD10042"/>
    <x v="33"/>
    <s v="Aisha"/>
    <x v="2"/>
    <n v="21"/>
    <x v="4"/>
    <s v="Ibadan"/>
    <x v="0"/>
    <s v="Shoes"/>
    <x v="0"/>
    <n v="1"/>
    <n v="26200"/>
    <n v="15"/>
    <n v="22270"/>
    <x v="1"/>
    <x v="4"/>
    <x v="3"/>
    <x v="0"/>
  </r>
  <r>
    <s v="ORD10043"/>
    <x v="34"/>
    <s v="David"/>
    <x v="2"/>
    <n v="34"/>
    <x v="5"/>
    <s v="Obio"/>
    <x v="1"/>
    <s v="Phone"/>
    <x v="0"/>
    <n v="7"/>
    <n v="24500"/>
    <n v="5"/>
    <n v="162925"/>
    <x v="0"/>
    <x v="4"/>
    <x v="3"/>
    <x v="0"/>
  </r>
  <r>
    <s v="ORD10044"/>
    <x v="17"/>
    <s v="Ruth"/>
    <x v="0"/>
    <n v="64"/>
    <x v="4"/>
    <s v="Ogbomosho"/>
    <x v="3"/>
    <s v="Desk"/>
    <x v="2"/>
    <n v="1"/>
    <n v="6000"/>
    <n v="5"/>
    <n v="5700"/>
    <x v="1"/>
    <x v="0"/>
    <x v="0"/>
    <x v="0"/>
  </r>
  <r>
    <s v="ORD10045"/>
    <x v="35"/>
    <s v="Emeka"/>
    <x v="0"/>
    <n v="21"/>
    <x v="2"/>
    <s v="Garki"/>
    <x v="0"/>
    <s v="Shoes"/>
    <x v="5"/>
    <n v="1"/>
    <n v="9800"/>
    <n v="0"/>
    <n v="9800"/>
    <x v="1"/>
    <x v="5"/>
    <x v="2"/>
    <x v="0"/>
  </r>
  <r>
    <s v="ORD10046"/>
    <x v="36"/>
    <s v="Chioma"/>
    <x v="2"/>
    <n v="34"/>
    <x v="4"/>
    <s v="Ogbomosho"/>
    <x v="0"/>
    <s v="Shoes"/>
    <x v="1"/>
    <n v="2"/>
    <n v="26400"/>
    <n v="20"/>
    <n v="42240"/>
    <x v="1"/>
    <x v="4"/>
    <x v="3"/>
    <x v="0"/>
  </r>
  <r>
    <s v="ORD10049"/>
    <x v="37"/>
    <s v="Ruth"/>
    <x v="1"/>
    <n v="56"/>
    <x v="5"/>
    <s v="Obio"/>
    <x v="0"/>
    <s v="Shirt"/>
    <x v="2"/>
    <n v="5"/>
    <n v="37900"/>
    <n v="15"/>
    <n v="161075"/>
    <x v="1"/>
    <x v="4"/>
    <x v="2"/>
    <x v="0"/>
  </r>
  <r>
    <s v="ORD10050"/>
    <x v="38"/>
    <s v="Emeka"/>
    <x v="0"/>
    <n v="28"/>
    <x v="5"/>
    <s v="Obio"/>
    <x v="2"/>
    <s v="Rice"/>
    <x v="3"/>
    <n v="8"/>
    <n v="26600"/>
    <n v="15"/>
    <n v="180880"/>
    <x v="1"/>
    <x v="0"/>
    <x v="2"/>
    <x v="0"/>
  </r>
  <r>
    <s v="ORD10051"/>
    <x v="39"/>
    <s v="Chioma"/>
    <x v="0"/>
    <n v="39"/>
    <x v="0"/>
    <s v="Enugu"/>
    <x v="1"/>
    <s v="Phone"/>
    <x v="4"/>
    <n v="5"/>
    <n v="33700"/>
    <n v="20"/>
    <n v="134800"/>
    <x v="2"/>
    <x v="1"/>
    <x v="3"/>
    <x v="0"/>
  </r>
  <r>
    <s v="ORD10052"/>
    <x v="40"/>
    <s v="Ruth"/>
    <x v="0"/>
    <n v="53"/>
    <x v="5"/>
    <s v="Obio"/>
    <x v="1"/>
    <s v="Phone"/>
    <x v="3"/>
    <n v="5"/>
    <n v="28100"/>
    <n v="0"/>
    <n v="140500"/>
    <x v="2"/>
    <x v="4"/>
    <x v="3"/>
    <x v="0"/>
  </r>
  <r>
    <s v="ORD10054"/>
    <x v="41"/>
    <s v="Emeka"/>
    <x v="2"/>
    <n v="59"/>
    <x v="5"/>
    <s v="Obio"/>
    <x v="0"/>
    <s v="Shirt"/>
    <x v="0"/>
    <n v="3"/>
    <n v="34200"/>
    <n v="20"/>
    <n v="82080"/>
    <x v="1"/>
    <x v="5"/>
    <x v="0"/>
    <x v="0"/>
  </r>
  <r>
    <s v="ORD10055"/>
    <x v="42"/>
    <s v="David"/>
    <x v="0"/>
    <n v="25"/>
    <x v="4"/>
    <s v="Ogbomosho"/>
    <x v="2"/>
    <s v="Rice"/>
    <x v="4"/>
    <n v="9"/>
    <n v="42900"/>
    <n v="5"/>
    <n v="366795"/>
    <x v="2"/>
    <x v="4"/>
    <x v="0"/>
    <x v="0"/>
  </r>
  <r>
    <s v="ORD10057"/>
    <x v="43"/>
    <s v="Aisha"/>
    <x v="0"/>
    <n v="34"/>
    <x v="2"/>
    <s v="Garki"/>
    <x v="2"/>
    <s v="Rice"/>
    <x v="4"/>
    <n v="6"/>
    <n v="49400"/>
    <n v="15"/>
    <n v="251940"/>
    <x v="1"/>
    <x v="5"/>
    <x v="1"/>
    <x v="1"/>
  </r>
  <r>
    <s v="ORD10058"/>
    <x v="44"/>
    <s v="Chioma"/>
    <x v="2"/>
    <n v="60"/>
    <x v="2"/>
    <s v="Garki"/>
    <x v="2"/>
    <s v="Rice"/>
    <x v="4"/>
    <n v="2"/>
    <n v="40400"/>
    <n v="5"/>
    <n v="76760"/>
    <x v="2"/>
    <x v="2"/>
    <x v="3"/>
    <x v="0"/>
  </r>
  <r>
    <s v="ORD10060"/>
    <x v="45"/>
    <s v="Daniel"/>
    <x v="1"/>
    <n v="30"/>
    <x v="1"/>
    <s v="Ikeja"/>
    <x v="3"/>
    <s v="Desk"/>
    <x v="4"/>
    <n v="3"/>
    <n v="34900"/>
    <n v="0"/>
    <n v="104700"/>
    <x v="2"/>
    <x v="0"/>
    <x v="2"/>
    <x v="0"/>
  </r>
  <r>
    <s v="ORD10063"/>
    <x v="46"/>
    <s v="Aisha"/>
    <x v="0"/>
    <n v="64"/>
    <x v="4"/>
    <s v="Ogbomosho"/>
    <x v="3"/>
    <s v="Chair"/>
    <x v="2"/>
    <n v="4"/>
    <n v="49000"/>
    <n v="0"/>
    <n v="196000"/>
    <x v="3"/>
    <x v="2"/>
    <x v="0"/>
    <x v="0"/>
  </r>
  <r>
    <s v="ORD10065"/>
    <x v="47"/>
    <s v="Ruth"/>
    <x v="2"/>
    <n v="44"/>
    <x v="5"/>
    <s v="Obio"/>
    <x v="3"/>
    <s v="Chair"/>
    <x v="4"/>
    <n v="7"/>
    <n v="19100"/>
    <n v="10"/>
    <n v="120330"/>
    <x v="2"/>
    <x v="3"/>
    <x v="1"/>
    <x v="1"/>
  </r>
  <r>
    <s v="ORD10066"/>
    <x v="48"/>
    <s v="Ruth"/>
    <x v="0"/>
    <n v="64"/>
    <x v="5"/>
    <s v="Obio"/>
    <x v="1"/>
    <s v="Phone"/>
    <x v="2"/>
    <n v="4"/>
    <n v="13800"/>
    <n v="20"/>
    <n v="44160"/>
    <x v="1"/>
    <x v="5"/>
    <x v="2"/>
    <x v="0"/>
  </r>
  <r>
    <s v="ORD10067"/>
    <x v="20"/>
    <s v="Emeka"/>
    <x v="0"/>
    <n v="46"/>
    <x v="0"/>
    <s v="Enugu"/>
    <x v="1"/>
    <s v="Laptop"/>
    <x v="1"/>
    <n v="3"/>
    <n v="33700"/>
    <n v="10"/>
    <n v="90990"/>
    <x v="2"/>
    <x v="0"/>
    <x v="0"/>
    <x v="0"/>
  </r>
  <r>
    <s v="ORD10068"/>
    <x v="49"/>
    <s v="Chioma"/>
    <x v="1"/>
    <n v="48"/>
    <x v="1"/>
    <s v="Ikeja"/>
    <x v="2"/>
    <s v="Rice"/>
    <x v="4"/>
    <n v="10"/>
    <n v="19900"/>
    <n v="0"/>
    <n v="199000"/>
    <x v="2"/>
    <x v="2"/>
    <x v="2"/>
    <x v="0"/>
  </r>
  <r>
    <s v="ORD10069"/>
    <x v="50"/>
    <s v="Grace"/>
    <x v="0"/>
    <n v="51"/>
    <x v="2"/>
    <s v="Wuse"/>
    <x v="2"/>
    <s v="Beans"/>
    <x v="1"/>
    <n v="10"/>
    <n v="18100"/>
    <n v="5"/>
    <n v="171950"/>
    <x v="1"/>
    <x v="1"/>
    <x v="1"/>
    <x v="1"/>
  </r>
  <r>
    <s v="ORD10070"/>
    <x v="51"/>
    <s v="Mary"/>
    <x v="0"/>
    <n v="65"/>
    <x v="0"/>
    <s v="Enugu"/>
    <x v="0"/>
    <s v="Shoes"/>
    <x v="0"/>
    <n v="5"/>
    <n v="21000"/>
    <n v="10"/>
    <n v="94500"/>
    <x v="3"/>
    <x v="5"/>
    <x v="3"/>
    <x v="0"/>
  </r>
  <r>
    <s v="ORD10071"/>
    <x v="22"/>
    <s v="Emeka"/>
    <x v="0"/>
    <n v="41"/>
    <x v="3"/>
    <s v="Kano"/>
    <x v="3"/>
    <s v="Desk"/>
    <x v="3"/>
    <n v="3"/>
    <n v="3000"/>
    <n v="15"/>
    <n v="7650"/>
    <x v="1"/>
    <x v="5"/>
    <x v="0"/>
    <x v="0"/>
  </r>
  <r>
    <s v="ORD10073"/>
    <x v="52"/>
    <s v="Grace"/>
    <x v="2"/>
    <n v="46"/>
    <x v="2"/>
    <s v="Garki"/>
    <x v="3"/>
    <s v="Chair"/>
    <x v="1"/>
    <n v="2"/>
    <n v="34000"/>
    <n v="10"/>
    <n v="61200"/>
    <x v="0"/>
    <x v="4"/>
    <x v="2"/>
    <x v="0"/>
  </r>
  <r>
    <s v="ORD10075"/>
    <x v="53"/>
    <s v="Mary"/>
    <x v="1"/>
    <n v="26"/>
    <x v="1"/>
    <s v="Ikeja"/>
    <x v="1"/>
    <s v="Laptop"/>
    <x v="4"/>
    <n v="4"/>
    <n v="8900"/>
    <n v="10"/>
    <n v="32040"/>
    <x v="1"/>
    <x v="0"/>
    <x v="1"/>
    <x v="1"/>
  </r>
  <r>
    <s v="ORD10076"/>
    <x v="54"/>
    <s v="Aisha"/>
    <x v="1"/>
    <n v="19"/>
    <x v="0"/>
    <s v="Enugu"/>
    <x v="0"/>
    <s v="Shirt"/>
    <x v="3"/>
    <n v="3"/>
    <n v="15400"/>
    <n v="25"/>
    <n v="34650"/>
    <x v="1"/>
    <x v="0"/>
    <x v="1"/>
    <x v="1"/>
  </r>
  <r>
    <s v="ORD10077"/>
    <x v="55"/>
    <s v="Emeka"/>
    <x v="2"/>
    <n v="40"/>
    <x v="2"/>
    <s v="Garki"/>
    <x v="0"/>
    <s v="Shirt"/>
    <x v="1"/>
    <n v="5"/>
    <n v="25200"/>
    <n v="5"/>
    <n v="119700"/>
    <x v="2"/>
    <x v="2"/>
    <x v="2"/>
    <x v="0"/>
  </r>
  <r>
    <s v="ORD10078"/>
    <x v="56"/>
    <s v="Chioma"/>
    <x v="2"/>
    <n v="22"/>
    <x v="1"/>
    <s v="Ikeja"/>
    <x v="2"/>
    <s v="Beans"/>
    <x v="5"/>
    <n v="10"/>
    <n v="14400"/>
    <n v="10"/>
    <n v="129600"/>
    <x v="0"/>
    <x v="3"/>
    <x v="2"/>
    <x v="0"/>
  </r>
  <r>
    <s v="ORD10079"/>
    <x v="34"/>
    <s v="Daniel"/>
    <x v="0"/>
    <n v="41"/>
    <x v="2"/>
    <s v="Wuse"/>
    <x v="1"/>
    <s v="Phone"/>
    <x v="3"/>
    <n v="3"/>
    <n v="49700"/>
    <n v="10"/>
    <n v="134190"/>
    <x v="2"/>
    <x v="3"/>
    <x v="1"/>
    <x v="1"/>
  </r>
  <r>
    <s v="ORD10080"/>
    <x v="34"/>
    <s v="Mary"/>
    <x v="0"/>
    <n v="40"/>
    <x v="0"/>
    <s v="Enugu"/>
    <x v="0"/>
    <s v="Shirt"/>
    <x v="5"/>
    <n v="3"/>
    <n v="40000"/>
    <n v="25"/>
    <n v="90000"/>
    <x v="1"/>
    <x v="4"/>
    <x v="0"/>
    <x v="0"/>
  </r>
  <r>
    <s v="ORD10081"/>
    <x v="57"/>
    <s v="Emeka"/>
    <x v="0"/>
    <n v="55"/>
    <x v="4"/>
    <s v="Ibadan"/>
    <x v="2"/>
    <s v="Beans"/>
    <x v="2"/>
    <n v="9"/>
    <n v="17200"/>
    <n v="10"/>
    <n v="139320"/>
    <x v="1"/>
    <x v="1"/>
    <x v="2"/>
    <x v="0"/>
  </r>
  <r>
    <s v="ORD10084"/>
    <x v="58"/>
    <s v="Ruth"/>
    <x v="1"/>
    <n v="47"/>
    <x v="2"/>
    <s v="Wuse"/>
    <x v="3"/>
    <s v="Desk"/>
    <x v="1"/>
    <n v="4"/>
    <n v="8400"/>
    <n v="20"/>
    <n v="26880"/>
    <x v="2"/>
    <x v="3"/>
    <x v="1"/>
    <x v="1"/>
  </r>
  <r>
    <s v="ORD10089"/>
    <x v="0"/>
    <s v="Chioma"/>
    <x v="2"/>
    <n v="22"/>
    <x v="1"/>
    <s v="Lekki"/>
    <x v="3"/>
    <s v="Chair"/>
    <x v="0"/>
    <n v="1"/>
    <n v="2300"/>
    <n v="10"/>
    <n v="2070"/>
    <x v="1"/>
    <x v="0"/>
    <x v="3"/>
    <x v="0"/>
  </r>
  <r>
    <s v="ORD10090"/>
    <x v="59"/>
    <s v="Mary"/>
    <x v="1"/>
    <n v="55"/>
    <x v="5"/>
    <s v="Port Harcourt"/>
    <x v="0"/>
    <s v="Shirt"/>
    <x v="4"/>
    <n v="4"/>
    <n v="36400"/>
    <n v="15"/>
    <n v="123760"/>
    <x v="1"/>
    <x v="0"/>
    <x v="0"/>
    <x v="0"/>
  </r>
  <r>
    <s v="ORD10091"/>
    <x v="60"/>
    <s v="Ruth"/>
    <x v="0"/>
    <n v="61"/>
    <x v="4"/>
    <s v="Ogbomosho"/>
    <x v="1"/>
    <s v="Phone"/>
    <x v="3"/>
    <n v="8"/>
    <n v="8300"/>
    <n v="10"/>
    <n v="59760"/>
    <x v="1"/>
    <x v="3"/>
    <x v="3"/>
    <x v="0"/>
  </r>
  <r>
    <s v="ORD10092"/>
    <x v="61"/>
    <s v="Mary"/>
    <x v="0"/>
    <n v="65"/>
    <x v="4"/>
    <s v="Ibadan"/>
    <x v="2"/>
    <s v="Rice"/>
    <x v="1"/>
    <n v="6"/>
    <n v="14600"/>
    <n v="0"/>
    <n v="87600"/>
    <x v="0"/>
    <x v="0"/>
    <x v="2"/>
    <x v="0"/>
  </r>
  <r>
    <s v="ORD10093"/>
    <x v="62"/>
    <s v="Ruth"/>
    <x v="0"/>
    <n v="49"/>
    <x v="4"/>
    <s v="Ogbomosho"/>
    <x v="3"/>
    <s v="Chair"/>
    <x v="4"/>
    <n v="4"/>
    <n v="48200"/>
    <n v="10"/>
    <n v="173520"/>
    <x v="2"/>
    <x v="1"/>
    <x v="1"/>
    <x v="1"/>
  </r>
  <r>
    <s v="ORD10094"/>
    <x v="63"/>
    <s v="Emeka"/>
    <x v="2"/>
    <n v="33"/>
    <x v="0"/>
    <s v="Enugu"/>
    <x v="2"/>
    <s v="Rice"/>
    <x v="5"/>
    <n v="5"/>
    <n v="12300"/>
    <n v="10"/>
    <n v="55350"/>
    <x v="0"/>
    <x v="1"/>
    <x v="3"/>
    <x v="0"/>
  </r>
  <r>
    <s v="ORD10095"/>
    <x v="39"/>
    <s v="John"/>
    <x v="2"/>
    <n v="65"/>
    <x v="0"/>
    <s v="Enugu"/>
    <x v="3"/>
    <s v="Desk"/>
    <x v="5"/>
    <n v="10"/>
    <n v="6500"/>
    <n v="5"/>
    <n v="61750"/>
    <x v="1"/>
    <x v="5"/>
    <x v="1"/>
    <x v="1"/>
  </r>
  <r>
    <s v="ORD10096"/>
    <x v="64"/>
    <s v="John"/>
    <x v="0"/>
    <n v="52"/>
    <x v="4"/>
    <s v="Ibadan"/>
    <x v="2"/>
    <s v="Beans"/>
    <x v="0"/>
    <n v="9"/>
    <n v="39600"/>
    <n v="0"/>
    <n v="356400"/>
    <x v="1"/>
    <x v="3"/>
    <x v="2"/>
    <x v="0"/>
  </r>
  <r>
    <s v="ORD10097"/>
    <x v="65"/>
    <s v="Mary"/>
    <x v="2"/>
    <n v="150"/>
    <x v="4"/>
    <s v="Ibadan"/>
    <x v="0"/>
    <s v="Shirt"/>
    <x v="1"/>
    <n v="9"/>
    <n v="29400"/>
    <n v="0"/>
    <n v="264600"/>
    <x v="1"/>
    <x v="1"/>
    <x v="2"/>
    <x v="0"/>
  </r>
  <r>
    <s v="ORD10098"/>
    <x v="66"/>
    <s v="Ruth"/>
    <x v="2"/>
    <n v="65"/>
    <x v="3"/>
    <s v="Kano"/>
    <x v="3"/>
    <s v="Desk"/>
    <x v="1"/>
    <n v="4"/>
    <n v="30400"/>
    <n v="10"/>
    <n v="109440"/>
    <x v="1"/>
    <x v="2"/>
    <x v="1"/>
    <x v="1"/>
  </r>
  <r>
    <s v="ORD10100"/>
    <x v="67"/>
    <s v="John"/>
    <x v="2"/>
    <n v="50"/>
    <x v="3"/>
    <s v="Kano"/>
    <x v="2"/>
    <s v="Rice"/>
    <x v="1"/>
    <n v="1"/>
    <n v="10800"/>
    <n v="0"/>
    <n v="10800"/>
    <x v="1"/>
    <x v="1"/>
    <x v="1"/>
    <x v="1"/>
  </r>
  <r>
    <s v="ORD10101"/>
    <x v="68"/>
    <s v="Aisha"/>
    <x v="1"/>
    <n v="32"/>
    <x v="3"/>
    <s v="Kano"/>
    <x v="2"/>
    <s v="Beans"/>
    <x v="0"/>
    <n v="2"/>
    <n v="2400"/>
    <n v="15"/>
    <n v="4080"/>
    <x v="0"/>
    <x v="0"/>
    <x v="2"/>
    <x v="0"/>
  </r>
  <r>
    <s v="ORD10102"/>
    <x v="69"/>
    <s v="Mary"/>
    <x v="1"/>
    <n v="36"/>
    <x v="0"/>
    <s v="Enugu"/>
    <x v="0"/>
    <s v="Shoes"/>
    <x v="1"/>
    <n v="7"/>
    <n v="11800"/>
    <n v="25"/>
    <n v="61950"/>
    <x v="1"/>
    <x v="0"/>
    <x v="1"/>
    <x v="1"/>
  </r>
  <r>
    <s v="ORD10103"/>
    <x v="70"/>
    <s v="John"/>
    <x v="0"/>
    <n v="48"/>
    <x v="5"/>
    <s v="Obio"/>
    <x v="3"/>
    <s v="Chair"/>
    <x v="2"/>
    <n v="3"/>
    <n v="47400"/>
    <n v="0"/>
    <n v="142200"/>
    <x v="0"/>
    <x v="0"/>
    <x v="3"/>
    <x v="0"/>
  </r>
  <r>
    <s v="ORD10104"/>
    <x v="71"/>
    <s v="Emeka"/>
    <x v="1"/>
    <n v="58"/>
    <x v="3"/>
    <s v="Kano"/>
    <x v="1"/>
    <s v="Laptop"/>
    <x v="4"/>
    <n v="8"/>
    <n v="13100"/>
    <n v="25"/>
    <n v="78600"/>
    <x v="0"/>
    <x v="0"/>
    <x v="3"/>
    <x v="0"/>
  </r>
  <r>
    <s v="ORD10105"/>
    <x v="13"/>
    <s v="Aisha"/>
    <x v="2"/>
    <n v="32"/>
    <x v="3"/>
    <s v="Kano"/>
    <x v="2"/>
    <s v="Beans"/>
    <x v="0"/>
    <n v="8"/>
    <n v="31300"/>
    <n v="10"/>
    <n v="225360"/>
    <x v="2"/>
    <x v="5"/>
    <x v="3"/>
    <x v="0"/>
  </r>
  <r>
    <s v="ORD10106"/>
    <x v="72"/>
    <s v="Ruth"/>
    <x v="2"/>
    <n v="22"/>
    <x v="1"/>
    <s v="Ikeja"/>
    <x v="0"/>
    <s v="Shoes"/>
    <x v="3"/>
    <n v="1"/>
    <n v="39900"/>
    <n v="20"/>
    <n v="31920"/>
    <x v="0"/>
    <x v="3"/>
    <x v="0"/>
    <x v="0"/>
  </r>
  <r>
    <s v="ORD10107"/>
    <x v="73"/>
    <s v="Chioma"/>
    <x v="2"/>
    <n v="57"/>
    <x v="3"/>
    <s v="Kano"/>
    <x v="3"/>
    <s v="Desk"/>
    <x v="1"/>
    <n v="7"/>
    <n v="4700"/>
    <n v="15"/>
    <n v="27965"/>
    <x v="0"/>
    <x v="0"/>
    <x v="1"/>
    <x v="1"/>
  </r>
  <r>
    <s v="ORD10108"/>
    <x v="74"/>
    <s v="Mary"/>
    <x v="1"/>
    <n v="47"/>
    <x v="5"/>
    <s v="Obio"/>
    <x v="2"/>
    <s v="Beans"/>
    <x v="5"/>
    <n v="1"/>
    <n v="37900"/>
    <n v="25"/>
    <n v="28425"/>
    <x v="2"/>
    <x v="2"/>
    <x v="1"/>
    <x v="1"/>
  </r>
  <r>
    <s v="ORD10109"/>
    <x v="68"/>
    <s v="Daniel"/>
    <x v="0"/>
    <n v="63"/>
    <x v="4"/>
    <s v="Ogbomosho"/>
    <x v="3"/>
    <s v="Desk"/>
    <x v="2"/>
    <n v="4"/>
    <n v="2100"/>
    <n v="20"/>
    <n v="6720"/>
    <x v="2"/>
    <x v="0"/>
    <x v="1"/>
    <x v="1"/>
  </r>
  <r>
    <s v="ORD10111"/>
    <x v="75"/>
    <s v="Peter"/>
    <x v="2"/>
    <n v="51"/>
    <x v="4"/>
    <s v="Ibadan"/>
    <x v="0"/>
    <s v="Shirt"/>
    <x v="4"/>
    <n v="7"/>
    <n v="5800"/>
    <n v="5"/>
    <n v="38570"/>
    <x v="1"/>
    <x v="5"/>
    <x v="0"/>
    <x v="0"/>
  </r>
  <r>
    <s v="ORD10112"/>
    <x v="76"/>
    <s v="Chioma"/>
    <x v="0"/>
    <n v="49"/>
    <x v="4"/>
    <s v="Ogbomosho"/>
    <x v="1"/>
    <s v="Laptop"/>
    <x v="1"/>
    <n v="3"/>
    <n v="10800"/>
    <n v="25"/>
    <n v="24300"/>
    <x v="2"/>
    <x v="0"/>
    <x v="1"/>
    <x v="1"/>
  </r>
  <r>
    <s v="ORD10114"/>
    <x v="77"/>
    <s v="David"/>
    <x v="2"/>
    <n v="38"/>
    <x v="3"/>
    <s v="Kano"/>
    <x v="0"/>
    <s v="Shoes"/>
    <x v="5"/>
    <n v="9"/>
    <n v="50000"/>
    <n v="10"/>
    <n v="405000"/>
    <x v="1"/>
    <x v="3"/>
    <x v="0"/>
    <x v="0"/>
  </r>
  <r>
    <s v="ORD10116"/>
    <x v="78"/>
    <s v="David"/>
    <x v="0"/>
    <n v="60"/>
    <x v="2"/>
    <s v="Wuse"/>
    <x v="0"/>
    <s v="Shoes"/>
    <x v="3"/>
    <n v="8"/>
    <n v="40300"/>
    <n v="25"/>
    <n v="241800"/>
    <x v="0"/>
    <x v="2"/>
    <x v="2"/>
    <x v="0"/>
  </r>
  <r>
    <s v="ORD10118"/>
    <x v="79"/>
    <s v="Aisha"/>
    <x v="0"/>
    <n v="56"/>
    <x v="5"/>
    <s v="Port Harcourt"/>
    <x v="0"/>
    <s v="Shirt"/>
    <x v="4"/>
    <n v="10"/>
    <n v="29100"/>
    <n v="25"/>
    <n v="218250"/>
    <x v="1"/>
    <x v="4"/>
    <x v="0"/>
    <x v="0"/>
  </r>
  <r>
    <s v="ORD10119"/>
    <x v="80"/>
    <s v="Chioma"/>
    <x v="2"/>
    <n v="53"/>
    <x v="0"/>
    <s v="Enugu"/>
    <x v="2"/>
    <s v="Beans"/>
    <x v="2"/>
    <n v="4"/>
    <n v="8000"/>
    <n v="20"/>
    <n v="25600"/>
    <x v="1"/>
    <x v="0"/>
    <x v="1"/>
    <x v="1"/>
  </r>
  <r>
    <s v="ORD10120"/>
    <x v="81"/>
    <s v="Emeka"/>
    <x v="0"/>
    <n v="26"/>
    <x v="2"/>
    <s v="Wuse"/>
    <x v="0"/>
    <s v="Shoes"/>
    <x v="3"/>
    <n v="8"/>
    <n v="33300"/>
    <n v="20"/>
    <n v="213120"/>
    <x v="1"/>
    <x v="0"/>
    <x v="2"/>
    <x v="0"/>
  </r>
  <r>
    <s v="ORD10121"/>
    <x v="82"/>
    <s v="David"/>
    <x v="1"/>
    <n v="35"/>
    <x v="4"/>
    <s v="Ogbomosho"/>
    <x v="0"/>
    <s v="Shoes"/>
    <x v="3"/>
    <n v="2"/>
    <n v="2200"/>
    <n v="10"/>
    <n v="3960"/>
    <x v="2"/>
    <x v="1"/>
    <x v="0"/>
    <x v="0"/>
  </r>
  <r>
    <s v="ORD10123"/>
    <x v="83"/>
    <s v="Aisha"/>
    <x v="2"/>
    <n v="46"/>
    <x v="0"/>
    <s v="Enugu"/>
    <x v="0"/>
    <s v="Shoes"/>
    <x v="0"/>
    <n v="4"/>
    <n v="8500"/>
    <n v="0"/>
    <n v="34000"/>
    <x v="2"/>
    <x v="0"/>
    <x v="2"/>
    <x v="0"/>
  </r>
  <r>
    <s v="ORD10124"/>
    <x v="84"/>
    <s v="Mary"/>
    <x v="2"/>
    <n v="38"/>
    <x v="3"/>
    <s v="Kano"/>
    <x v="0"/>
    <s v="Shoes"/>
    <x v="4"/>
    <n v="2"/>
    <n v="39100"/>
    <n v="10"/>
    <n v="70380"/>
    <x v="2"/>
    <x v="0"/>
    <x v="0"/>
    <x v="0"/>
  </r>
  <r>
    <s v="ORD10125"/>
    <x v="85"/>
    <s v="Chioma"/>
    <x v="2"/>
    <n v="23"/>
    <x v="1"/>
    <s v="Ikeja"/>
    <x v="2"/>
    <s v="Beans"/>
    <x v="4"/>
    <n v="2"/>
    <n v="23400"/>
    <n v="10"/>
    <n v="42120"/>
    <x v="2"/>
    <x v="0"/>
    <x v="0"/>
    <x v="0"/>
  </r>
  <r>
    <s v="ORD10126"/>
    <x v="86"/>
    <s v="Peter"/>
    <x v="0"/>
    <n v="35"/>
    <x v="4"/>
    <s v="Ibadan"/>
    <x v="2"/>
    <s v="Rice"/>
    <x v="2"/>
    <n v="8"/>
    <n v="40400"/>
    <n v="15"/>
    <n v="274720"/>
    <x v="0"/>
    <x v="0"/>
    <x v="2"/>
    <x v="0"/>
  </r>
  <r>
    <s v="ORD10129"/>
    <x v="87"/>
    <s v="Peter"/>
    <x v="1"/>
    <n v="57"/>
    <x v="2"/>
    <s v="Wuse"/>
    <x v="2"/>
    <s v="Rice"/>
    <x v="0"/>
    <n v="4"/>
    <n v="2900"/>
    <n v="5"/>
    <n v="11020"/>
    <x v="0"/>
    <x v="2"/>
    <x v="3"/>
    <x v="0"/>
  </r>
  <r>
    <s v="ORD10130"/>
    <x v="88"/>
    <s v="Daniel"/>
    <x v="1"/>
    <n v="18"/>
    <x v="2"/>
    <s v="Wuse"/>
    <x v="0"/>
    <s v="Shirt"/>
    <x v="4"/>
    <n v="10"/>
    <n v="24700"/>
    <n v="15"/>
    <n v="209950"/>
    <x v="1"/>
    <x v="4"/>
    <x v="3"/>
    <x v="0"/>
  </r>
  <r>
    <s v="ORD10131"/>
    <x v="89"/>
    <s v="Grace"/>
    <x v="0"/>
    <n v="59"/>
    <x v="5"/>
    <s v="Port Harcourt"/>
    <x v="1"/>
    <s v="Phone"/>
    <x v="3"/>
    <n v="9"/>
    <n v="14000"/>
    <n v="25"/>
    <n v="94500"/>
    <x v="2"/>
    <x v="2"/>
    <x v="1"/>
    <x v="1"/>
  </r>
  <r>
    <s v="ORD10133"/>
    <x v="90"/>
    <s v="Aisha"/>
    <x v="1"/>
    <n v="54"/>
    <x v="0"/>
    <s v="Enugu"/>
    <x v="0"/>
    <s v="Shoes"/>
    <x v="2"/>
    <n v="10"/>
    <n v="47700"/>
    <n v="0"/>
    <n v="477000"/>
    <x v="0"/>
    <x v="4"/>
    <x v="1"/>
    <x v="1"/>
  </r>
  <r>
    <s v="ORD10136"/>
    <x v="42"/>
    <s v="Emeka"/>
    <x v="0"/>
    <n v="47"/>
    <x v="4"/>
    <s v="Ogbomosho"/>
    <x v="3"/>
    <s v="Desk"/>
    <x v="4"/>
    <n v="1"/>
    <n v="20000"/>
    <n v="20"/>
    <n v="16000"/>
    <x v="0"/>
    <x v="4"/>
    <x v="2"/>
    <x v="0"/>
  </r>
  <r>
    <s v="ORD10138"/>
    <x v="91"/>
    <s v="Grace"/>
    <x v="0"/>
    <n v="35"/>
    <x v="5"/>
    <s v="Obio"/>
    <x v="3"/>
    <s v="Desk"/>
    <x v="1"/>
    <n v="4"/>
    <n v="4100"/>
    <n v="10"/>
    <n v="14760"/>
    <x v="0"/>
    <x v="0"/>
    <x v="0"/>
    <x v="0"/>
  </r>
  <r>
    <s v="ORD10139"/>
    <x v="70"/>
    <s v="Ruth"/>
    <x v="0"/>
    <n v="37"/>
    <x v="2"/>
    <s v="Garki"/>
    <x v="0"/>
    <s v="Shoes"/>
    <x v="0"/>
    <n v="10"/>
    <n v="26200"/>
    <n v="15"/>
    <n v="222700"/>
    <x v="0"/>
    <x v="2"/>
    <x v="1"/>
    <x v="1"/>
  </r>
  <r>
    <s v="ORD10140"/>
    <x v="92"/>
    <s v="John"/>
    <x v="2"/>
    <n v="30"/>
    <x v="5"/>
    <s v="Port Harcourt"/>
    <x v="2"/>
    <s v="Rice"/>
    <x v="1"/>
    <n v="10"/>
    <n v="46600"/>
    <n v="15"/>
    <n v="396100"/>
    <x v="0"/>
    <x v="0"/>
    <x v="3"/>
    <x v="0"/>
  </r>
  <r>
    <s v="ORD10141"/>
    <x v="93"/>
    <s v="Ruth"/>
    <x v="2"/>
    <n v="64"/>
    <x v="1"/>
    <s v="Lekki"/>
    <x v="0"/>
    <s v="Shoes"/>
    <x v="5"/>
    <n v="2"/>
    <n v="22600"/>
    <n v="20"/>
    <n v="36160"/>
    <x v="0"/>
    <x v="4"/>
    <x v="1"/>
    <x v="1"/>
  </r>
  <r>
    <s v="ORD10142"/>
    <x v="94"/>
    <s v="Ruth"/>
    <x v="2"/>
    <n v="30"/>
    <x v="1"/>
    <s v="Ikeja"/>
    <x v="0"/>
    <s v="Shoes"/>
    <x v="3"/>
    <n v="6"/>
    <n v="38000"/>
    <n v="15"/>
    <n v="193800"/>
    <x v="1"/>
    <x v="5"/>
    <x v="0"/>
    <x v="0"/>
  </r>
  <r>
    <s v="ORD10144"/>
    <x v="95"/>
    <s v="Chioma"/>
    <x v="2"/>
    <n v="55"/>
    <x v="0"/>
    <s v="Enugu"/>
    <x v="0"/>
    <s v="Shirt"/>
    <x v="2"/>
    <n v="2"/>
    <n v="38200"/>
    <n v="20"/>
    <n v="61120"/>
    <x v="1"/>
    <x v="5"/>
    <x v="3"/>
    <x v="0"/>
  </r>
  <r>
    <s v="ORD10145"/>
    <x v="96"/>
    <s v="Mary"/>
    <x v="2"/>
    <n v="26"/>
    <x v="0"/>
    <s v="Enugu"/>
    <x v="3"/>
    <s v="Desk"/>
    <x v="1"/>
    <n v="2"/>
    <n v="39700"/>
    <n v="25"/>
    <n v="59550"/>
    <x v="1"/>
    <x v="0"/>
    <x v="2"/>
    <x v="0"/>
  </r>
  <r>
    <s v="ORD10146"/>
    <x v="30"/>
    <s v="Aisha"/>
    <x v="0"/>
    <n v="60"/>
    <x v="0"/>
    <s v="Enugu"/>
    <x v="0"/>
    <s v="Shirt"/>
    <x v="0"/>
    <n v="3"/>
    <n v="49100"/>
    <n v="20"/>
    <n v="117840"/>
    <x v="2"/>
    <x v="5"/>
    <x v="1"/>
    <x v="1"/>
  </r>
  <r>
    <s v="ORD10147"/>
    <x v="97"/>
    <s v="Ruth"/>
    <x v="2"/>
    <n v="34"/>
    <x v="0"/>
    <s v="Enugu"/>
    <x v="1"/>
    <s v="Phone"/>
    <x v="4"/>
    <n v="6"/>
    <n v="10400"/>
    <n v="0"/>
    <n v="62400"/>
    <x v="0"/>
    <x v="0"/>
    <x v="0"/>
    <x v="0"/>
  </r>
  <r>
    <s v="ORD10149"/>
    <x v="98"/>
    <s v="Mary"/>
    <x v="2"/>
    <n v="63"/>
    <x v="0"/>
    <s v="Enugu"/>
    <x v="1"/>
    <s v="Laptop"/>
    <x v="1"/>
    <n v="8"/>
    <n v="19900"/>
    <n v="10"/>
    <n v="143280"/>
    <x v="1"/>
    <x v="2"/>
    <x v="0"/>
    <x v="0"/>
  </r>
  <r>
    <s v="ORD10150"/>
    <x v="99"/>
    <s v="Ruth"/>
    <x v="0"/>
    <n v="54"/>
    <x v="5"/>
    <s v="Port Harcourt"/>
    <x v="2"/>
    <s v="Rice"/>
    <x v="2"/>
    <n v="7"/>
    <n v="22400"/>
    <n v="25"/>
    <n v="117600"/>
    <x v="0"/>
    <x v="2"/>
    <x v="2"/>
    <x v="0"/>
  </r>
  <r>
    <s v="ORD10151"/>
    <x v="100"/>
    <s v="David"/>
    <x v="1"/>
    <n v="41"/>
    <x v="1"/>
    <s v="Ikeja"/>
    <x v="2"/>
    <s v="Beans"/>
    <x v="4"/>
    <n v="6"/>
    <n v="21800"/>
    <n v="20"/>
    <n v="104640"/>
    <x v="2"/>
    <x v="4"/>
    <x v="0"/>
    <x v="0"/>
  </r>
  <r>
    <s v="ORD10153"/>
    <x v="101"/>
    <s v="Daniel"/>
    <x v="0"/>
    <n v="25"/>
    <x v="3"/>
    <s v="Kano"/>
    <x v="1"/>
    <s v="Phone"/>
    <x v="1"/>
    <n v="3"/>
    <n v="25700"/>
    <n v="25"/>
    <n v="57825"/>
    <x v="0"/>
    <x v="0"/>
    <x v="3"/>
    <x v="0"/>
  </r>
  <r>
    <s v="ORD10154"/>
    <x v="102"/>
    <s v="Aisha"/>
    <x v="0"/>
    <n v="52"/>
    <x v="5"/>
    <s v="Obio"/>
    <x v="1"/>
    <s v="Phone"/>
    <x v="1"/>
    <n v="10"/>
    <n v="3700"/>
    <n v="15"/>
    <n v="31450"/>
    <x v="2"/>
    <x v="5"/>
    <x v="0"/>
    <x v="0"/>
  </r>
  <r>
    <s v="ORD10155"/>
    <x v="103"/>
    <s v="Emeka"/>
    <x v="2"/>
    <n v="24"/>
    <x v="3"/>
    <s v="Kano"/>
    <x v="2"/>
    <s v="Beans"/>
    <x v="3"/>
    <n v="9"/>
    <n v="18800"/>
    <n v="5"/>
    <n v="160740"/>
    <x v="0"/>
    <x v="4"/>
    <x v="3"/>
    <x v="0"/>
  </r>
  <r>
    <s v="ORD10156"/>
    <x v="104"/>
    <s v="Daniel"/>
    <x v="0"/>
    <n v="28"/>
    <x v="5"/>
    <s v="Port Harcourt"/>
    <x v="1"/>
    <s v="Phone"/>
    <x v="0"/>
    <n v="3"/>
    <n v="20600"/>
    <n v="25"/>
    <n v="46350"/>
    <x v="1"/>
    <x v="3"/>
    <x v="3"/>
    <x v="0"/>
  </r>
  <r>
    <s v="ORD10160"/>
    <x v="105"/>
    <s v="Daniel"/>
    <x v="2"/>
    <n v="30"/>
    <x v="0"/>
    <s v="Enugu"/>
    <x v="0"/>
    <s v="Shoes"/>
    <x v="2"/>
    <n v="5"/>
    <n v="37800"/>
    <n v="5"/>
    <n v="179550"/>
    <x v="2"/>
    <x v="2"/>
    <x v="1"/>
    <x v="1"/>
  </r>
  <r>
    <s v="ORD10161"/>
    <x v="106"/>
    <s v="John"/>
    <x v="2"/>
    <n v="30"/>
    <x v="5"/>
    <s v="Port Harcourt"/>
    <x v="0"/>
    <s v="Shirt"/>
    <x v="3"/>
    <n v="1"/>
    <n v="35900"/>
    <n v="20"/>
    <n v="28720"/>
    <x v="2"/>
    <x v="2"/>
    <x v="3"/>
    <x v="0"/>
  </r>
  <r>
    <s v="ORD10163"/>
    <x v="107"/>
    <s v="Mary"/>
    <x v="2"/>
    <n v="19"/>
    <x v="5"/>
    <s v="Obio"/>
    <x v="3"/>
    <s v="Chair"/>
    <x v="0"/>
    <n v="10"/>
    <n v="39800"/>
    <n v="15"/>
    <n v="338300"/>
    <x v="0"/>
    <x v="0"/>
    <x v="0"/>
    <x v="0"/>
  </r>
  <r>
    <s v="ORD10165"/>
    <x v="108"/>
    <s v="Grace"/>
    <x v="0"/>
    <n v="52"/>
    <x v="5"/>
    <s v="Obio"/>
    <x v="2"/>
    <s v="Rice"/>
    <x v="5"/>
    <n v="9"/>
    <n v="2200"/>
    <n v="25"/>
    <n v="14850"/>
    <x v="1"/>
    <x v="2"/>
    <x v="2"/>
    <x v="0"/>
  </r>
  <r>
    <s v="ORD10166"/>
    <x v="109"/>
    <s v="Aisha"/>
    <x v="1"/>
    <n v="43"/>
    <x v="4"/>
    <s v="Ibadan"/>
    <x v="1"/>
    <s v="Laptop"/>
    <x v="1"/>
    <n v="9"/>
    <n v="24900"/>
    <n v="0"/>
    <n v="224100"/>
    <x v="1"/>
    <x v="0"/>
    <x v="1"/>
    <x v="1"/>
  </r>
  <r>
    <s v="ORD10167"/>
    <x v="110"/>
    <s v="Daniel"/>
    <x v="0"/>
    <n v="33"/>
    <x v="2"/>
    <s v="Wuse"/>
    <x v="1"/>
    <s v="Phone"/>
    <x v="0"/>
    <n v="5"/>
    <n v="12700"/>
    <n v="15"/>
    <n v="53975"/>
    <x v="0"/>
    <x v="1"/>
    <x v="3"/>
    <x v="0"/>
  </r>
  <r>
    <s v="ORD10168"/>
    <x v="13"/>
    <s v="Peter"/>
    <x v="0"/>
    <n v="40"/>
    <x v="4"/>
    <s v="Ogbomosho"/>
    <x v="0"/>
    <s v="Shirt"/>
    <x v="0"/>
    <n v="9"/>
    <n v="16700"/>
    <n v="20"/>
    <n v="120240"/>
    <x v="1"/>
    <x v="1"/>
    <x v="0"/>
    <x v="0"/>
  </r>
  <r>
    <s v="ORD10169"/>
    <x v="111"/>
    <s v="Chioma"/>
    <x v="1"/>
    <n v="59"/>
    <x v="0"/>
    <s v="Enugu"/>
    <x v="1"/>
    <s v="Laptop"/>
    <x v="0"/>
    <n v="10"/>
    <n v="33600"/>
    <n v="0"/>
    <n v="336000"/>
    <x v="2"/>
    <x v="3"/>
    <x v="2"/>
    <x v="0"/>
  </r>
  <r>
    <s v="ORD10170"/>
    <x v="112"/>
    <s v="Chioma"/>
    <x v="1"/>
    <n v="59"/>
    <x v="5"/>
    <s v="Obio"/>
    <x v="2"/>
    <s v="Beans"/>
    <x v="3"/>
    <n v="2"/>
    <n v="43300"/>
    <n v="10"/>
    <n v="77940"/>
    <x v="0"/>
    <x v="1"/>
    <x v="0"/>
    <x v="0"/>
  </r>
  <r>
    <s v="ORD10172"/>
    <x v="113"/>
    <s v="Grace"/>
    <x v="1"/>
    <n v="53"/>
    <x v="5"/>
    <s v="Obio"/>
    <x v="2"/>
    <s v="Beans"/>
    <x v="2"/>
    <n v="5"/>
    <n v="37500"/>
    <n v="15"/>
    <n v="159375"/>
    <x v="2"/>
    <x v="5"/>
    <x v="3"/>
    <x v="0"/>
  </r>
  <r>
    <s v="ORD10173"/>
    <x v="114"/>
    <s v="Daniel"/>
    <x v="1"/>
    <n v="34"/>
    <x v="2"/>
    <s v="Garki"/>
    <x v="1"/>
    <s v="Phone"/>
    <x v="4"/>
    <n v="4"/>
    <n v="6500"/>
    <n v="25"/>
    <n v="19500"/>
    <x v="0"/>
    <x v="5"/>
    <x v="3"/>
    <x v="0"/>
  </r>
  <r>
    <s v="ORD10175"/>
    <x v="115"/>
    <s v="Chioma"/>
    <x v="0"/>
    <n v="22"/>
    <x v="5"/>
    <s v="Port Harcourt"/>
    <x v="1"/>
    <s v="Phone"/>
    <x v="1"/>
    <n v="9"/>
    <n v="16500"/>
    <n v="10"/>
    <n v="133650"/>
    <x v="0"/>
    <x v="1"/>
    <x v="3"/>
    <x v="0"/>
  </r>
  <r>
    <s v="ORD10176"/>
    <x v="116"/>
    <s v="Mary"/>
    <x v="2"/>
    <n v="59"/>
    <x v="4"/>
    <s v="Ogbomosho"/>
    <x v="0"/>
    <s v="Shoes"/>
    <x v="3"/>
    <n v="8"/>
    <n v="40100"/>
    <n v="25"/>
    <n v="240600"/>
    <x v="0"/>
    <x v="2"/>
    <x v="0"/>
    <x v="0"/>
  </r>
  <r>
    <s v="ORD10177"/>
    <x v="117"/>
    <s v="Ruth"/>
    <x v="0"/>
    <n v="35"/>
    <x v="5"/>
    <s v="Port Harcourt"/>
    <x v="2"/>
    <s v="Rice"/>
    <x v="1"/>
    <n v="4"/>
    <n v="9700"/>
    <n v="20"/>
    <n v="31040"/>
    <x v="0"/>
    <x v="4"/>
    <x v="0"/>
    <x v="0"/>
  </r>
  <r>
    <s v="ORD10178"/>
    <x v="37"/>
    <s v="David"/>
    <x v="0"/>
    <n v="61"/>
    <x v="3"/>
    <s v="Kano"/>
    <x v="3"/>
    <s v="Chair"/>
    <x v="1"/>
    <n v="7"/>
    <n v="5800"/>
    <n v="25"/>
    <n v="30450"/>
    <x v="0"/>
    <x v="0"/>
    <x v="3"/>
    <x v="0"/>
  </r>
  <r>
    <s v="ORD10179"/>
    <x v="118"/>
    <s v="Aisha"/>
    <x v="2"/>
    <n v="62"/>
    <x v="3"/>
    <s v="Kano"/>
    <x v="2"/>
    <s v="Rice"/>
    <x v="2"/>
    <n v="10"/>
    <n v="26200"/>
    <n v="25"/>
    <n v="196500"/>
    <x v="1"/>
    <x v="3"/>
    <x v="0"/>
    <x v="0"/>
  </r>
  <r>
    <s v="ORD10180"/>
    <x v="30"/>
    <s v="Daniel"/>
    <x v="2"/>
    <n v="43"/>
    <x v="0"/>
    <s v="Enugu"/>
    <x v="1"/>
    <s v="Laptop"/>
    <x v="1"/>
    <n v="9"/>
    <n v="14100"/>
    <n v="15"/>
    <n v="107865"/>
    <x v="3"/>
    <x v="5"/>
    <x v="2"/>
    <x v="0"/>
  </r>
  <r>
    <s v="ORD10181"/>
    <x v="119"/>
    <s v="Grace"/>
    <x v="0"/>
    <n v="43"/>
    <x v="1"/>
    <s v="Ikeja"/>
    <x v="1"/>
    <s v="Phone"/>
    <x v="2"/>
    <n v="3"/>
    <n v="31400"/>
    <n v="5"/>
    <n v="89490"/>
    <x v="2"/>
    <x v="4"/>
    <x v="0"/>
    <x v="0"/>
  </r>
  <r>
    <s v="ORD10182"/>
    <x v="120"/>
    <s v="David"/>
    <x v="2"/>
    <n v="56"/>
    <x v="5"/>
    <s v="Obio"/>
    <x v="0"/>
    <s v="Shoes"/>
    <x v="3"/>
    <n v="9"/>
    <n v="30400"/>
    <n v="20"/>
    <n v="218880"/>
    <x v="1"/>
    <x v="5"/>
    <x v="2"/>
    <x v="0"/>
  </r>
  <r>
    <s v="ORD10183"/>
    <x v="121"/>
    <s v="Grace"/>
    <x v="0"/>
    <n v="45"/>
    <x v="2"/>
    <s v="Garki"/>
    <x v="0"/>
    <s v="Shirt"/>
    <x v="1"/>
    <n v="8"/>
    <n v="12600"/>
    <n v="15"/>
    <n v="85680"/>
    <x v="2"/>
    <x v="4"/>
    <x v="3"/>
    <x v="0"/>
  </r>
  <r>
    <s v="ORD10184"/>
    <x v="122"/>
    <s v="Emeka"/>
    <x v="0"/>
    <n v="19"/>
    <x v="5"/>
    <s v="Port Harcourt"/>
    <x v="1"/>
    <s v="Phone"/>
    <x v="2"/>
    <n v="7"/>
    <n v="15800"/>
    <n v="15"/>
    <n v="94010"/>
    <x v="2"/>
    <x v="4"/>
    <x v="2"/>
    <x v="0"/>
  </r>
  <r>
    <s v="ORD10186"/>
    <x v="123"/>
    <s v="Chioma"/>
    <x v="2"/>
    <n v="44"/>
    <x v="0"/>
    <s v="Enugu"/>
    <x v="0"/>
    <s v="Shoes"/>
    <x v="1"/>
    <n v="6"/>
    <n v="43500"/>
    <n v="5"/>
    <n v="247950"/>
    <x v="2"/>
    <x v="3"/>
    <x v="2"/>
    <x v="0"/>
  </r>
  <r>
    <s v="ORD10188"/>
    <x v="124"/>
    <s v="Emeka"/>
    <x v="1"/>
    <n v="24"/>
    <x v="4"/>
    <s v="Ogbomosho"/>
    <x v="2"/>
    <s v="Beans"/>
    <x v="1"/>
    <n v="5"/>
    <n v="13900"/>
    <n v="25"/>
    <n v="52125"/>
    <x v="2"/>
    <x v="2"/>
    <x v="1"/>
    <x v="1"/>
  </r>
  <r>
    <s v="ORD10189"/>
    <x v="125"/>
    <s v="Emeka"/>
    <x v="2"/>
    <n v="23"/>
    <x v="5"/>
    <s v="Obio"/>
    <x v="3"/>
    <s v="Chair"/>
    <x v="2"/>
    <n v="5"/>
    <n v="14700"/>
    <n v="15"/>
    <n v="62475"/>
    <x v="2"/>
    <x v="5"/>
    <x v="2"/>
    <x v="0"/>
  </r>
  <r>
    <s v="ORD10190"/>
    <x v="126"/>
    <s v="Ruth"/>
    <x v="1"/>
    <n v="54"/>
    <x v="2"/>
    <s v="Wuse"/>
    <x v="1"/>
    <s v="Phone"/>
    <x v="4"/>
    <n v="6"/>
    <n v="40100"/>
    <n v="20"/>
    <n v="192480"/>
    <x v="1"/>
    <x v="0"/>
    <x v="2"/>
    <x v="0"/>
  </r>
  <r>
    <s v="ORD10191"/>
    <x v="127"/>
    <s v="Emeka"/>
    <x v="1"/>
    <n v="21"/>
    <x v="4"/>
    <s v="Ibadan"/>
    <x v="1"/>
    <s v="Phone"/>
    <x v="5"/>
    <n v="4"/>
    <n v="30500"/>
    <n v="20"/>
    <n v="97600"/>
    <x v="2"/>
    <x v="0"/>
    <x v="0"/>
    <x v="0"/>
  </r>
  <r>
    <s v="ORD10192"/>
    <x v="128"/>
    <s v="Grace"/>
    <x v="0"/>
    <n v="25"/>
    <x v="2"/>
    <s v="Wuse"/>
    <x v="1"/>
    <s v="Laptop"/>
    <x v="0"/>
    <n v="5"/>
    <n v="21900"/>
    <n v="15"/>
    <n v="93075"/>
    <x v="1"/>
    <x v="5"/>
    <x v="3"/>
    <x v="0"/>
  </r>
  <r>
    <s v="ORD10193"/>
    <x v="129"/>
    <s v="Aisha"/>
    <x v="1"/>
    <n v="26"/>
    <x v="3"/>
    <s v="Kano"/>
    <x v="3"/>
    <s v="Chair"/>
    <x v="2"/>
    <n v="8"/>
    <n v="35400"/>
    <n v="15"/>
    <n v="240720"/>
    <x v="1"/>
    <x v="2"/>
    <x v="3"/>
    <x v="0"/>
  </r>
  <r>
    <s v="ORD10195"/>
    <x v="130"/>
    <s v="Chioma"/>
    <x v="0"/>
    <n v="61"/>
    <x v="4"/>
    <s v="Ibadan"/>
    <x v="3"/>
    <s v="Chair"/>
    <x v="5"/>
    <n v="7"/>
    <n v="38700"/>
    <n v="5"/>
    <n v="257355"/>
    <x v="1"/>
    <x v="0"/>
    <x v="2"/>
    <x v="0"/>
  </r>
  <r>
    <s v="ORD10196"/>
    <x v="131"/>
    <s v="Ruth"/>
    <x v="0"/>
    <n v="28"/>
    <x v="0"/>
    <s v="Enugu"/>
    <x v="0"/>
    <s v="Shoes"/>
    <x v="0"/>
    <n v="7"/>
    <n v="5700"/>
    <n v="25"/>
    <n v="29925"/>
    <x v="2"/>
    <x v="1"/>
    <x v="3"/>
    <x v="0"/>
  </r>
  <r>
    <s v="ORD10197"/>
    <x v="132"/>
    <s v="David"/>
    <x v="0"/>
    <n v="28"/>
    <x v="5"/>
    <s v="Obio"/>
    <x v="1"/>
    <s v="Laptop"/>
    <x v="3"/>
    <n v="9"/>
    <n v="22100"/>
    <n v="0"/>
    <n v="198900"/>
    <x v="0"/>
    <x v="1"/>
    <x v="2"/>
    <x v="0"/>
  </r>
  <r>
    <s v="ORD10198"/>
    <x v="133"/>
    <s v="Daniel"/>
    <x v="0"/>
    <n v="61"/>
    <x v="0"/>
    <s v="Enugu"/>
    <x v="1"/>
    <s v="Phone"/>
    <x v="5"/>
    <n v="5"/>
    <n v="41600"/>
    <n v="0"/>
    <n v="208000"/>
    <x v="2"/>
    <x v="3"/>
    <x v="1"/>
    <x v="1"/>
  </r>
  <r>
    <s v="ORD10199"/>
    <x v="134"/>
    <s v="Emeka"/>
    <x v="2"/>
    <n v="25"/>
    <x v="2"/>
    <s v="Wuse"/>
    <x v="1"/>
    <s v="Phone"/>
    <x v="3"/>
    <n v="10"/>
    <n v="41500"/>
    <n v="25"/>
    <n v="311250"/>
    <x v="0"/>
    <x v="3"/>
    <x v="2"/>
    <x v="0"/>
  </r>
  <r>
    <s v="ORD10201"/>
    <x v="135"/>
    <s v="Ruth"/>
    <x v="2"/>
    <n v="27"/>
    <x v="5"/>
    <s v="Obio"/>
    <x v="1"/>
    <s v="Phone"/>
    <x v="4"/>
    <n v="3"/>
    <n v="28400"/>
    <n v="15"/>
    <n v="72420"/>
    <x v="1"/>
    <x v="0"/>
    <x v="0"/>
    <x v="0"/>
  </r>
  <r>
    <s v="ORD10202"/>
    <x v="136"/>
    <s v="Aisha"/>
    <x v="2"/>
    <n v="27"/>
    <x v="2"/>
    <s v="Wuse"/>
    <x v="2"/>
    <s v="Beans"/>
    <x v="0"/>
    <n v="8"/>
    <n v="7600"/>
    <n v="10"/>
    <n v="54720"/>
    <x v="1"/>
    <x v="0"/>
    <x v="2"/>
    <x v="0"/>
  </r>
  <r>
    <s v="ORD10203"/>
    <x v="137"/>
    <s v="Chioma"/>
    <x v="1"/>
    <n v="65"/>
    <x v="1"/>
    <s v="Lekki"/>
    <x v="1"/>
    <s v="Phone"/>
    <x v="2"/>
    <n v="8"/>
    <n v="23000"/>
    <n v="15"/>
    <n v="156400"/>
    <x v="1"/>
    <x v="0"/>
    <x v="0"/>
    <x v="0"/>
  </r>
  <r>
    <s v="ORD10206"/>
    <x v="138"/>
    <s v="Ruth"/>
    <x v="1"/>
    <n v="28"/>
    <x v="4"/>
    <s v="Ogbomosho"/>
    <x v="1"/>
    <s v="Laptop"/>
    <x v="3"/>
    <n v="9"/>
    <n v="49600"/>
    <n v="0"/>
    <n v="446400"/>
    <x v="1"/>
    <x v="2"/>
    <x v="0"/>
    <x v="0"/>
  </r>
  <r>
    <s v="ORD10207"/>
    <x v="139"/>
    <s v="Chioma"/>
    <x v="0"/>
    <n v="39"/>
    <x v="2"/>
    <s v="Garki"/>
    <x v="0"/>
    <s v="Shoes"/>
    <x v="2"/>
    <n v="4"/>
    <n v="46300"/>
    <n v="20"/>
    <n v="148160"/>
    <x v="2"/>
    <x v="4"/>
    <x v="1"/>
    <x v="1"/>
  </r>
  <r>
    <s v="ORD10208"/>
    <x v="30"/>
    <s v="Peter"/>
    <x v="2"/>
    <n v="24"/>
    <x v="4"/>
    <s v="Ogbomosho"/>
    <x v="2"/>
    <s v="Beans"/>
    <x v="4"/>
    <n v="5"/>
    <n v="24500"/>
    <n v="5"/>
    <n v="116375"/>
    <x v="2"/>
    <x v="4"/>
    <x v="2"/>
    <x v="0"/>
  </r>
  <r>
    <s v="ORD10209"/>
    <x v="140"/>
    <s v="David"/>
    <x v="0"/>
    <n v="42"/>
    <x v="0"/>
    <s v="Enugu"/>
    <x v="2"/>
    <s v="Beans"/>
    <x v="5"/>
    <n v="8"/>
    <n v="32400"/>
    <n v="25"/>
    <n v="194400"/>
    <x v="2"/>
    <x v="3"/>
    <x v="3"/>
    <x v="0"/>
  </r>
  <r>
    <s v="ORD10210"/>
    <x v="65"/>
    <s v="Peter"/>
    <x v="2"/>
    <n v="33"/>
    <x v="1"/>
    <s v="Ikeja"/>
    <x v="1"/>
    <s v="Phone"/>
    <x v="1"/>
    <n v="6"/>
    <n v="31500"/>
    <n v="20"/>
    <n v="151200"/>
    <x v="1"/>
    <x v="3"/>
    <x v="3"/>
    <x v="0"/>
  </r>
  <r>
    <s v="ORD10211"/>
    <x v="141"/>
    <s v="Emeka"/>
    <x v="0"/>
    <n v="54"/>
    <x v="5"/>
    <s v="Obio"/>
    <x v="2"/>
    <s v="Rice"/>
    <x v="3"/>
    <n v="2"/>
    <n v="40900"/>
    <n v="15"/>
    <n v="69530"/>
    <x v="1"/>
    <x v="5"/>
    <x v="0"/>
    <x v="0"/>
  </r>
  <r>
    <s v="ORD10212"/>
    <x v="142"/>
    <s v="Ruth"/>
    <x v="2"/>
    <n v="41"/>
    <x v="1"/>
    <s v="Lekki"/>
    <x v="1"/>
    <s v="Laptop"/>
    <x v="4"/>
    <n v="6"/>
    <n v="38400"/>
    <n v="15"/>
    <n v="195840"/>
    <x v="2"/>
    <x v="0"/>
    <x v="0"/>
    <x v="0"/>
  </r>
  <r>
    <s v="ORD10218"/>
    <x v="143"/>
    <s v="Chioma"/>
    <x v="0"/>
    <n v="42"/>
    <x v="1"/>
    <s v="Lekki"/>
    <x v="0"/>
    <s v="Shoes"/>
    <x v="5"/>
    <n v="7"/>
    <n v="25400"/>
    <n v="10"/>
    <n v="160020"/>
    <x v="0"/>
    <x v="1"/>
    <x v="2"/>
    <x v="0"/>
  </r>
  <r>
    <s v="ORD10219"/>
    <x v="144"/>
    <s v="Peter"/>
    <x v="0"/>
    <n v="26"/>
    <x v="4"/>
    <s v="Ibadan"/>
    <x v="1"/>
    <s v="Laptop"/>
    <x v="4"/>
    <n v="2"/>
    <n v="39900"/>
    <n v="0"/>
    <n v="79800"/>
    <x v="0"/>
    <x v="3"/>
    <x v="3"/>
    <x v="0"/>
  </r>
  <r>
    <s v="ORD10221"/>
    <x v="145"/>
    <s v="Emeka"/>
    <x v="2"/>
    <n v="38"/>
    <x v="2"/>
    <s v="Garki"/>
    <x v="3"/>
    <s v="Chair"/>
    <x v="5"/>
    <n v="3"/>
    <n v="12100"/>
    <n v="0"/>
    <n v="36300"/>
    <x v="0"/>
    <x v="2"/>
    <x v="3"/>
    <x v="0"/>
  </r>
  <r>
    <s v="ORD10222"/>
    <x v="146"/>
    <s v="Emeka"/>
    <x v="1"/>
    <n v="24"/>
    <x v="2"/>
    <s v="Garki"/>
    <x v="2"/>
    <s v="Beans"/>
    <x v="4"/>
    <n v="8"/>
    <n v="7900"/>
    <n v="5"/>
    <n v="60040"/>
    <x v="0"/>
    <x v="4"/>
    <x v="3"/>
    <x v="0"/>
  </r>
  <r>
    <s v="ORD10223"/>
    <x v="147"/>
    <s v="John"/>
    <x v="2"/>
    <n v="56"/>
    <x v="4"/>
    <s v="Ogbomosho"/>
    <x v="2"/>
    <s v="Rice"/>
    <x v="5"/>
    <n v="4"/>
    <n v="42800"/>
    <n v="10"/>
    <n v="154080"/>
    <x v="2"/>
    <x v="4"/>
    <x v="1"/>
    <x v="1"/>
  </r>
  <r>
    <s v="ORD10224"/>
    <x v="148"/>
    <s v="Daniel"/>
    <x v="2"/>
    <n v="56"/>
    <x v="2"/>
    <s v="Wuse"/>
    <x v="3"/>
    <s v="Desk"/>
    <x v="1"/>
    <n v="7"/>
    <n v="37900"/>
    <n v="20"/>
    <n v="212240"/>
    <x v="1"/>
    <x v="5"/>
    <x v="0"/>
    <x v="0"/>
  </r>
  <r>
    <s v="ORD10225"/>
    <x v="149"/>
    <s v="Mary"/>
    <x v="2"/>
    <n v="57"/>
    <x v="0"/>
    <s v="Enugu"/>
    <x v="3"/>
    <s v="Desk"/>
    <x v="4"/>
    <n v="3"/>
    <n v="26900"/>
    <n v="10"/>
    <n v="72630"/>
    <x v="1"/>
    <x v="2"/>
    <x v="1"/>
    <x v="1"/>
  </r>
  <r>
    <s v="ORD10226"/>
    <x v="69"/>
    <s v="Emeka"/>
    <x v="2"/>
    <n v="62"/>
    <x v="2"/>
    <s v="Garki"/>
    <x v="2"/>
    <s v="Beans"/>
    <x v="1"/>
    <n v="10"/>
    <n v="36600"/>
    <n v="0"/>
    <n v="366000"/>
    <x v="2"/>
    <x v="3"/>
    <x v="2"/>
    <x v="0"/>
  </r>
  <r>
    <s v="ORD10227"/>
    <x v="150"/>
    <s v="Peter"/>
    <x v="2"/>
    <n v="38"/>
    <x v="3"/>
    <s v="Kano"/>
    <x v="3"/>
    <s v="Chair"/>
    <x v="5"/>
    <n v="9"/>
    <n v="21900"/>
    <n v="20"/>
    <n v="157680"/>
    <x v="2"/>
    <x v="0"/>
    <x v="2"/>
    <x v="0"/>
  </r>
  <r>
    <s v="ORD10228"/>
    <x v="151"/>
    <s v="Peter"/>
    <x v="0"/>
    <n v="20"/>
    <x v="4"/>
    <s v="Ogbomosho"/>
    <x v="0"/>
    <s v="Shirt"/>
    <x v="3"/>
    <n v="4"/>
    <n v="4200"/>
    <n v="25"/>
    <n v="12600"/>
    <x v="1"/>
    <x v="2"/>
    <x v="2"/>
    <x v="0"/>
  </r>
  <r>
    <s v="ORD10229"/>
    <x v="17"/>
    <s v="Daniel"/>
    <x v="0"/>
    <n v="23"/>
    <x v="1"/>
    <s v="Ikeja"/>
    <x v="2"/>
    <s v="Rice"/>
    <x v="2"/>
    <n v="1"/>
    <n v="39500"/>
    <n v="15"/>
    <n v="33575"/>
    <x v="1"/>
    <x v="0"/>
    <x v="0"/>
    <x v="0"/>
  </r>
  <r>
    <s v="ORD10230"/>
    <x v="91"/>
    <s v="John"/>
    <x v="2"/>
    <n v="27"/>
    <x v="2"/>
    <s v="Garki"/>
    <x v="2"/>
    <s v="Rice"/>
    <x v="2"/>
    <n v="2"/>
    <n v="28200"/>
    <n v="0"/>
    <n v="56400"/>
    <x v="1"/>
    <x v="3"/>
    <x v="2"/>
    <x v="0"/>
  </r>
  <r>
    <s v="ORD10231"/>
    <x v="23"/>
    <s v="Daniel"/>
    <x v="2"/>
    <n v="63"/>
    <x v="1"/>
    <s v="Ikeja"/>
    <x v="1"/>
    <s v="Phone"/>
    <x v="3"/>
    <n v="7"/>
    <n v="13400"/>
    <n v="10"/>
    <n v="84420"/>
    <x v="1"/>
    <x v="5"/>
    <x v="0"/>
    <x v="0"/>
  </r>
  <r>
    <s v="ORD10235"/>
    <x v="152"/>
    <s v="Daniel"/>
    <x v="0"/>
    <n v="38"/>
    <x v="3"/>
    <s v="Kano"/>
    <x v="1"/>
    <s v="Phone"/>
    <x v="3"/>
    <n v="8"/>
    <n v="34100"/>
    <n v="0"/>
    <n v="272800"/>
    <x v="0"/>
    <x v="5"/>
    <x v="2"/>
    <x v="0"/>
  </r>
  <r>
    <s v="ORD10236"/>
    <x v="153"/>
    <s v="John"/>
    <x v="0"/>
    <n v="31"/>
    <x v="1"/>
    <s v="Ikeja"/>
    <x v="2"/>
    <s v="Rice"/>
    <x v="4"/>
    <n v="3"/>
    <n v="19000"/>
    <n v="25"/>
    <n v="42750"/>
    <x v="0"/>
    <x v="5"/>
    <x v="2"/>
    <x v="0"/>
  </r>
  <r>
    <s v="ORD10238"/>
    <x v="154"/>
    <s v="Ruth"/>
    <x v="0"/>
    <n v="51"/>
    <x v="3"/>
    <s v="Kano"/>
    <x v="1"/>
    <s v="Phone"/>
    <x v="4"/>
    <n v="4"/>
    <n v="7800"/>
    <n v="10"/>
    <n v="28080"/>
    <x v="0"/>
    <x v="3"/>
    <x v="0"/>
    <x v="0"/>
  </r>
  <r>
    <s v="ORD10239"/>
    <x v="155"/>
    <s v="Grace"/>
    <x v="2"/>
    <n v="49"/>
    <x v="4"/>
    <s v="Ibadan"/>
    <x v="1"/>
    <s v="Laptop"/>
    <x v="1"/>
    <n v="8"/>
    <n v="7000"/>
    <n v="0"/>
    <n v="56000"/>
    <x v="2"/>
    <x v="0"/>
    <x v="0"/>
    <x v="0"/>
  </r>
  <r>
    <s v="ORD10241"/>
    <x v="140"/>
    <s v="Grace"/>
    <x v="2"/>
    <n v="57"/>
    <x v="4"/>
    <s v="Ibadan"/>
    <x v="2"/>
    <s v="Rice"/>
    <x v="2"/>
    <n v="7"/>
    <n v="21200"/>
    <n v="5"/>
    <n v="140980"/>
    <x v="1"/>
    <x v="5"/>
    <x v="0"/>
    <x v="0"/>
  </r>
  <r>
    <s v="ORD10242"/>
    <x v="156"/>
    <s v="Grace"/>
    <x v="2"/>
    <n v="33"/>
    <x v="3"/>
    <s v="Kano"/>
    <x v="2"/>
    <s v="Beans"/>
    <x v="0"/>
    <n v="7"/>
    <n v="16400"/>
    <n v="20"/>
    <n v="91840"/>
    <x v="1"/>
    <x v="4"/>
    <x v="3"/>
    <x v="0"/>
  </r>
  <r>
    <s v="ORD10243"/>
    <x v="60"/>
    <s v="John"/>
    <x v="0"/>
    <n v="21"/>
    <x v="0"/>
    <s v="Enugu"/>
    <x v="3"/>
    <s v="Chair"/>
    <x v="2"/>
    <n v="9"/>
    <n v="16200"/>
    <n v="0"/>
    <n v="145800"/>
    <x v="1"/>
    <x v="4"/>
    <x v="1"/>
    <x v="1"/>
  </r>
  <r>
    <s v="ORD10245"/>
    <x v="157"/>
    <s v="Mary"/>
    <x v="2"/>
    <n v="63"/>
    <x v="4"/>
    <s v="Ibadan"/>
    <x v="2"/>
    <s v="Rice"/>
    <x v="2"/>
    <n v="9"/>
    <n v="23000"/>
    <n v="25"/>
    <n v="155250"/>
    <x v="1"/>
    <x v="1"/>
    <x v="0"/>
    <x v="0"/>
  </r>
  <r>
    <s v="ORD10248"/>
    <x v="158"/>
    <s v="Daniel"/>
    <x v="0"/>
    <n v="20"/>
    <x v="2"/>
    <s v="Garki"/>
    <x v="0"/>
    <s v="Shirt"/>
    <x v="4"/>
    <n v="2"/>
    <n v="46900"/>
    <n v="10"/>
    <n v="84420"/>
    <x v="1"/>
    <x v="3"/>
    <x v="3"/>
    <x v="0"/>
  </r>
  <r>
    <s v="ORD10249"/>
    <x v="159"/>
    <s v="Aisha"/>
    <x v="2"/>
    <n v="39"/>
    <x v="1"/>
    <s v="Ikeja"/>
    <x v="1"/>
    <s v="Laptop"/>
    <x v="2"/>
    <n v="10"/>
    <n v="15100"/>
    <n v="25"/>
    <n v="113250"/>
    <x v="1"/>
    <x v="0"/>
    <x v="0"/>
    <x v="0"/>
  </r>
  <r>
    <s v="ORD10250"/>
    <x v="160"/>
    <s v="Ruth"/>
    <x v="0"/>
    <n v="36"/>
    <x v="4"/>
    <s v="Ogbomosho"/>
    <x v="1"/>
    <s v="Laptop"/>
    <x v="5"/>
    <n v="10"/>
    <n v="28700"/>
    <n v="5"/>
    <n v="272650"/>
    <x v="1"/>
    <x v="0"/>
    <x v="1"/>
    <x v="1"/>
  </r>
  <r>
    <s v="ORD10253"/>
    <x v="161"/>
    <s v="Mary"/>
    <x v="2"/>
    <n v="65"/>
    <x v="2"/>
    <s v="Wuse"/>
    <x v="1"/>
    <s v="Phone"/>
    <x v="4"/>
    <n v="6"/>
    <n v="46600"/>
    <n v="20"/>
    <n v="223680"/>
    <x v="2"/>
    <x v="5"/>
    <x v="2"/>
    <x v="0"/>
  </r>
  <r>
    <s v="ORD10254"/>
    <x v="162"/>
    <s v="Aisha"/>
    <x v="1"/>
    <n v="44"/>
    <x v="2"/>
    <s v="Garki"/>
    <x v="2"/>
    <s v="Beans"/>
    <x v="1"/>
    <n v="6"/>
    <n v="18600"/>
    <n v="10"/>
    <n v="100440"/>
    <x v="2"/>
    <x v="0"/>
    <x v="2"/>
    <x v="0"/>
  </r>
  <r>
    <s v="ORD10255"/>
    <x v="149"/>
    <s v="Ruth"/>
    <x v="2"/>
    <n v="29"/>
    <x v="0"/>
    <s v="Enugu"/>
    <x v="1"/>
    <s v="Laptop"/>
    <x v="0"/>
    <n v="7"/>
    <n v="13400"/>
    <n v="5"/>
    <n v="89110"/>
    <x v="1"/>
    <x v="0"/>
    <x v="1"/>
    <x v="1"/>
  </r>
  <r>
    <s v="ORD10257"/>
    <x v="91"/>
    <s v="Ruth"/>
    <x v="1"/>
    <n v="48"/>
    <x v="0"/>
    <s v="Enugu"/>
    <x v="1"/>
    <s v="Phone"/>
    <x v="1"/>
    <n v="3"/>
    <n v="44900"/>
    <n v="25"/>
    <n v="101025"/>
    <x v="0"/>
    <x v="3"/>
    <x v="1"/>
    <x v="1"/>
  </r>
  <r>
    <s v="ORD10258"/>
    <x v="163"/>
    <s v="John"/>
    <x v="2"/>
    <n v="31"/>
    <x v="2"/>
    <s v="Wuse"/>
    <x v="2"/>
    <s v="Beans"/>
    <x v="2"/>
    <n v="6"/>
    <n v="4600"/>
    <n v="5"/>
    <n v="26220"/>
    <x v="2"/>
    <x v="3"/>
    <x v="0"/>
    <x v="0"/>
  </r>
  <r>
    <s v="ORD10260"/>
    <x v="164"/>
    <s v="Chioma"/>
    <x v="2"/>
    <n v="19"/>
    <x v="1"/>
    <s v="Ikeja"/>
    <x v="1"/>
    <s v="Laptop"/>
    <x v="3"/>
    <n v="2"/>
    <n v="36000"/>
    <n v="10"/>
    <n v="64800"/>
    <x v="1"/>
    <x v="4"/>
    <x v="3"/>
    <x v="0"/>
  </r>
  <r>
    <s v="ORD10261"/>
    <x v="86"/>
    <s v="Mary"/>
    <x v="0"/>
    <n v="52"/>
    <x v="2"/>
    <s v="Wuse"/>
    <x v="1"/>
    <s v="Laptop"/>
    <x v="0"/>
    <n v="2"/>
    <n v="4600"/>
    <n v="10"/>
    <n v="8280"/>
    <x v="1"/>
    <x v="0"/>
    <x v="1"/>
    <x v="1"/>
  </r>
  <r>
    <s v="ORD10262"/>
    <x v="78"/>
    <s v="Emeka"/>
    <x v="2"/>
    <n v="42"/>
    <x v="4"/>
    <s v="Ogbomosho"/>
    <x v="1"/>
    <s v="Phone"/>
    <x v="1"/>
    <n v="3"/>
    <n v="16300"/>
    <n v="10"/>
    <n v="44010"/>
    <x v="0"/>
    <x v="3"/>
    <x v="2"/>
    <x v="0"/>
  </r>
  <r>
    <s v="ORD10263"/>
    <x v="165"/>
    <s v="Grace"/>
    <x v="2"/>
    <n v="25"/>
    <x v="2"/>
    <s v="Garki"/>
    <x v="2"/>
    <s v="Rice"/>
    <x v="0"/>
    <n v="4"/>
    <n v="39900"/>
    <n v="15"/>
    <n v="135660"/>
    <x v="2"/>
    <x v="4"/>
    <x v="3"/>
    <x v="0"/>
  </r>
  <r>
    <s v="ORD10264"/>
    <x v="166"/>
    <s v="Peter"/>
    <x v="0"/>
    <n v="61"/>
    <x v="2"/>
    <s v="Garki"/>
    <x v="2"/>
    <s v="Beans"/>
    <x v="5"/>
    <n v="6"/>
    <n v="28200"/>
    <n v="5"/>
    <n v="160740"/>
    <x v="2"/>
    <x v="4"/>
    <x v="2"/>
    <x v="0"/>
  </r>
  <r>
    <s v="ORD10265"/>
    <x v="167"/>
    <s v="John"/>
    <x v="2"/>
    <n v="59"/>
    <x v="2"/>
    <s v="Garki"/>
    <x v="0"/>
    <s v="Shirt"/>
    <x v="5"/>
    <n v="4"/>
    <n v="24100"/>
    <n v="15"/>
    <n v="81940"/>
    <x v="1"/>
    <x v="4"/>
    <x v="0"/>
    <x v="0"/>
  </r>
  <r>
    <s v="ORD10266"/>
    <x v="141"/>
    <s v="Grace"/>
    <x v="0"/>
    <n v="58"/>
    <x v="1"/>
    <s v="Lekki"/>
    <x v="3"/>
    <s v="Chair"/>
    <x v="5"/>
    <n v="1"/>
    <n v="14200"/>
    <n v="5"/>
    <n v="13490"/>
    <x v="0"/>
    <x v="4"/>
    <x v="2"/>
    <x v="0"/>
  </r>
  <r>
    <s v="ORD10268"/>
    <x v="168"/>
    <s v="Grace"/>
    <x v="2"/>
    <n v="28"/>
    <x v="1"/>
    <s v="Ikeja"/>
    <x v="3"/>
    <s v="Chair"/>
    <x v="0"/>
    <n v="9"/>
    <n v="20800"/>
    <n v="20"/>
    <n v="149760"/>
    <x v="1"/>
    <x v="0"/>
    <x v="1"/>
    <x v="1"/>
  </r>
  <r>
    <s v="ORD10269"/>
    <x v="169"/>
    <s v="Daniel"/>
    <x v="0"/>
    <n v="40"/>
    <x v="5"/>
    <s v="Obio"/>
    <x v="0"/>
    <s v="Shirt"/>
    <x v="1"/>
    <n v="3"/>
    <n v="4500"/>
    <n v="25"/>
    <n v="10125"/>
    <x v="1"/>
    <x v="3"/>
    <x v="2"/>
    <x v="0"/>
  </r>
  <r>
    <s v="ORD10270"/>
    <x v="170"/>
    <s v="John"/>
    <x v="0"/>
    <n v="65"/>
    <x v="0"/>
    <s v="Enugu"/>
    <x v="1"/>
    <s v="Laptop"/>
    <x v="1"/>
    <n v="8"/>
    <n v="14800"/>
    <n v="20"/>
    <n v="94720"/>
    <x v="1"/>
    <x v="0"/>
    <x v="3"/>
    <x v="0"/>
  </r>
  <r>
    <s v="ORD10271"/>
    <x v="3"/>
    <s v="Grace"/>
    <x v="2"/>
    <n v="60"/>
    <x v="3"/>
    <s v="Kano"/>
    <x v="0"/>
    <s v="Shoes"/>
    <x v="0"/>
    <n v="8"/>
    <n v="39600"/>
    <n v="25"/>
    <n v="237600"/>
    <x v="1"/>
    <x v="1"/>
    <x v="2"/>
    <x v="0"/>
  </r>
  <r>
    <s v="ORD10273"/>
    <x v="171"/>
    <s v="Peter"/>
    <x v="1"/>
    <n v="30"/>
    <x v="1"/>
    <s v="Ikeja"/>
    <x v="1"/>
    <s v="Laptop"/>
    <x v="4"/>
    <n v="5"/>
    <n v="14100"/>
    <n v="10"/>
    <n v="63450"/>
    <x v="2"/>
    <x v="2"/>
    <x v="3"/>
    <x v="0"/>
  </r>
  <r>
    <s v="ORD10274"/>
    <x v="172"/>
    <s v="Chioma"/>
    <x v="2"/>
    <n v="56"/>
    <x v="1"/>
    <s v="Ikeja"/>
    <x v="3"/>
    <s v="Desk"/>
    <x v="5"/>
    <n v="1"/>
    <n v="28600"/>
    <n v="15"/>
    <n v="24310"/>
    <x v="0"/>
    <x v="0"/>
    <x v="1"/>
    <x v="1"/>
  </r>
  <r>
    <s v="ORD10275"/>
    <x v="173"/>
    <s v="Daniel"/>
    <x v="1"/>
    <n v="59"/>
    <x v="1"/>
    <s v="Lekki"/>
    <x v="3"/>
    <s v="Chair"/>
    <x v="5"/>
    <n v="4"/>
    <n v="18400"/>
    <n v="10"/>
    <n v="66240"/>
    <x v="0"/>
    <x v="2"/>
    <x v="3"/>
    <x v="0"/>
  </r>
  <r>
    <s v="ORD10276"/>
    <x v="174"/>
    <s v="John"/>
    <x v="0"/>
    <n v="47"/>
    <x v="0"/>
    <s v="Enugu"/>
    <x v="3"/>
    <s v="Chair"/>
    <x v="4"/>
    <n v="8"/>
    <n v="16700"/>
    <n v="0"/>
    <n v="133600"/>
    <x v="0"/>
    <x v="2"/>
    <x v="3"/>
    <x v="0"/>
  </r>
  <r>
    <s v="ORD10277"/>
    <x v="77"/>
    <s v="Peter"/>
    <x v="2"/>
    <n v="25"/>
    <x v="4"/>
    <s v="Ibadan"/>
    <x v="3"/>
    <s v="Chair"/>
    <x v="2"/>
    <n v="2"/>
    <n v="26000"/>
    <n v="10"/>
    <n v="46800"/>
    <x v="1"/>
    <x v="4"/>
    <x v="0"/>
    <x v="0"/>
  </r>
  <r>
    <s v="ORD10278"/>
    <x v="161"/>
    <s v="Mary"/>
    <x v="2"/>
    <n v="59"/>
    <x v="3"/>
    <s v="Kano"/>
    <x v="1"/>
    <s v="Phone"/>
    <x v="2"/>
    <n v="8"/>
    <n v="37200"/>
    <n v="5"/>
    <n v="282720"/>
    <x v="1"/>
    <x v="2"/>
    <x v="0"/>
    <x v="0"/>
  </r>
  <r>
    <s v="ORD10280"/>
    <x v="175"/>
    <s v="John"/>
    <x v="1"/>
    <n v="52"/>
    <x v="1"/>
    <s v="Lekki"/>
    <x v="1"/>
    <s v="Phone"/>
    <x v="2"/>
    <n v="1"/>
    <n v="11000"/>
    <n v="0"/>
    <n v="11000"/>
    <x v="0"/>
    <x v="3"/>
    <x v="0"/>
    <x v="0"/>
  </r>
  <r>
    <s v="ORD10281"/>
    <x v="155"/>
    <s v="John"/>
    <x v="0"/>
    <n v="60"/>
    <x v="4"/>
    <s v="Ibadan"/>
    <x v="0"/>
    <s v="Shirt"/>
    <x v="5"/>
    <n v="9"/>
    <n v="31100"/>
    <n v="20"/>
    <n v="223920"/>
    <x v="0"/>
    <x v="1"/>
    <x v="0"/>
    <x v="0"/>
  </r>
  <r>
    <s v="ORD10282"/>
    <x v="176"/>
    <s v="Chioma"/>
    <x v="0"/>
    <n v="39"/>
    <x v="0"/>
    <s v="Enugu"/>
    <x v="1"/>
    <s v="Laptop"/>
    <x v="0"/>
    <n v="3"/>
    <n v="44400"/>
    <n v="5"/>
    <n v="126540"/>
    <x v="2"/>
    <x v="0"/>
    <x v="0"/>
    <x v="0"/>
  </r>
  <r>
    <s v="ORD10284"/>
    <x v="177"/>
    <s v="Mary"/>
    <x v="0"/>
    <n v="37"/>
    <x v="4"/>
    <s v="Ogbomosho"/>
    <x v="2"/>
    <s v="Beans"/>
    <x v="0"/>
    <n v="2"/>
    <n v="46800"/>
    <n v="5"/>
    <n v="88920"/>
    <x v="1"/>
    <x v="0"/>
    <x v="3"/>
    <x v="0"/>
  </r>
  <r>
    <s v="ORD10285"/>
    <x v="178"/>
    <s v="Mary"/>
    <x v="2"/>
    <n v="22"/>
    <x v="4"/>
    <s v="Ogbomosho"/>
    <x v="3"/>
    <s v="Chair"/>
    <x v="2"/>
    <n v="3"/>
    <n v="23100"/>
    <n v="0"/>
    <n v="69300"/>
    <x v="3"/>
    <x v="5"/>
    <x v="1"/>
    <x v="1"/>
  </r>
  <r>
    <s v="ORD10287"/>
    <x v="71"/>
    <s v="Ruth"/>
    <x v="2"/>
    <n v="63"/>
    <x v="4"/>
    <s v="Ogbomosho"/>
    <x v="1"/>
    <s v="Laptop"/>
    <x v="3"/>
    <n v="7"/>
    <n v="19000"/>
    <n v="0"/>
    <n v="133000"/>
    <x v="0"/>
    <x v="3"/>
    <x v="0"/>
    <x v="0"/>
  </r>
  <r>
    <s v="ORD10288"/>
    <x v="81"/>
    <s v="Chioma"/>
    <x v="1"/>
    <n v="20"/>
    <x v="3"/>
    <s v="Kano"/>
    <x v="0"/>
    <s v="Shirt"/>
    <x v="1"/>
    <n v="3"/>
    <n v="32700"/>
    <n v="0"/>
    <n v="98100"/>
    <x v="0"/>
    <x v="2"/>
    <x v="0"/>
    <x v="0"/>
  </r>
  <r>
    <s v="ORD10289"/>
    <x v="179"/>
    <s v="Peter"/>
    <x v="0"/>
    <n v="58"/>
    <x v="0"/>
    <s v="Enugu"/>
    <x v="1"/>
    <s v="Laptop"/>
    <x v="3"/>
    <n v="10"/>
    <n v="37400"/>
    <n v="25"/>
    <n v="280500"/>
    <x v="2"/>
    <x v="4"/>
    <x v="1"/>
    <x v="1"/>
  </r>
  <r>
    <s v="ORD10290"/>
    <x v="180"/>
    <s v="Ruth"/>
    <x v="0"/>
    <n v="52"/>
    <x v="4"/>
    <s v="Ogbomosho"/>
    <x v="3"/>
    <s v="Chair"/>
    <x v="4"/>
    <n v="8"/>
    <n v="17200"/>
    <n v="10"/>
    <n v="123840"/>
    <x v="2"/>
    <x v="3"/>
    <x v="0"/>
    <x v="0"/>
  </r>
  <r>
    <s v="ORD10291"/>
    <x v="181"/>
    <s v="Chioma"/>
    <x v="0"/>
    <n v="51"/>
    <x v="4"/>
    <s v="Ogbomosho"/>
    <x v="2"/>
    <s v="Beans"/>
    <x v="5"/>
    <n v="5"/>
    <n v="45300"/>
    <n v="10"/>
    <n v="203850"/>
    <x v="1"/>
    <x v="2"/>
    <x v="1"/>
    <x v="1"/>
  </r>
  <r>
    <s v="ORD10292"/>
    <x v="182"/>
    <s v="Aisha"/>
    <x v="1"/>
    <n v="42"/>
    <x v="2"/>
    <s v="Wuse"/>
    <x v="0"/>
    <s v="Shirt"/>
    <x v="3"/>
    <n v="5"/>
    <n v="23600"/>
    <n v="25"/>
    <n v="88500"/>
    <x v="1"/>
    <x v="4"/>
    <x v="3"/>
    <x v="0"/>
  </r>
  <r>
    <s v="ORD10293"/>
    <x v="167"/>
    <s v="David"/>
    <x v="0"/>
    <n v="32"/>
    <x v="2"/>
    <s v="Wuse"/>
    <x v="3"/>
    <s v="Chair"/>
    <x v="5"/>
    <n v="8"/>
    <n v="17600"/>
    <n v="10"/>
    <n v="126720"/>
    <x v="1"/>
    <x v="0"/>
    <x v="2"/>
    <x v="0"/>
  </r>
  <r>
    <s v="ORD10294"/>
    <x v="82"/>
    <s v="John"/>
    <x v="1"/>
    <n v="27"/>
    <x v="4"/>
    <s v="Ibadan"/>
    <x v="3"/>
    <s v="Chair"/>
    <x v="3"/>
    <n v="2"/>
    <n v="35100"/>
    <n v="25"/>
    <n v="52650"/>
    <x v="1"/>
    <x v="0"/>
    <x v="3"/>
    <x v="0"/>
  </r>
  <r>
    <s v="ORD10295"/>
    <x v="183"/>
    <s v="Aisha"/>
    <x v="0"/>
    <n v="39"/>
    <x v="4"/>
    <s v="Ibadan"/>
    <x v="0"/>
    <s v="Shoes"/>
    <x v="3"/>
    <n v="6"/>
    <n v="28100"/>
    <n v="0"/>
    <n v="168600"/>
    <x v="2"/>
    <x v="0"/>
    <x v="2"/>
    <x v="0"/>
  </r>
  <r>
    <s v="ORD10296"/>
    <x v="184"/>
    <s v="John"/>
    <x v="2"/>
    <n v="45"/>
    <x v="0"/>
    <s v="Enugu"/>
    <x v="3"/>
    <s v="Desk"/>
    <x v="1"/>
    <n v="1"/>
    <n v="2500"/>
    <n v="10"/>
    <n v="2250"/>
    <x v="0"/>
    <x v="4"/>
    <x v="1"/>
    <x v="1"/>
  </r>
  <r>
    <s v="ORD10297"/>
    <x v="64"/>
    <s v="Daniel"/>
    <x v="2"/>
    <n v="24"/>
    <x v="3"/>
    <s v="Kano"/>
    <x v="3"/>
    <s v="Desk"/>
    <x v="0"/>
    <n v="1"/>
    <n v="33100"/>
    <n v="0"/>
    <n v="33100"/>
    <x v="1"/>
    <x v="3"/>
    <x v="0"/>
    <x v="0"/>
  </r>
  <r>
    <s v="ORD10298"/>
    <x v="185"/>
    <s v="Mary"/>
    <x v="0"/>
    <n v="28"/>
    <x v="1"/>
    <s v="Lekki"/>
    <x v="0"/>
    <s v="Shirt"/>
    <x v="0"/>
    <n v="4"/>
    <n v="17000"/>
    <n v="10"/>
    <n v="61200"/>
    <x v="1"/>
    <x v="2"/>
    <x v="1"/>
    <x v="1"/>
  </r>
  <r>
    <s v="ORD10299"/>
    <x v="186"/>
    <s v="Mary"/>
    <x v="1"/>
    <n v="20"/>
    <x v="3"/>
    <s v="Kano"/>
    <x v="1"/>
    <s v="Laptop"/>
    <x v="5"/>
    <n v="8"/>
    <n v="23200"/>
    <n v="15"/>
    <n v="157760"/>
    <x v="0"/>
    <x v="0"/>
    <x v="1"/>
    <x v="1"/>
  </r>
  <r>
    <s v="ORD10300"/>
    <x v="187"/>
    <s v="Emeka"/>
    <x v="2"/>
    <n v="65"/>
    <x v="2"/>
    <s v="Garki"/>
    <x v="1"/>
    <s v="Phone"/>
    <x v="3"/>
    <n v="2"/>
    <n v="48100"/>
    <n v="10"/>
    <n v="86580"/>
    <x v="1"/>
    <x v="4"/>
    <x v="1"/>
    <x v="1"/>
  </r>
  <r>
    <s v="ORD10301"/>
    <x v="188"/>
    <s v="David"/>
    <x v="1"/>
    <n v="28"/>
    <x v="3"/>
    <s v="Kano"/>
    <x v="2"/>
    <s v="Rice"/>
    <x v="0"/>
    <n v="8"/>
    <n v="36300"/>
    <n v="10"/>
    <n v="261360"/>
    <x v="1"/>
    <x v="4"/>
    <x v="0"/>
    <x v="0"/>
  </r>
  <r>
    <s v="ORD10302"/>
    <x v="189"/>
    <s v="Emeka"/>
    <x v="0"/>
    <n v="46"/>
    <x v="1"/>
    <s v="Ikeja"/>
    <x v="1"/>
    <s v="Phone"/>
    <x v="3"/>
    <n v="8"/>
    <n v="40400"/>
    <n v="5"/>
    <n v="307040"/>
    <x v="2"/>
    <x v="5"/>
    <x v="1"/>
    <x v="1"/>
  </r>
  <r>
    <s v="ORD10303"/>
    <x v="190"/>
    <s v="John"/>
    <x v="0"/>
    <n v="49"/>
    <x v="3"/>
    <s v="Kano"/>
    <x v="1"/>
    <s v="Phone"/>
    <x v="2"/>
    <n v="4"/>
    <n v="18100"/>
    <n v="20"/>
    <n v="57920"/>
    <x v="2"/>
    <x v="1"/>
    <x v="1"/>
    <x v="1"/>
  </r>
  <r>
    <s v="ORD10307"/>
    <x v="191"/>
    <s v="Peter"/>
    <x v="1"/>
    <n v="30"/>
    <x v="2"/>
    <s v="Wuse"/>
    <x v="3"/>
    <s v="Desk"/>
    <x v="5"/>
    <n v="3"/>
    <n v="42000"/>
    <n v="5"/>
    <n v="119700"/>
    <x v="1"/>
    <x v="0"/>
    <x v="3"/>
    <x v="0"/>
  </r>
  <r>
    <s v="ORD10308"/>
    <x v="192"/>
    <s v="Chioma"/>
    <x v="0"/>
    <n v="60"/>
    <x v="5"/>
    <s v="Obio"/>
    <x v="1"/>
    <s v="Laptop"/>
    <x v="3"/>
    <n v="2"/>
    <n v="45700"/>
    <n v="15"/>
    <n v="77690"/>
    <x v="0"/>
    <x v="5"/>
    <x v="1"/>
    <x v="1"/>
  </r>
  <r>
    <s v="ORD10309"/>
    <x v="193"/>
    <s v="Grace"/>
    <x v="0"/>
    <n v="24"/>
    <x v="5"/>
    <s v="Obio"/>
    <x v="3"/>
    <s v="Chair"/>
    <x v="2"/>
    <n v="1"/>
    <n v="9600"/>
    <n v="25"/>
    <n v="7200"/>
    <x v="2"/>
    <x v="1"/>
    <x v="3"/>
    <x v="0"/>
  </r>
  <r>
    <s v="ORD10310"/>
    <x v="194"/>
    <s v="Daniel"/>
    <x v="0"/>
    <n v="41"/>
    <x v="0"/>
    <s v="Enugu"/>
    <x v="2"/>
    <s v="Rice"/>
    <x v="5"/>
    <n v="10"/>
    <n v="41700"/>
    <n v="20"/>
    <n v="333600"/>
    <x v="1"/>
    <x v="5"/>
    <x v="1"/>
    <x v="1"/>
  </r>
  <r>
    <s v="ORD10311"/>
    <x v="195"/>
    <s v="Peter"/>
    <x v="0"/>
    <n v="48"/>
    <x v="4"/>
    <s v="Ibadan"/>
    <x v="3"/>
    <s v="Desk"/>
    <x v="1"/>
    <n v="2"/>
    <n v="30300"/>
    <n v="5"/>
    <n v="57570"/>
    <x v="1"/>
    <x v="5"/>
    <x v="1"/>
    <x v="1"/>
  </r>
  <r>
    <s v="ORD10313"/>
    <x v="196"/>
    <s v="Aisha"/>
    <x v="0"/>
    <n v="20"/>
    <x v="3"/>
    <s v="Kano"/>
    <x v="1"/>
    <s v="Laptop"/>
    <x v="1"/>
    <n v="1"/>
    <n v="12000"/>
    <n v="0"/>
    <n v="12000"/>
    <x v="1"/>
    <x v="0"/>
    <x v="0"/>
    <x v="0"/>
  </r>
  <r>
    <s v="ORD10314"/>
    <x v="197"/>
    <s v="Emeka"/>
    <x v="0"/>
    <n v="22"/>
    <x v="2"/>
    <s v="Garki"/>
    <x v="2"/>
    <s v="Beans"/>
    <x v="2"/>
    <n v="1"/>
    <n v="21400"/>
    <n v="0"/>
    <n v="21400"/>
    <x v="0"/>
    <x v="4"/>
    <x v="1"/>
    <x v="1"/>
  </r>
  <r>
    <s v="ORD10315"/>
    <x v="198"/>
    <s v="Daniel"/>
    <x v="1"/>
    <n v="49"/>
    <x v="3"/>
    <s v="Kano"/>
    <x v="2"/>
    <s v="Beans"/>
    <x v="1"/>
    <n v="1"/>
    <n v="30900"/>
    <n v="0"/>
    <n v="30900"/>
    <x v="2"/>
    <x v="2"/>
    <x v="2"/>
    <x v="0"/>
  </r>
  <r>
    <s v="ORD10316"/>
    <x v="98"/>
    <s v="Chioma"/>
    <x v="2"/>
    <n v="54"/>
    <x v="1"/>
    <s v="Lekki"/>
    <x v="3"/>
    <s v="Desk"/>
    <x v="2"/>
    <n v="2"/>
    <n v="46800"/>
    <n v="20"/>
    <n v="74880"/>
    <x v="1"/>
    <x v="3"/>
    <x v="0"/>
    <x v="0"/>
  </r>
  <r>
    <s v="ORD10318"/>
    <x v="199"/>
    <s v="Grace"/>
    <x v="2"/>
    <n v="18"/>
    <x v="2"/>
    <s v="Garki"/>
    <x v="1"/>
    <s v="Phone"/>
    <x v="3"/>
    <n v="9"/>
    <n v="38300"/>
    <n v="10"/>
    <n v="310230"/>
    <x v="1"/>
    <x v="1"/>
    <x v="2"/>
    <x v="0"/>
  </r>
  <r>
    <s v="ORD10319"/>
    <x v="200"/>
    <s v="Ruth"/>
    <x v="2"/>
    <n v="49"/>
    <x v="3"/>
    <s v="Kano"/>
    <x v="2"/>
    <s v="Rice"/>
    <x v="2"/>
    <n v="3"/>
    <n v="48800"/>
    <n v="20"/>
    <n v="117120"/>
    <x v="1"/>
    <x v="0"/>
    <x v="2"/>
    <x v="0"/>
  </r>
  <r>
    <s v="ORD10320"/>
    <x v="201"/>
    <s v="Ruth"/>
    <x v="1"/>
    <n v="43"/>
    <x v="4"/>
    <s v="Ibadan"/>
    <x v="0"/>
    <s v="Shoes"/>
    <x v="5"/>
    <n v="4"/>
    <n v="30700"/>
    <n v="15"/>
    <n v="104380"/>
    <x v="1"/>
    <x v="0"/>
    <x v="3"/>
    <x v="0"/>
  </r>
  <r>
    <s v="ORD10321"/>
    <x v="134"/>
    <s v="Grace"/>
    <x v="2"/>
    <n v="48"/>
    <x v="3"/>
    <s v="Kano"/>
    <x v="3"/>
    <s v="Chair"/>
    <x v="1"/>
    <n v="5"/>
    <n v="20000"/>
    <n v="10"/>
    <n v="90000"/>
    <x v="1"/>
    <x v="0"/>
    <x v="2"/>
    <x v="0"/>
  </r>
  <r>
    <s v="ORD10322"/>
    <x v="202"/>
    <s v="John"/>
    <x v="1"/>
    <n v="39"/>
    <x v="4"/>
    <s v="Ibadan"/>
    <x v="1"/>
    <s v="Phone"/>
    <x v="5"/>
    <n v="1"/>
    <n v="40400"/>
    <n v="20"/>
    <n v="32320"/>
    <x v="1"/>
    <x v="2"/>
    <x v="1"/>
    <x v="1"/>
  </r>
  <r>
    <s v="ORD10323"/>
    <x v="133"/>
    <s v="John"/>
    <x v="2"/>
    <n v="58"/>
    <x v="4"/>
    <s v="Ogbomosho"/>
    <x v="1"/>
    <s v="Laptop"/>
    <x v="5"/>
    <n v="10"/>
    <n v="30600"/>
    <n v="15"/>
    <n v="260100"/>
    <x v="3"/>
    <x v="4"/>
    <x v="2"/>
    <x v="0"/>
  </r>
  <r>
    <s v="ORD10324"/>
    <x v="138"/>
    <s v="Grace"/>
    <x v="2"/>
    <n v="43"/>
    <x v="0"/>
    <s v="Enugu"/>
    <x v="2"/>
    <s v="Beans"/>
    <x v="2"/>
    <n v="4"/>
    <n v="34500"/>
    <n v="20"/>
    <n v="110400"/>
    <x v="0"/>
    <x v="0"/>
    <x v="2"/>
    <x v="0"/>
  </r>
  <r>
    <s v="ORD10325"/>
    <x v="203"/>
    <s v="Grace"/>
    <x v="0"/>
    <n v="29"/>
    <x v="2"/>
    <s v="Garki"/>
    <x v="2"/>
    <s v="Rice"/>
    <x v="3"/>
    <n v="10"/>
    <n v="2700"/>
    <n v="10"/>
    <n v="24300"/>
    <x v="1"/>
    <x v="3"/>
    <x v="3"/>
    <x v="0"/>
  </r>
  <r>
    <s v="ORD10326"/>
    <x v="204"/>
    <s v="Daniel"/>
    <x v="2"/>
    <n v="40"/>
    <x v="0"/>
    <s v="Enugu"/>
    <x v="2"/>
    <s v="Rice"/>
    <x v="4"/>
    <n v="10"/>
    <n v="43400"/>
    <n v="5"/>
    <n v="412300"/>
    <x v="0"/>
    <x v="4"/>
    <x v="1"/>
    <x v="1"/>
  </r>
  <r>
    <s v="ORD10327"/>
    <x v="205"/>
    <s v="Grace"/>
    <x v="2"/>
    <n v="65"/>
    <x v="0"/>
    <s v="Enugu"/>
    <x v="2"/>
    <s v="Rice"/>
    <x v="0"/>
    <n v="5"/>
    <n v="38600"/>
    <n v="15"/>
    <n v="164050"/>
    <x v="0"/>
    <x v="3"/>
    <x v="3"/>
    <x v="0"/>
  </r>
  <r>
    <s v="ORD10328"/>
    <x v="194"/>
    <s v="David"/>
    <x v="1"/>
    <n v="25"/>
    <x v="2"/>
    <s v="Garki"/>
    <x v="1"/>
    <s v="Laptop"/>
    <x v="3"/>
    <n v="3"/>
    <n v="19400"/>
    <n v="25"/>
    <n v="43650"/>
    <x v="0"/>
    <x v="5"/>
    <x v="2"/>
    <x v="0"/>
  </r>
  <r>
    <s v="ORD10329"/>
    <x v="206"/>
    <s v="Mary"/>
    <x v="0"/>
    <n v="24"/>
    <x v="3"/>
    <s v="Kano"/>
    <x v="2"/>
    <s v="Beans"/>
    <x v="3"/>
    <n v="5"/>
    <n v="32100"/>
    <n v="20"/>
    <n v="128400"/>
    <x v="2"/>
    <x v="3"/>
    <x v="3"/>
    <x v="0"/>
  </r>
  <r>
    <s v="ORD10330"/>
    <x v="66"/>
    <s v="Grace"/>
    <x v="0"/>
    <n v="30"/>
    <x v="3"/>
    <s v="Kano"/>
    <x v="0"/>
    <s v="Shirt"/>
    <x v="0"/>
    <n v="1"/>
    <n v="34100"/>
    <n v="5"/>
    <n v="32395"/>
    <x v="1"/>
    <x v="2"/>
    <x v="2"/>
    <x v="0"/>
  </r>
  <r>
    <s v="ORD10331"/>
    <x v="65"/>
    <s v="Grace"/>
    <x v="0"/>
    <n v="29"/>
    <x v="1"/>
    <s v="Ikeja"/>
    <x v="3"/>
    <s v="Desk"/>
    <x v="5"/>
    <n v="7"/>
    <n v="2100"/>
    <n v="0"/>
    <n v="14700"/>
    <x v="2"/>
    <x v="0"/>
    <x v="1"/>
    <x v="1"/>
  </r>
  <r>
    <s v="ORD10332"/>
    <x v="207"/>
    <s v="Ruth"/>
    <x v="1"/>
    <n v="35"/>
    <x v="2"/>
    <s v="Wuse"/>
    <x v="0"/>
    <s v="Shoes"/>
    <x v="3"/>
    <n v="6"/>
    <n v="11000"/>
    <n v="20"/>
    <n v="52800"/>
    <x v="1"/>
    <x v="2"/>
    <x v="0"/>
    <x v="0"/>
  </r>
  <r>
    <s v="ORD10333"/>
    <x v="208"/>
    <s v="Ruth"/>
    <x v="0"/>
    <n v="28"/>
    <x v="3"/>
    <s v="Kano"/>
    <x v="2"/>
    <s v="Beans"/>
    <x v="3"/>
    <n v="3"/>
    <n v="46400"/>
    <n v="0"/>
    <n v="139200"/>
    <x v="1"/>
    <x v="3"/>
    <x v="3"/>
    <x v="0"/>
  </r>
  <r>
    <s v="ORD10334"/>
    <x v="82"/>
    <s v="Ruth"/>
    <x v="0"/>
    <n v="51"/>
    <x v="4"/>
    <s v="Ibadan"/>
    <x v="3"/>
    <s v="Chair"/>
    <x v="1"/>
    <n v="2"/>
    <n v="43500"/>
    <n v="0"/>
    <n v="87000"/>
    <x v="2"/>
    <x v="3"/>
    <x v="0"/>
    <x v="0"/>
  </r>
  <r>
    <s v="ORD10335"/>
    <x v="209"/>
    <s v="Peter"/>
    <x v="0"/>
    <n v="55"/>
    <x v="2"/>
    <s v="Garki"/>
    <x v="3"/>
    <s v="Chair"/>
    <x v="4"/>
    <n v="2"/>
    <n v="27000"/>
    <n v="15"/>
    <n v="45900"/>
    <x v="2"/>
    <x v="0"/>
    <x v="2"/>
    <x v="0"/>
  </r>
  <r>
    <s v="ORD10336"/>
    <x v="79"/>
    <s v="Grace"/>
    <x v="2"/>
    <n v="42"/>
    <x v="5"/>
    <s v="Port Harcourt"/>
    <x v="1"/>
    <s v="Phone"/>
    <x v="2"/>
    <n v="6"/>
    <n v="43300"/>
    <n v="15"/>
    <n v="220830"/>
    <x v="2"/>
    <x v="4"/>
    <x v="3"/>
    <x v="0"/>
  </r>
  <r>
    <s v="ORD10337"/>
    <x v="210"/>
    <s v="Grace"/>
    <x v="0"/>
    <n v="45"/>
    <x v="2"/>
    <s v="Wuse"/>
    <x v="0"/>
    <s v="Shoes"/>
    <x v="5"/>
    <n v="5"/>
    <n v="37900"/>
    <n v="25"/>
    <n v="142125"/>
    <x v="1"/>
    <x v="0"/>
    <x v="3"/>
    <x v="0"/>
  </r>
  <r>
    <s v="ORD10339"/>
    <x v="211"/>
    <s v="David"/>
    <x v="2"/>
    <n v="36"/>
    <x v="1"/>
    <s v="Lekki"/>
    <x v="0"/>
    <s v="Shoes"/>
    <x v="1"/>
    <n v="7"/>
    <n v="7200"/>
    <n v="10"/>
    <n v="45360"/>
    <x v="3"/>
    <x v="5"/>
    <x v="3"/>
    <x v="0"/>
  </r>
  <r>
    <s v="ORD10340"/>
    <x v="104"/>
    <s v="Emeka"/>
    <x v="2"/>
    <n v="44"/>
    <x v="2"/>
    <s v="Garki"/>
    <x v="1"/>
    <s v="Phone"/>
    <x v="3"/>
    <n v="4"/>
    <n v="44200"/>
    <n v="0"/>
    <n v="176800"/>
    <x v="2"/>
    <x v="1"/>
    <x v="0"/>
    <x v="0"/>
  </r>
  <r>
    <s v="ORD10342"/>
    <x v="212"/>
    <s v="Chioma"/>
    <x v="1"/>
    <n v="57"/>
    <x v="3"/>
    <s v="Kano"/>
    <x v="0"/>
    <s v="Shoes"/>
    <x v="2"/>
    <n v="8"/>
    <n v="32800"/>
    <n v="15"/>
    <n v="223040"/>
    <x v="2"/>
    <x v="3"/>
    <x v="3"/>
    <x v="0"/>
  </r>
  <r>
    <s v="ORD10343"/>
    <x v="213"/>
    <s v="Mary"/>
    <x v="1"/>
    <n v="47"/>
    <x v="1"/>
    <s v="Lekki"/>
    <x v="1"/>
    <s v="Phone"/>
    <x v="3"/>
    <n v="2"/>
    <n v="31100"/>
    <n v="0"/>
    <n v="62200"/>
    <x v="2"/>
    <x v="2"/>
    <x v="3"/>
    <x v="0"/>
  </r>
  <r>
    <s v="ORD10344"/>
    <x v="214"/>
    <s v="Mary"/>
    <x v="0"/>
    <n v="22"/>
    <x v="5"/>
    <s v="Obio"/>
    <x v="2"/>
    <s v="Beans"/>
    <x v="3"/>
    <n v="2"/>
    <n v="3900"/>
    <n v="0"/>
    <n v="7800"/>
    <x v="2"/>
    <x v="4"/>
    <x v="0"/>
    <x v="0"/>
  </r>
  <r>
    <s v="ORD10345"/>
    <x v="97"/>
    <s v="Mary"/>
    <x v="2"/>
    <n v="58"/>
    <x v="2"/>
    <s v="Wuse"/>
    <x v="0"/>
    <s v="Shirt"/>
    <x v="5"/>
    <n v="7"/>
    <n v="22300"/>
    <n v="10"/>
    <n v="140490"/>
    <x v="0"/>
    <x v="4"/>
    <x v="0"/>
    <x v="0"/>
  </r>
  <r>
    <s v="ORD10346"/>
    <x v="91"/>
    <s v="John"/>
    <x v="1"/>
    <n v="25"/>
    <x v="4"/>
    <s v="Ogbomosho"/>
    <x v="3"/>
    <s v="Chair"/>
    <x v="4"/>
    <n v="5"/>
    <n v="36900"/>
    <n v="25"/>
    <n v="138375"/>
    <x v="1"/>
    <x v="4"/>
    <x v="1"/>
    <x v="1"/>
  </r>
  <r>
    <s v="ORD10348"/>
    <x v="56"/>
    <s v="Chioma"/>
    <x v="1"/>
    <n v="32"/>
    <x v="4"/>
    <s v="Ogbomosho"/>
    <x v="1"/>
    <s v="Phone"/>
    <x v="4"/>
    <n v="4"/>
    <n v="24400"/>
    <n v="15"/>
    <n v="82960"/>
    <x v="2"/>
    <x v="4"/>
    <x v="3"/>
    <x v="0"/>
  </r>
  <r>
    <s v="ORD10349"/>
    <x v="215"/>
    <s v="Aisha"/>
    <x v="0"/>
    <n v="33"/>
    <x v="5"/>
    <s v="Obio"/>
    <x v="0"/>
    <s v="Shoes"/>
    <x v="3"/>
    <n v="4"/>
    <n v="27100"/>
    <n v="10"/>
    <n v="97560"/>
    <x v="2"/>
    <x v="0"/>
    <x v="3"/>
    <x v="0"/>
  </r>
  <r>
    <s v="ORD10350"/>
    <x v="216"/>
    <s v="Grace"/>
    <x v="0"/>
    <n v="65"/>
    <x v="2"/>
    <s v="Garki"/>
    <x v="1"/>
    <s v="Phone"/>
    <x v="5"/>
    <n v="2"/>
    <n v="44900"/>
    <n v="10"/>
    <n v="80820"/>
    <x v="0"/>
    <x v="0"/>
    <x v="3"/>
    <x v="0"/>
  </r>
  <r>
    <s v="ORD10351"/>
    <x v="13"/>
    <s v="John"/>
    <x v="0"/>
    <n v="51"/>
    <x v="2"/>
    <s v="Garki"/>
    <x v="2"/>
    <s v="Rice"/>
    <x v="0"/>
    <n v="3"/>
    <n v="2900"/>
    <n v="25"/>
    <n v="6525"/>
    <x v="1"/>
    <x v="0"/>
    <x v="0"/>
    <x v="0"/>
  </r>
  <r>
    <s v="ORD10352"/>
    <x v="217"/>
    <s v="Grace"/>
    <x v="0"/>
    <n v="38"/>
    <x v="2"/>
    <s v="Wuse"/>
    <x v="1"/>
    <s v="Phone"/>
    <x v="1"/>
    <n v="2"/>
    <n v="8300"/>
    <n v="20"/>
    <n v="13280"/>
    <x v="2"/>
    <x v="1"/>
    <x v="3"/>
    <x v="0"/>
  </r>
  <r>
    <s v="ORD10353"/>
    <x v="20"/>
    <s v="Daniel"/>
    <x v="2"/>
    <n v="21"/>
    <x v="4"/>
    <s v="Ibadan"/>
    <x v="3"/>
    <s v="Chair"/>
    <x v="1"/>
    <n v="1"/>
    <n v="34000"/>
    <n v="0"/>
    <n v="34000"/>
    <x v="2"/>
    <x v="3"/>
    <x v="3"/>
    <x v="0"/>
  </r>
  <r>
    <s v="ORD10354"/>
    <x v="59"/>
    <s v="Daniel"/>
    <x v="2"/>
    <n v="48"/>
    <x v="4"/>
    <s v="Ibadan"/>
    <x v="1"/>
    <s v="Phone"/>
    <x v="5"/>
    <n v="7"/>
    <n v="6200"/>
    <n v="25"/>
    <n v="32550"/>
    <x v="1"/>
    <x v="0"/>
    <x v="1"/>
    <x v="1"/>
  </r>
  <r>
    <s v="ORD10357"/>
    <x v="218"/>
    <s v="Chioma"/>
    <x v="0"/>
    <n v="43"/>
    <x v="0"/>
    <s v="Enugu"/>
    <x v="1"/>
    <s v="Phone"/>
    <x v="1"/>
    <n v="2"/>
    <n v="42600"/>
    <n v="20"/>
    <n v="68160"/>
    <x v="1"/>
    <x v="1"/>
    <x v="1"/>
    <x v="1"/>
  </r>
  <r>
    <s v="ORD10358"/>
    <x v="59"/>
    <s v="Ruth"/>
    <x v="0"/>
    <n v="18"/>
    <x v="4"/>
    <s v="Ogbomosho"/>
    <x v="2"/>
    <s v="Rice"/>
    <x v="5"/>
    <n v="6"/>
    <n v="35500"/>
    <n v="5"/>
    <n v="202350"/>
    <x v="0"/>
    <x v="1"/>
    <x v="3"/>
    <x v="0"/>
  </r>
  <r>
    <s v="ORD10359"/>
    <x v="219"/>
    <s v="David"/>
    <x v="1"/>
    <n v="60"/>
    <x v="1"/>
    <s v="Ikeja"/>
    <x v="2"/>
    <s v="Beans"/>
    <x v="3"/>
    <n v="2"/>
    <n v="44800"/>
    <n v="0"/>
    <n v="89600"/>
    <x v="1"/>
    <x v="2"/>
    <x v="2"/>
    <x v="0"/>
  </r>
  <r>
    <s v="ORD10361"/>
    <x v="220"/>
    <s v="Emeka"/>
    <x v="0"/>
    <n v="42"/>
    <x v="0"/>
    <s v="Enugu"/>
    <x v="0"/>
    <s v="Shirt"/>
    <x v="4"/>
    <n v="6"/>
    <n v="38700"/>
    <n v="10"/>
    <n v="208980"/>
    <x v="0"/>
    <x v="2"/>
    <x v="3"/>
    <x v="0"/>
  </r>
  <r>
    <s v="ORD10362"/>
    <x v="5"/>
    <s v="David"/>
    <x v="0"/>
    <n v="44"/>
    <x v="3"/>
    <s v="Kano"/>
    <x v="1"/>
    <s v="Laptop"/>
    <x v="4"/>
    <n v="7"/>
    <n v="41700"/>
    <n v="20"/>
    <n v="233520"/>
    <x v="0"/>
    <x v="1"/>
    <x v="0"/>
    <x v="0"/>
  </r>
  <r>
    <s v="ORD10363"/>
    <x v="221"/>
    <s v="Grace"/>
    <x v="0"/>
    <n v="44"/>
    <x v="0"/>
    <s v="Enugu"/>
    <x v="0"/>
    <s v="Shoes"/>
    <x v="5"/>
    <n v="7"/>
    <n v="38800"/>
    <n v="20"/>
    <n v="217280"/>
    <x v="1"/>
    <x v="3"/>
    <x v="0"/>
    <x v="0"/>
  </r>
  <r>
    <s v="ORD10364"/>
    <x v="103"/>
    <s v="Ruth"/>
    <x v="0"/>
    <n v="33"/>
    <x v="1"/>
    <s v="Lekki"/>
    <x v="0"/>
    <s v="Shirt"/>
    <x v="2"/>
    <n v="8"/>
    <n v="26300"/>
    <n v="25"/>
    <n v="157800"/>
    <x v="1"/>
    <x v="5"/>
    <x v="1"/>
    <x v="1"/>
  </r>
  <r>
    <s v="ORD10365"/>
    <x v="210"/>
    <s v="Daniel"/>
    <x v="2"/>
    <n v="42"/>
    <x v="4"/>
    <s v="Ogbomosho"/>
    <x v="0"/>
    <s v="Shirt"/>
    <x v="4"/>
    <n v="7"/>
    <n v="6900"/>
    <n v="25"/>
    <n v="36225"/>
    <x v="1"/>
    <x v="1"/>
    <x v="3"/>
    <x v="0"/>
  </r>
  <r>
    <s v="ORD10366"/>
    <x v="222"/>
    <s v="Peter"/>
    <x v="2"/>
    <n v="20"/>
    <x v="5"/>
    <s v="Obio"/>
    <x v="2"/>
    <s v="Beans"/>
    <x v="3"/>
    <n v="5"/>
    <n v="43300"/>
    <n v="5"/>
    <n v="205675"/>
    <x v="1"/>
    <x v="1"/>
    <x v="0"/>
    <x v="0"/>
  </r>
  <r>
    <s v="ORD10368"/>
    <x v="223"/>
    <s v="Mary"/>
    <x v="2"/>
    <n v="59"/>
    <x v="0"/>
    <s v="Enugu"/>
    <x v="1"/>
    <s v="Laptop"/>
    <x v="1"/>
    <n v="2"/>
    <n v="47600"/>
    <n v="20"/>
    <n v="76160"/>
    <x v="0"/>
    <x v="1"/>
    <x v="2"/>
    <x v="0"/>
  </r>
  <r>
    <s v="ORD10369"/>
    <x v="224"/>
    <s v="Grace"/>
    <x v="1"/>
    <n v="49"/>
    <x v="4"/>
    <s v="Ogbomosho"/>
    <x v="3"/>
    <s v="Desk"/>
    <x v="3"/>
    <n v="7"/>
    <n v="35500"/>
    <n v="25"/>
    <n v="186375"/>
    <x v="1"/>
    <x v="1"/>
    <x v="1"/>
    <x v="1"/>
  </r>
  <r>
    <s v="ORD10370"/>
    <x v="225"/>
    <s v="David"/>
    <x v="0"/>
    <n v="38"/>
    <x v="5"/>
    <s v="Port Harcourt"/>
    <x v="0"/>
    <s v="Shirt"/>
    <x v="5"/>
    <n v="3"/>
    <n v="14100"/>
    <n v="25"/>
    <n v="31725"/>
    <x v="1"/>
    <x v="1"/>
    <x v="2"/>
    <x v="0"/>
  </r>
  <r>
    <s v="ORD10371"/>
    <x v="205"/>
    <s v="Daniel"/>
    <x v="2"/>
    <n v="28"/>
    <x v="3"/>
    <s v="Kano"/>
    <x v="2"/>
    <s v="Beans"/>
    <x v="1"/>
    <n v="10"/>
    <n v="44900"/>
    <n v="10"/>
    <n v="404100"/>
    <x v="2"/>
    <x v="0"/>
    <x v="2"/>
    <x v="0"/>
  </r>
  <r>
    <s v="ORD10372"/>
    <x v="120"/>
    <s v="Daniel"/>
    <x v="2"/>
    <n v="63"/>
    <x v="5"/>
    <s v="Obio"/>
    <x v="2"/>
    <s v="Beans"/>
    <x v="5"/>
    <n v="3"/>
    <n v="39100"/>
    <n v="10"/>
    <n v="105570"/>
    <x v="1"/>
    <x v="4"/>
    <x v="2"/>
    <x v="0"/>
  </r>
  <r>
    <s v="ORD10373"/>
    <x v="76"/>
    <s v="Grace"/>
    <x v="0"/>
    <n v="22"/>
    <x v="5"/>
    <s v="Obio"/>
    <x v="2"/>
    <s v="Rice"/>
    <x v="4"/>
    <n v="3"/>
    <n v="37600"/>
    <n v="5"/>
    <n v="107160"/>
    <x v="2"/>
    <x v="2"/>
    <x v="3"/>
    <x v="0"/>
  </r>
  <r>
    <s v="ORD10374"/>
    <x v="226"/>
    <s v="Daniel"/>
    <x v="0"/>
    <n v="51"/>
    <x v="0"/>
    <s v="Enugu"/>
    <x v="0"/>
    <s v="Shirt"/>
    <x v="3"/>
    <n v="7"/>
    <n v="41700"/>
    <n v="20"/>
    <n v="233520"/>
    <x v="1"/>
    <x v="4"/>
    <x v="1"/>
    <x v="1"/>
  </r>
  <r>
    <s v="ORD10375"/>
    <x v="227"/>
    <s v="Chioma"/>
    <x v="1"/>
    <n v="21"/>
    <x v="5"/>
    <s v="Port Harcourt"/>
    <x v="0"/>
    <s v="Shirt"/>
    <x v="4"/>
    <n v="10"/>
    <n v="18800"/>
    <n v="25"/>
    <n v="141000"/>
    <x v="1"/>
    <x v="3"/>
    <x v="2"/>
    <x v="0"/>
  </r>
  <r>
    <s v="ORD10376"/>
    <x v="74"/>
    <s v="John"/>
    <x v="0"/>
    <n v="33"/>
    <x v="5"/>
    <s v="Port Harcourt"/>
    <x v="1"/>
    <s v="Phone"/>
    <x v="1"/>
    <n v="6"/>
    <n v="33000"/>
    <n v="0"/>
    <n v="198000"/>
    <x v="2"/>
    <x v="0"/>
    <x v="2"/>
    <x v="0"/>
  </r>
  <r>
    <s v="ORD10378"/>
    <x v="228"/>
    <s v="Daniel"/>
    <x v="1"/>
    <n v="45"/>
    <x v="3"/>
    <s v="Kano"/>
    <x v="2"/>
    <s v="Beans"/>
    <x v="5"/>
    <n v="4"/>
    <n v="15000"/>
    <n v="15"/>
    <n v="51000"/>
    <x v="1"/>
    <x v="5"/>
    <x v="2"/>
    <x v="0"/>
  </r>
  <r>
    <s v="ORD10380"/>
    <x v="229"/>
    <s v="Grace"/>
    <x v="0"/>
    <n v="46"/>
    <x v="3"/>
    <s v="Kano"/>
    <x v="0"/>
    <s v="Shirt"/>
    <x v="4"/>
    <n v="2"/>
    <n v="2800"/>
    <n v="5"/>
    <n v="5320"/>
    <x v="1"/>
    <x v="2"/>
    <x v="0"/>
    <x v="0"/>
  </r>
  <r>
    <s v="ORD10381"/>
    <x v="230"/>
    <s v="Daniel"/>
    <x v="2"/>
    <n v="39"/>
    <x v="4"/>
    <s v="Ogbomosho"/>
    <x v="0"/>
    <s v="Shirt"/>
    <x v="0"/>
    <n v="5"/>
    <n v="18900"/>
    <n v="15"/>
    <n v="80325"/>
    <x v="3"/>
    <x v="0"/>
    <x v="3"/>
    <x v="0"/>
  </r>
  <r>
    <s v="ORD10382"/>
    <x v="51"/>
    <s v="Chioma"/>
    <x v="0"/>
    <n v="25"/>
    <x v="2"/>
    <s v="Wuse"/>
    <x v="0"/>
    <s v="Shoes"/>
    <x v="4"/>
    <n v="1"/>
    <n v="38200"/>
    <n v="15"/>
    <n v="32470"/>
    <x v="1"/>
    <x v="2"/>
    <x v="1"/>
    <x v="1"/>
  </r>
  <r>
    <s v="ORD10384"/>
    <x v="231"/>
    <s v="Daniel"/>
    <x v="0"/>
    <n v="61"/>
    <x v="4"/>
    <s v="Ibadan"/>
    <x v="3"/>
    <s v="Chair"/>
    <x v="0"/>
    <n v="10"/>
    <n v="33000"/>
    <n v="5"/>
    <n v="313500"/>
    <x v="1"/>
    <x v="0"/>
    <x v="2"/>
    <x v="0"/>
  </r>
  <r>
    <s v="ORD10385"/>
    <x v="232"/>
    <s v="Emeka"/>
    <x v="0"/>
    <n v="48"/>
    <x v="0"/>
    <s v="Enugu"/>
    <x v="1"/>
    <s v="Laptop"/>
    <x v="5"/>
    <n v="7"/>
    <n v="41900"/>
    <n v="0"/>
    <n v="293300"/>
    <x v="1"/>
    <x v="0"/>
    <x v="0"/>
    <x v="0"/>
  </r>
  <r>
    <s v="ORD10386"/>
    <x v="233"/>
    <s v="Aisha"/>
    <x v="0"/>
    <n v="52"/>
    <x v="4"/>
    <s v="Ogbomosho"/>
    <x v="2"/>
    <s v="Beans"/>
    <x v="2"/>
    <n v="9"/>
    <n v="45700"/>
    <n v="0"/>
    <n v="411300"/>
    <x v="0"/>
    <x v="0"/>
    <x v="0"/>
    <x v="0"/>
  </r>
  <r>
    <s v="ORD10387"/>
    <x v="69"/>
    <s v="Aisha"/>
    <x v="0"/>
    <n v="41"/>
    <x v="2"/>
    <s v="Wuse"/>
    <x v="1"/>
    <s v="Laptop"/>
    <x v="1"/>
    <n v="7"/>
    <n v="30200"/>
    <n v="20"/>
    <n v="169120"/>
    <x v="2"/>
    <x v="0"/>
    <x v="3"/>
    <x v="0"/>
  </r>
  <r>
    <s v="ORD10388"/>
    <x v="2"/>
    <s v="Emeka"/>
    <x v="2"/>
    <n v="21"/>
    <x v="3"/>
    <s v="Kano"/>
    <x v="1"/>
    <s v="Phone"/>
    <x v="1"/>
    <n v="7"/>
    <n v="46500"/>
    <n v="20"/>
    <n v="260400"/>
    <x v="0"/>
    <x v="2"/>
    <x v="2"/>
    <x v="0"/>
  </r>
  <r>
    <s v="ORD10389"/>
    <x v="234"/>
    <s v="Peter"/>
    <x v="0"/>
    <n v="41"/>
    <x v="3"/>
    <s v="Kano"/>
    <x v="3"/>
    <s v="Desk"/>
    <x v="1"/>
    <n v="5"/>
    <n v="43900"/>
    <n v="5"/>
    <n v="208525"/>
    <x v="1"/>
    <x v="4"/>
    <x v="2"/>
    <x v="0"/>
  </r>
  <r>
    <s v="ORD10390"/>
    <x v="235"/>
    <s v="David"/>
    <x v="0"/>
    <n v="29"/>
    <x v="1"/>
    <s v="Lekki"/>
    <x v="0"/>
    <s v="Shoes"/>
    <x v="1"/>
    <n v="2"/>
    <n v="10500"/>
    <n v="15"/>
    <n v="17850"/>
    <x v="0"/>
    <x v="2"/>
    <x v="2"/>
    <x v="0"/>
  </r>
  <r>
    <s v="ORD10391"/>
    <x v="236"/>
    <s v="Emeka"/>
    <x v="1"/>
    <n v="48"/>
    <x v="1"/>
    <s v="Lekki"/>
    <x v="2"/>
    <s v="Rice"/>
    <x v="1"/>
    <n v="2"/>
    <n v="2000"/>
    <n v="10"/>
    <n v="3600"/>
    <x v="0"/>
    <x v="0"/>
    <x v="2"/>
    <x v="0"/>
  </r>
  <r>
    <s v="ORD10392"/>
    <x v="43"/>
    <s v="Aisha"/>
    <x v="2"/>
    <n v="49"/>
    <x v="0"/>
    <s v="Enugu"/>
    <x v="1"/>
    <s v="Laptop"/>
    <x v="0"/>
    <n v="10"/>
    <n v="3500"/>
    <n v="25"/>
    <n v="26250"/>
    <x v="2"/>
    <x v="0"/>
    <x v="3"/>
    <x v="0"/>
  </r>
  <r>
    <s v="ORD10393"/>
    <x v="237"/>
    <s v="Ruth"/>
    <x v="2"/>
    <n v="21"/>
    <x v="1"/>
    <s v="Lekki"/>
    <x v="2"/>
    <s v="Rice"/>
    <x v="0"/>
    <n v="6"/>
    <n v="43300"/>
    <n v="25"/>
    <n v="194850"/>
    <x v="2"/>
    <x v="2"/>
    <x v="2"/>
    <x v="0"/>
  </r>
  <r>
    <s v="ORD10394"/>
    <x v="186"/>
    <s v="Aisha"/>
    <x v="2"/>
    <n v="61"/>
    <x v="0"/>
    <s v="Enugu"/>
    <x v="1"/>
    <s v="Phone"/>
    <x v="1"/>
    <n v="7"/>
    <n v="49000"/>
    <n v="10"/>
    <n v="308700"/>
    <x v="0"/>
    <x v="5"/>
    <x v="1"/>
    <x v="1"/>
  </r>
  <r>
    <s v="ORD10395"/>
    <x v="238"/>
    <s v="Aisha"/>
    <x v="1"/>
    <n v="49"/>
    <x v="5"/>
    <s v="Obio"/>
    <x v="3"/>
    <s v="Chair"/>
    <x v="5"/>
    <n v="7"/>
    <n v="44900"/>
    <n v="20"/>
    <n v="251440"/>
    <x v="1"/>
    <x v="4"/>
    <x v="2"/>
    <x v="0"/>
  </r>
  <r>
    <s v="ORD10396"/>
    <x v="14"/>
    <s v="Grace"/>
    <x v="2"/>
    <n v="33"/>
    <x v="3"/>
    <s v="Kano"/>
    <x v="3"/>
    <s v="Desk"/>
    <x v="5"/>
    <n v="7"/>
    <n v="16200"/>
    <n v="25"/>
    <n v="85050"/>
    <x v="0"/>
    <x v="0"/>
    <x v="0"/>
    <x v="0"/>
  </r>
  <r>
    <s v="ORD10398"/>
    <x v="132"/>
    <s v="Ruth"/>
    <x v="2"/>
    <n v="35"/>
    <x v="5"/>
    <s v="Obio"/>
    <x v="0"/>
    <s v="Shirt"/>
    <x v="4"/>
    <n v="7"/>
    <n v="45800"/>
    <n v="25"/>
    <n v="240450"/>
    <x v="3"/>
    <x v="4"/>
    <x v="0"/>
    <x v="0"/>
  </r>
  <r>
    <s v="ORD10400"/>
    <x v="90"/>
    <s v="Chioma"/>
    <x v="2"/>
    <n v="44"/>
    <x v="1"/>
    <s v="Ikeja"/>
    <x v="2"/>
    <s v="Beans"/>
    <x v="4"/>
    <n v="4"/>
    <n v="30700"/>
    <n v="25"/>
    <n v="92100"/>
    <x v="0"/>
    <x v="1"/>
    <x v="3"/>
    <x v="0"/>
  </r>
  <r>
    <s v="ORD10401"/>
    <x v="239"/>
    <s v="Emeka"/>
    <x v="2"/>
    <n v="19"/>
    <x v="4"/>
    <s v="Ibadan"/>
    <x v="1"/>
    <s v="Laptop"/>
    <x v="1"/>
    <n v="7"/>
    <n v="17400"/>
    <n v="15"/>
    <n v="103530"/>
    <x v="1"/>
    <x v="3"/>
    <x v="2"/>
    <x v="0"/>
  </r>
  <r>
    <s v="ORD10402"/>
    <x v="240"/>
    <s v="Daniel"/>
    <x v="2"/>
    <n v="34"/>
    <x v="1"/>
    <s v="Lekki"/>
    <x v="3"/>
    <s v="Chair"/>
    <x v="0"/>
    <n v="5"/>
    <n v="47800"/>
    <n v="0"/>
    <n v="239000"/>
    <x v="1"/>
    <x v="1"/>
    <x v="1"/>
    <x v="1"/>
  </r>
  <r>
    <s v="ORD10403"/>
    <x v="241"/>
    <s v="John"/>
    <x v="2"/>
    <n v="43"/>
    <x v="3"/>
    <s v="Kano"/>
    <x v="2"/>
    <s v="Rice"/>
    <x v="4"/>
    <n v="6"/>
    <n v="27100"/>
    <n v="25"/>
    <n v="121950"/>
    <x v="2"/>
    <x v="1"/>
    <x v="2"/>
    <x v="0"/>
  </r>
  <r>
    <s v="ORD10404"/>
    <x v="117"/>
    <s v="Emeka"/>
    <x v="0"/>
    <n v="40"/>
    <x v="4"/>
    <s v="Ogbomosho"/>
    <x v="1"/>
    <s v="Laptop"/>
    <x v="2"/>
    <n v="10"/>
    <n v="45000"/>
    <n v="20"/>
    <n v="360000"/>
    <x v="1"/>
    <x v="0"/>
    <x v="1"/>
    <x v="1"/>
  </r>
  <r>
    <s v="ORD10405"/>
    <x v="242"/>
    <s v="Daniel"/>
    <x v="2"/>
    <n v="54"/>
    <x v="3"/>
    <s v="Kano"/>
    <x v="0"/>
    <s v="Shoes"/>
    <x v="3"/>
    <n v="8"/>
    <n v="37500"/>
    <n v="5"/>
    <n v="285000"/>
    <x v="1"/>
    <x v="0"/>
    <x v="2"/>
    <x v="0"/>
  </r>
  <r>
    <s v="ORD10407"/>
    <x v="220"/>
    <s v="Peter"/>
    <x v="1"/>
    <n v="30"/>
    <x v="3"/>
    <s v="Kano"/>
    <x v="1"/>
    <s v="Laptop"/>
    <x v="3"/>
    <n v="9"/>
    <n v="12300"/>
    <n v="5"/>
    <n v="105165"/>
    <x v="1"/>
    <x v="2"/>
    <x v="1"/>
    <x v="1"/>
  </r>
  <r>
    <s v="ORD10409"/>
    <x v="243"/>
    <s v="John"/>
    <x v="1"/>
    <n v="39"/>
    <x v="5"/>
    <s v="Port Harcourt"/>
    <x v="2"/>
    <s v="Rice"/>
    <x v="3"/>
    <n v="6"/>
    <n v="3400"/>
    <n v="25"/>
    <n v="15300"/>
    <x v="3"/>
    <x v="3"/>
    <x v="1"/>
    <x v="1"/>
  </r>
  <r>
    <s v="ORD10410"/>
    <x v="244"/>
    <s v="Chioma"/>
    <x v="2"/>
    <n v="38"/>
    <x v="1"/>
    <s v="Lekki"/>
    <x v="2"/>
    <s v="Beans"/>
    <x v="0"/>
    <n v="2"/>
    <n v="24100"/>
    <n v="0"/>
    <n v="48200"/>
    <x v="1"/>
    <x v="1"/>
    <x v="2"/>
    <x v="0"/>
  </r>
  <r>
    <s v="ORD10411"/>
    <x v="195"/>
    <s v="John"/>
    <x v="0"/>
    <n v="46"/>
    <x v="1"/>
    <s v="Lekki"/>
    <x v="1"/>
    <s v="Laptop"/>
    <x v="0"/>
    <n v="4"/>
    <n v="48900"/>
    <n v="20"/>
    <n v="156480"/>
    <x v="0"/>
    <x v="5"/>
    <x v="0"/>
    <x v="0"/>
  </r>
  <r>
    <s v="ORD10413"/>
    <x v="245"/>
    <s v="Ruth"/>
    <x v="2"/>
    <n v="24"/>
    <x v="5"/>
    <s v="Obio"/>
    <x v="3"/>
    <s v="Chair"/>
    <x v="3"/>
    <n v="3"/>
    <n v="43000"/>
    <n v="20"/>
    <n v="103200"/>
    <x v="1"/>
    <x v="0"/>
    <x v="2"/>
    <x v="0"/>
  </r>
  <r>
    <s v="ORD10414"/>
    <x v="246"/>
    <s v="Emeka"/>
    <x v="1"/>
    <n v="54"/>
    <x v="5"/>
    <s v="Port Harcourt"/>
    <x v="2"/>
    <s v="Beans"/>
    <x v="1"/>
    <n v="3"/>
    <n v="10800"/>
    <n v="20"/>
    <n v="25920"/>
    <x v="1"/>
    <x v="0"/>
    <x v="2"/>
    <x v="0"/>
  </r>
  <r>
    <s v="ORD10415"/>
    <x v="247"/>
    <s v="Grace"/>
    <x v="2"/>
    <n v="54"/>
    <x v="4"/>
    <s v="Ogbomosho"/>
    <x v="2"/>
    <s v="Rice"/>
    <x v="5"/>
    <n v="9"/>
    <n v="16500"/>
    <n v="0"/>
    <n v="148500"/>
    <x v="1"/>
    <x v="5"/>
    <x v="1"/>
    <x v="1"/>
  </r>
  <r>
    <s v="ORD10417"/>
    <x v="248"/>
    <s v="Mary"/>
    <x v="1"/>
    <n v="58"/>
    <x v="3"/>
    <s v="Kano"/>
    <x v="2"/>
    <s v="Rice"/>
    <x v="1"/>
    <n v="1"/>
    <n v="3300"/>
    <n v="25"/>
    <n v="2475"/>
    <x v="1"/>
    <x v="1"/>
    <x v="2"/>
    <x v="0"/>
  </r>
  <r>
    <s v="ORD10418"/>
    <x v="70"/>
    <s v="Aisha"/>
    <x v="0"/>
    <n v="63"/>
    <x v="1"/>
    <s v="Lekki"/>
    <x v="0"/>
    <s v="Shirt"/>
    <x v="0"/>
    <n v="4"/>
    <n v="27400"/>
    <n v="5"/>
    <n v="104120"/>
    <x v="1"/>
    <x v="3"/>
    <x v="0"/>
    <x v="0"/>
  </r>
  <r>
    <s v="ORD10419"/>
    <x v="249"/>
    <s v="Emeka"/>
    <x v="2"/>
    <n v="29"/>
    <x v="2"/>
    <s v="Garki"/>
    <x v="1"/>
    <s v="Laptop"/>
    <x v="3"/>
    <n v="10"/>
    <n v="39900"/>
    <n v="25"/>
    <n v="299250"/>
    <x v="0"/>
    <x v="0"/>
    <x v="3"/>
    <x v="0"/>
  </r>
  <r>
    <s v="ORD10422"/>
    <x v="250"/>
    <s v="Peter"/>
    <x v="0"/>
    <n v="39"/>
    <x v="4"/>
    <s v="Ogbomosho"/>
    <x v="1"/>
    <s v="Laptop"/>
    <x v="4"/>
    <n v="1"/>
    <n v="46500"/>
    <n v="5"/>
    <n v="44175"/>
    <x v="2"/>
    <x v="2"/>
    <x v="2"/>
    <x v="0"/>
  </r>
  <r>
    <s v="ORD10423"/>
    <x v="135"/>
    <s v="Daniel"/>
    <x v="0"/>
    <n v="58"/>
    <x v="3"/>
    <s v="Kano"/>
    <x v="3"/>
    <s v="Desk"/>
    <x v="0"/>
    <n v="3"/>
    <n v="8200"/>
    <n v="0"/>
    <n v="24600"/>
    <x v="1"/>
    <x v="1"/>
    <x v="0"/>
    <x v="0"/>
  </r>
  <r>
    <s v="ORD10424"/>
    <x v="251"/>
    <s v="Grace"/>
    <x v="2"/>
    <n v="44"/>
    <x v="3"/>
    <s v="Kano"/>
    <x v="1"/>
    <s v="Phone"/>
    <x v="2"/>
    <n v="9"/>
    <n v="9700"/>
    <n v="10"/>
    <n v="78570"/>
    <x v="2"/>
    <x v="2"/>
    <x v="0"/>
    <x v="0"/>
  </r>
  <r>
    <s v="ORD10425"/>
    <x v="252"/>
    <s v="Grace"/>
    <x v="1"/>
    <n v="43"/>
    <x v="4"/>
    <s v="Ogbomosho"/>
    <x v="1"/>
    <s v="Laptop"/>
    <x v="0"/>
    <n v="1"/>
    <n v="15900"/>
    <n v="20"/>
    <n v="12720"/>
    <x v="1"/>
    <x v="4"/>
    <x v="2"/>
    <x v="0"/>
  </r>
  <r>
    <s v="ORD10426"/>
    <x v="253"/>
    <s v="John"/>
    <x v="1"/>
    <n v="39"/>
    <x v="0"/>
    <s v="Enugu"/>
    <x v="0"/>
    <s v="Shoes"/>
    <x v="2"/>
    <n v="1"/>
    <n v="39300"/>
    <n v="0"/>
    <n v="39300"/>
    <x v="1"/>
    <x v="0"/>
    <x v="2"/>
    <x v="0"/>
  </r>
  <r>
    <s v="ORD10427"/>
    <x v="254"/>
    <s v="Grace"/>
    <x v="2"/>
    <n v="63"/>
    <x v="5"/>
    <s v="Obio"/>
    <x v="1"/>
    <s v="Laptop"/>
    <x v="0"/>
    <n v="3"/>
    <n v="47200"/>
    <n v="20"/>
    <n v="113280"/>
    <x v="1"/>
    <x v="2"/>
    <x v="1"/>
    <x v="1"/>
  </r>
  <r>
    <s v="ORD10428"/>
    <x v="34"/>
    <s v="Ruth"/>
    <x v="2"/>
    <n v="51"/>
    <x v="5"/>
    <s v="Obio"/>
    <x v="3"/>
    <s v="Desk"/>
    <x v="1"/>
    <n v="5"/>
    <n v="7200"/>
    <n v="10"/>
    <n v="32400"/>
    <x v="0"/>
    <x v="0"/>
    <x v="0"/>
    <x v="0"/>
  </r>
  <r>
    <s v="ORD10429"/>
    <x v="255"/>
    <s v="Ruth"/>
    <x v="0"/>
    <n v="43"/>
    <x v="3"/>
    <s v="Kano"/>
    <x v="2"/>
    <s v="Rice"/>
    <x v="4"/>
    <n v="7"/>
    <n v="5700"/>
    <n v="10"/>
    <n v="35910"/>
    <x v="1"/>
    <x v="0"/>
    <x v="0"/>
    <x v="0"/>
  </r>
  <r>
    <s v="ORD10430"/>
    <x v="247"/>
    <s v="Peter"/>
    <x v="0"/>
    <n v="32"/>
    <x v="4"/>
    <s v="Ibadan"/>
    <x v="3"/>
    <s v="Desk"/>
    <x v="4"/>
    <n v="9"/>
    <n v="27100"/>
    <n v="20"/>
    <n v="195120"/>
    <x v="1"/>
    <x v="0"/>
    <x v="0"/>
    <x v="0"/>
  </r>
  <r>
    <s v="ORD10431"/>
    <x v="256"/>
    <s v="Aisha"/>
    <x v="0"/>
    <n v="33"/>
    <x v="0"/>
    <s v="Enugu"/>
    <x v="2"/>
    <s v="Rice"/>
    <x v="5"/>
    <n v="2"/>
    <n v="31300"/>
    <n v="25"/>
    <n v="46950"/>
    <x v="0"/>
    <x v="5"/>
    <x v="1"/>
    <x v="1"/>
  </r>
  <r>
    <s v="ORD10432"/>
    <x v="257"/>
    <s v="John"/>
    <x v="2"/>
    <n v="40"/>
    <x v="1"/>
    <s v="Lekki"/>
    <x v="0"/>
    <s v="Shoes"/>
    <x v="5"/>
    <n v="8"/>
    <n v="38200"/>
    <n v="5"/>
    <n v="290320"/>
    <x v="0"/>
    <x v="4"/>
    <x v="2"/>
    <x v="0"/>
  </r>
  <r>
    <s v="ORD10433"/>
    <x v="93"/>
    <s v="John"/>
    <x v="1"/>
    <n v="34"/>
    <x v="1"/>
    <s v="Lekki"/>
    <x v="3"/>
    <s v="Chair"/>
    <x v="0"/>
    <n v="6"/>
    <n v="43400"/>
    <n v="5"/>
    <n v="247380"/>
    <x v="2"/>
    <x v="5"/>
    <x v="1"/>
    <x v="1"/>
  </r>
  <r>
    <s v="ORD10435"/>
    <x v="37"/>
    <s v="Ruth"/>
    <x v="0"/>
    <n v="29"/>
    <x v="5"/>
    <s v="Obio"/>
    <x v="1"/>
    <s v="Phone"/>
    <x v="1"/>
    <n v="4"/>
    <n v="17200"/>
    <n v="10"/>
    <n v="61920"/>
    <x v="1"/>
    <x v="1"/>
    <x v="2"/>
    <x v="0"/>
  </r>
  <r>
    <s v="ORD10439"/>
    <x v="258"/>
    <s v="Peter"/>
    <x v="2"/>
    <n v="56"/>
    <x v="1"/>
    <s v="Ikeja"/>
    <x v="2"/>
    <s v="Rice"/>
    <x v="2"/>
    <n v="10"/>
    <n v="37300"/>
    <n v="10"/>
    <n v="335700"/>
    <x v="0"/>
    <x v="0"/>
    <x v="1"/>
    <x v="1"/>
  </r>
  <r>
    <s v="ORD10440"/>
    <x v="259"/>
    <s v="Daniel"/>
    <x v="2"/>
    <n v="45"/>
    <x v="4"/>
    <s v="Ibadan"/>
    <x v="1"/>
    <s v="Phone"/>
    <x v="2"/>
    <n v="10"/>
    <n v="28000"/>
    <n v="5"/>
    <n v="266000"/>
    <x v="1"/>
    <x v="2"/>
    <x v="0"/>
    <x v="0"/>
  </r>
  <r>
    <s v="ORD10441"/>
    <x v="260"/>
    <s v="Ruth"/>
    <x v="1"/>
    <n v="39"/>
    <x v="2"/>
    <s v="Wuse"/>
    <x v="0"/>
    <s v="Shoes"/>
    <x v="5"/>
    <n v="10"/>
    <n v="42100"/>
    <n v="25"/>
    <n v="315750"/>
    <x v="1"/>
    <x v="3"/>
    <x v="1"/>
    <x v="1"/>
  </r>
  <r>
    <s v="ORD10445"/>
    <x v="261"/>
    <s v="Daniel"/>
    <x v="0"/>
    <n v="40"/>
    <x v="0"/>
    <s v="Enugu"/>
    <x v="0"/>
    <s v="Shoes"/>
    <x v="0"/>
    <n v="9"/>
    <n v="48200"/>
    <n v="15"/>
    <n v="368730"/>
    <x v="1"/>
    <x v="4"/>
    <x v="2"/>
    <x v="0"/>
  </r>
  <r>
    <s v="ORD10448"/>
    <x v="262"/>
    <s v="Peter"/>
    <x v="0"/>
    <n v="64"/>
    <x v="4"/>
    <s v="Ogbomosho"/>
    <x v="0"/>
    <s v="Shoes"/>
    <x v="0"/>
    <n v="6"/>
    <n v="26700"/>
    <n v="0"/>
    <n v="160200"/>
    <x v="1"/>
    <x v="0"/>
    <x v="1"/>
    <x v="1"/>
  </r>
  <r>
    <s v="ORD10449"/>
    <x v="263"/>
    <s v="John"/>
    <x v="2"/>
    <n v="63"/>
    <x v="5"/>
    <s v="Port Harcourt"/>
    <x v="3"/>
    <s v="Desk"/>
    <x v="4"/>
    <n v="1"/>
    <n v="28700"/>
    <n v="20"/>
    <n v="22960"/>
    <x v="2"/>
    <x v="4"/>
    <x v="3"/>
    <x v="0"/>
  </r>
  <r>
    <s v="ORD10450"/>
    <x v="96"/>
    <s v="Daniel"/>
    <x v="1"/>
    <n v="26"/>
    <x v="3"/>
    <s v="Kano"/>
    <x v="0"/>
    <s v="Shoes"/>
    <x v="5"/>
    <n v="5"/>
    <n v="36000"/>
    <n v="10"/>
    <n v="162000"/>
    <x v="2"/>
    <x v="2"/>
    <x v="3"/>
    <x v="0"/>
  </r>
  <r>
    <s v="ORD10451"/>
    <x v="264"/>
    <s v="Peter"/>
    <x v="2"/>
    <n v="61"/>
    <x v="0"/>
    <s v="Enugu"/>
    <x v="2"/>
    <s v="Rice"/>
    <x v="1"/>
    <n v="8"/>
    <n v="43300"/>
    <n v="5"/>
    <n v="329080"/>
    <x v="0"/>
    <x v="2"/>
    <x v="1"/>
    <x v="1"/>
  </r>
  <r>
    <s v="ORD10452"/>
    <x v="265"/>
    <s v="Peter"/>
    <x v="0"/>
    <n v="65"/>
    <x v="3"/>
    <s v="Kano"/>
    <x v="3"/>
    <s v="Chair"/>
    <x v="2"/>
    <n v="7"/>
    <n v="40100"/>
    <n v="10"/>
    <n v="252630"/>
    <x v="0"/>
    <x v="3"/>
    <x v="1"/>
    <x v="1"/>
  </r>
  <r>
    <s v="ORD10453"/>
    <x v="236"/>
    <s v="Peter"/>
    <x v="1"/>
    <n v="33"/>
    <x v="5"/>
    <s v="Obio"/>
    <x v="0"/>
    <s v="Shirt"/>
    <x v="3"/>
    <n v="4"/>
    <n v="6000"/>
    <n v="25"/>
    <n v="18000"/>
    <x v="0"/>
    <x v="2"/>
    <x v="0"/>
    <x v="0"/>
  </r>
  <r>
    <s v="ORD10454"/>
    <x v="106"/>
    <s v="John"/>
    <x v="2"/>
    <n v="27"/>
    <x v="1"/>
    <s v="Ikeja"/>
    <x v="0"/>
    <s v="Shoes"/>
    <x v="3"/>
    <n v="5"/>
    <n v="22400"/>
    <n v="20"/>
    <n v="89600"/>
    <x v="1"/>
    <x v="0"/>
    <x v="0"/>
    <x v="0"/>
  </r>
  <r>
    <s v="ORD10456"/>
    <x v="266"/>
    <s v="Ruth"/>
    <x v="0"/>
    <n v="46"/>
    <x v="1"/>
    <s v="Ikeja"/>
    <x v="3"/>
    <s v="Chair"/>
    <x v="0"/>
    <n v="9"/>
    <n v="48600"/>
    <n v="0"/>
    <n v="437400"/>
    <x v="2"/>
    <x v="2"/>
    <x v="3"/>
    <x v="0"/>
  </r>
  <r>
    <s v="ORD10457"/>
    <x v="249"/>
    <s v="Emeka"/>
    <x v="1"/>
    <n v="46"/>
    <x v="3"/>
    <s v="Kano"/>
    <x v="0"/>
    <s v="Shoes"/>
    <x v="5"/>
    <n v="1"/>
    <n v="11900"/>
    <n v="10"/>
    <n v="10710"/>
    <x v="1"/>
    <x v="5"/>
    <x v="0"/>
    <x v="0"/>
  </r>
  <r>
    <s v="ORD10460"/>
    <x v="267"/>
    <s v="David"/>
    <x v="1"/>
    <n v="37"/>
    <x v="1"/>
    <s v="Ikeja"/>
    <x v="3"/>
    <s v="Desk"/>
    <x v="5"/>
    <n v="2"/>
    <n v="33300"/>
    <n v="20"/>
    <n v="53280"/>
    <x v="1"/>
    <x v="4"/>
    <x v="2"/>
    <x v="0"/>
  </r>
  <r>
    <s v="ORD10461"/>
    <x v="39"/>
    <s v="Ruth"/>
    <x v="0"/>
    <n v="47"/>
    <x v="3"/>
    <s v="Kano"/>
    <x v="0"/>
    <s v="Shoes"/>
    <x v="5"/>
    <n v="1"/>
    <n v="7200"/>
    <n v="15"/>
    <n v="6120"/>
    <x v="2"/>
    <x v="1"/>
    <x v="1"/>
    <x v="1"/>
  </r>
  <r>
    <s v="ORD10462"/>
    <x v="65"/>
    <s v="Emeka"/>
    <x v="2"/>
    <n v="62"/>
    <x v="3"/>
    <s v="Kano"/>
    <x v="1"/>
    <s v="Laptop"/>
    <x v="5"/>
    <n v="10"/>
    <n v="43600"/>
    <n v="0"/>
    <n v="436000"/>
    <x v="3"/>
    <x v="0"/>
    <x v="3"/>
    <x v="0"/>
  </r>
  <r>
    <s v="ORD10465"/>
    <x v="247"/>
    <s v="Peter"/>
    <x v="0"/>
    <n v="19"/>
    <x v="0"/>
    <s v="Enugu"/>
    <x v="0"/>
    <s v="Shoes"/>
    <x v="4"/>
    <n v="3"/>
    <n v="46000"/>
    <n v="25"/>
    <n v="103500"/>
    <x v="0"/>
    <x v="1"/>
    <x v="2"/>
    <x v="0"/>
  </r>
  <r>
    <s v="ORD10466"/>
    <x v="268"/>
    <s v="Peter"/>
    <x v="0"/>
    <n v="40"/>
    <x v="0"/>
    <s v="Enugu"/>
    <x v="1"/>
    <s v="Phone"/>
    <x v="0"/>
    <n v="2"/>
    <n v="24000"/>
    <n v="0"/>
    <n v="48000"/>
    <x v="0"/>
    <x v="0"/>
    <x v="0"/>
    <x v="0"/>
  </r>
  <r>
    <s v="ORD10469"/>
    <x v="269"/>
    <s v="Peter"/>
    <x v="2"/>
    <n v="61"/>
    <x v="2"/>
    <s v="Wuse"/>
    <x v="2"/>
    <s v="Beans"/>
    <x v="2"/>
    <n v="6"/>
    <n v="11900"/>
    <n v="25"/>
    <n v="53550"/>
    <x v="1"/>
    <x v="0"/>
    <x v="1"/>
    <x v="1"/>
  </r>
  <r>
    <s v="ORD10470"/>
    <x v="152"/>
    <s v="Aisha"/>
    <x v="2"/>
    <n v="33"/>
    <x v="4"/>
    <s v="Ibadan"/>
    <x v="0"/>
    <s v="Shirt"/>
    <x v="4"/>
    <n v="9"/>
    <n v="39400"/>
    <n v="20"/>
    <n v="283680"/>
    <x v="1"/>
    <x v="0"/>
    <x v="2"/>
    <x v="0"/>
  </r>
  <r>
    <s v="ORD10472"/>
    <x v="120"/>
    <s v="Mary"/>
    <x v="2"/>
    <n v="47"/>
    <x v="2"/>
    <s v="Wuse"/>
    <x v="3"/>
    <s v="Desk"/>
    <x v="0"/>
    <n v="5"/>
    <n v="27300"/>
    <n v="15"/>
    <n v="116025"/>
    <x v="2"/>
    <x v="5"/>
    <x v="2"/>
    <x v="0"/>
  </r>
  <r>
    <s v="ORD10474"/>
    <x v="270"/>
    <s v="John"/>
    <x v="1"/>
    <n v="61"/>
    <x v="5"/>
    <s v="Obio"/>
    <x v="3"/>
    <s v="Desk"/>
    <x v="1"/>
    <n v="6"/>
    <n v="49100"/>
    <n v="15"/>
    <n v="250410"/>
    <x v="2"/>
    <x v="2"/>
    <x v="2"/>
    <x v="0"/>
  </r>
  <r>
    <s v="ORD10475"/>
    <x v="127"/>
    <s v="David"/>
    <x v="0"/>
    <n v="30"/>
    <x v="1"/>
    <s v="Ikeja"/>
    <x v="1"/>
    <s v="Phone"/>
    <x v="4"/>
    <n v="10"/>
    <n v="30900"/>
    <n v="10"/>
    <n v="278100"/>
    <x v="2"/>
    <x v="0"/>
    <x v="0"/>
    <x v="0"/>
  </r>
  <r>
    <s v="ORD10477"/>
    <x v="235"/>
    <s v="Aisha"/>
    <x v="2"/>
    <n v="60"/>
    <x v="2"/>
    <s v="Garki"/>
    <x v="2"/>
    <s v="Beans"/>
    <x v="0"/>
    <n v="6"/>
    <n v="34900"/>
    <n v="0"/>
    <n v="209400"/>
    <x v="2"/>
    <x v="5"/>
    <x v="1"/>
    <x v="1"/>
  </r>
  <r>
    <s v="ORD10478"/>
    <x v="271"/>
    <s v="Peter"/>
    <x v="2"/>
    <n v="36"/>
    <x v="5"/>
    <s v="Obio"/>
    <x v="1"/>
    <s v="Laptop"/>
    <x v="0"/>
    <n v="5"/>
    <n v="35100"/>
    <n v="20"/>
    <n v="140400"/>
    <x v="2"/>
    <x v="1"/>
    <x v="2"/>
    <x v="0"/>
  </r>
  <r>
    <s v="ORD10479"/>
    <x v="272"/>
    <s v="Chioma"/>
    <x v="0"/>
    <n v="39"/>
    <x v="4"/>
    <s v="Ogbomosho"/>
    <x v="1"/>
    <s v="Phone"/>
    <x v="1"/>
    <n v="4"/>
    <n v="26600"/>
    <n v="15"/>
    <n v="90440"/>
    <x v="1"/>
    <x v="0"/>
    <x v="3"/>
    <x v="0"/>
  </r>
  <r>
    <s v="ORD10480"/>
    <x v="273"/>
    <s v="Aisha"/>
    <x v="0"/>
    <n v="50"/>
    <x v="4"/>
    <s v="Ogbomosho"/>
    <x v="2"/>
    <s v="Rice"/>
    <x v="1"/>
    <n v="9"/>
    <n v="40100"/>
    <n v="25"/>
    <n v="270675"/>
    <x v="1"/>
    <x v="5"/>
    <x v="2"/>
    <x v="0"/>
  </r>
  <r>
    <s v="ORD10481"/>
    <x v="274"/>
    <s v="Aisha"/>
    <x v="2"/>
    <n v="38"/>
    <x v="5"/>
    <s v="Obio"/>
    <x v="0"/>
    <s v="Shirt"/>
    <x v="1"/>
    <n v="9"/>
    <n v="13300"/>
    <n v="5"/>
    <n v="113715"/>
    <x v="1"/>
    <x v="3"/>
    <x v="3"/>
    <x v="0"/>
  </r>
  <r>
    <s v="ORD10482"/>
    <x v="275"/>
    <s v="Daniel"/>
    <x v="2"/>
    <n v="20"/>
    <x v="0"/>
    <s v="Enugu"/>
    <x v="1"/>
    <s v="Phone"/>
    <x v="1"/>
    <n v="7"/>
    <n v="25100"/>
    <n v="15"/>
    <n v="149345"/>
    <x v="0"/>
    <x v="0"/>
    <x v="2"/>
    <x v="0"/>
  </r>
  <r>
    <s v="ORD10483"/>
    <x v="232"/>
    <s v="Ruth"/>
    <x v="2"/>
    <n v="20"/>
    <x v="5"/>
    <s v="Port Harcourt"/>
    <x v="0"/>
    <s v="Shoes"/>
    <x v="0"/>
    <n v="8"/>
    <n v="13700"/>
    <n v="10"/>
    <n v="98640"/>
    <x v="0"/>
    <x v="0"/>
    <x v="1"/>
    <x v="1"/>
  </r>
  <r>
    <s v="ORD10485"/>
    <x v="146"/>
    <s v="John"/>
    <x v="0"/>
    <n v="30"/>
    <x v="3"/>
    <s v="Kano"/>
    <x v="1"/>
    <s v="Laptop"/>
    <x v="2"/>
    <n v="7"/>
    <n v="26900"/>
    <n v="20"/>
    <n v="150640"/>
    <x v="2"/>
    <x v="4"/>
    <x v="0"/>
    <x v="0"/>
  </r>
  <r>
    <s v="ORD10486"/>
    <x v="125"/>
    <s v="Chioma"/>
    <x v="1"/>
    <n v="40"/>
    <x v="1"/>
    <s v="Lekki"/>
    <x v="0"/>
    <s v="Shirt"/>
    <x v="0"/>
    <n v="4"/>
    <n v="46500"/>
    <n v="20"/>
    <n v="148800"/>
    <x v="1"/>
    <x v="0"/>
    <x v="1"/>
    <x v="1"/>
  </r>
  <r>
    <s v="ORD10488"/>
    <x v="275"/>
    <s v="Peter"/>
    <x v="2"/>
    <n v="22"/>
    <x v="4"/>
    <s v="Ibadan"/>
    <x v="1"/>
    <s v="Laptop"/>
    <x v="0"/>
    <n v="10"/>
    <n v="50000"/>
    <n v="20"/>
    <n v="400000"/>
    <x v="0"/>
    <x v="3"/>
    <x v="2"/>
    <x v="0"/>
  </r>
  <r>
    <s v="ORD10490"/>
    <x v="145"/>
    <s v="Aisha"/>
    <x v="2"/>
    <n v="29"/>
    <x v="3"/>
    <s v="Kano"/>
    <x v="2"/>
    <s v="Rice"/>
    <x v="3"/>
    <n v="9"/>
    <n v="38400"/>
    <n v="10"/>
    <n v="311040"/>
    <x v="2"/>
    <x v="0"/>
    <x v="3"/>
    <x v="0"/>
  </r>
  <r>
    <s v="ORD10491"/>
    <x v="276"/>
    <s v="Daniel"/>
    <x v="2"/>
    <n v="58"/>
    <x v="5"/>
    <s v="Obio"/>
    <x v="0"/>
    <s v="Shirt"/>
    <x v="1"/>
    <n v="9"/>
    <n v="4700"/>
    <n v="15"/>
    <n v="35955"/>
    <x v="1"/>
    <x v="4"/>
    <x v="1"/>
    <x v="1"/>
  </r>
  <r>
    <s v="ORD10492"/>
    <x v="36"/>
    <s v="David"/>
    <x v="2"/>
    <n v="22"/>
    <x v="3"/>
    <s v="Kano"/>
    <x v="1"/>
    <s v="Laptop"/>
    <x v="5"/>
    <n v="1"/>
    <n v="42300"/>
    <n v="10"/>
    <n v="38070"/>
    <x v="1"/>
    <x v="3"/>
    <x v="1"/>
    <x v="1"/>
  </r>
  <r>
    <s v="ORD10493"/>
    <x v="183"/>
    <s v="Ruth"/>
    <x v="1"/>
    <n v="41"/>
    <x v="0"/>
    <s v="Enugu"/>
    <x v="1"/>
    <s v="Phone"/>
    <x v="2"/>
    <n v="3"/>
    <n v="15900"/>
    <n v="10"/>
    <n v="42930"/>
    <x v="1"/>
    <x v="1"/>
    <x v="1"/>
    <x v="1"/>
  </r>
  <r>
    <s v="ORD10494"/>
    <x v="277"/>
    <s v="David"/>
    <x v="0"/>
    <n v="42"/>
    <x v="5"/>
    <s v="Port Harcourt"/>
    <x v="0"/>
    <s v="Shirt"/>
    <x v="4"/>
    <n v="7"/>
    <n v="8900"/>
    <n v="5"/>
    <n v="59185"/>
    <x v="1"/>
    <x v="0"/>
    <x v="2"/>
    <x v="0"/>
  </r>
  <r>
    <s v="ORD10495"/>
    <x v="278"/>
    <s v="Grace"/>
    <x v="0"/>
    <n v="53"/>
    <x v="2"/>
    <s v="Garki"/>
    <x v="0"/>
    <s v="Shirt"/>
    <x v="1"/>
    <n v="10"/>
    <n v="44800"/>
    <n v="25"/>
    <n v="336000"/>
    <x v="1"/>
    <x v="2"/>
    <x v="3"/>
    <x v="0"/>
  </r>
  <r>
    <s v="ORD10496"/>
    <x v="279"/>
    <s v="Daniel"/>
    <x v="2"/>
    <n v="34"/>
    <x v="3"/>
    <s v="Kano"/>
    <x v="0"/>
    <s v="Shirt"/>
    <x v="4"/>
    <n v="10"/>
    <n v="6500"/>
    <n v="20"/>
    <n v="52000"/>
    <x v="1"/>
    <x v="0"/>
    <x v="1"/>
    <x v="1"/>
  </r>
  <r>
    <s v="ORD10497"/>
    <x v="160"/>
    <s v="Ruth"/>
    <x v="0"/>
    <n v="22"/>
    <x v="5"/>
    <s v="Obio"/>
    <x v="3"/>
    <s v="Chair"/>
    <x v="2"/>
    <n v="8"/>
    <n v="41400"/>
    <n v="5"/>
    <n v="314640"/>
    <x v="2"/>
    <x v="4"/>
    <x v="0"/>
    <x v="0"/>
  </r>
  <r>
    <s v="ORD10498"/>
    <x v="280"/>
    <s v="Daniel"/>
    <x v="1"/>
    <n v="46"/>
    <x v="5"/>
    <s v="Port Harcourt"/>
    <x v="0"/>
    <s v="Shirt"/>
    <x v="0"/>
    <n v="4"/>
    <n v="15100"/>
    <n v="0"/>
    <n v="60400"/>
    <x v="1"/>
    <x v="5"/>
    <x v="1"/>
    <x v="1"/>
  </r>
  <r>
    <s v="ORD10499"/>
    <x v="281"/>
    <s v="Ruth"/>
    <x v="0"/>
    <n v="53"/>
    <x v="5"/>
    <s v="Port Harcourt"/>
    <x v="2"/>
    <s v="Beans"/>
    <x v="0"/>
    <n v="5"/>
    <n v="11700"/>
    <n v="0"/>
    <n v="58500"/>
    <x v="3"/>
    <x v="1"/>
    <x v="1"/>
    <x v="1"/>
  </r>
  <r>
    <s v="ORD10500"/>
    <x v="282"/>
    <s v="Grace"/>
    <x v="1"/>
    <n v="37"/>
    <x v="1"/>
    <s v="Ikeja"/>
    <x v="1"/>
    <s v="Laptop"/>
    <x v="1"/>
    <n v="4"/>
    <n v="16700"/>
    <n v="5"/>
    <n v="63460"/>
    <x v="0"/>
    <x v="3"/>
    <x v="3"/>
    <x v="0"/>
  </r>
  <r>
    <s v="ORD10502"/>
    <x v="283"/>
    <s v="Daniel"/>
    <x v="1"/>
    <n v="61"/>
    <x v="1"/>
    <s v="Ikeja"/>
    <x v="2"/>
    <s v="Beans"/>
    <x v="4"/>
    <n v="9"/>
    <n v="38100"/>
    <n v="10"/>
    <n v="308610"/>
    <x v="3"/>
    <x v="0"/>
    <x v="3"/>
    <x v="0"/>
  </r>
  <r>
    <s v="ORD10503"/>
    <x v="119"/>
    <s v="Emeka"/>
    <x v="0"/>
    <n v="63"/>
    <x v="0"/>
    <s v="Enugu"/>
    <x v="3"/>
    <s v="Desk"/>
    <x v="1"/>
    <n v="1"/>
    <n v="43500"/>
    <n v="10"/>
    <n v="39150"/>
    <x v="0"/>
    <x v="3"/>
    <x v="1"/>
    <x v="1"/>
  </r>
  <r>
    <s v="ORD10504"/>
    <x v="74"/>
    <s v="Mary"/>
    <x v="0"/>
    <n v="25"/>
    <x v="0"/>
    <s v="Enugu"/>
    <x v="3"/>
    <s v="Chair"/>
    <x v="3"/>
    <n v="9"/>
    <n v="36200"/>
    <n v="5"/>
    <n v="309510"/>
    <x v="1"/>
    <x v="4"/>
    <x v="1"/>
    <x v="1"/>
  </r>
  <r>
    <s v="ORD10505"/>
    <x v="145"/>
    <s v="Emeka"/>
    <x v="2"/>
    <n v="63"/>
    <x v="0"/>
    <s v="Enugu"/>
    <x v="2"/>
    <s v="Rice"/>
    <x v="0"/>
    <n v="7"/>
    <n v="48900"/>
    <n v="0"/>
    <n v="342300"/>
    <x v="1"/>
    <x v="0"/>
    <x v="0"/>
    <x v="0"/>
  </r>
  <r>
    <s v="ORD10506"/>
    <x v="284"/>
    <s v="Aisha"/>
    <x v="2"/>
    <n v="56"/>
    <x v="5"/>
    <s v="Obio"/>
    <x v="0"/>
    <s v="Shirt"/>
    <x v="2"/>
    <n v="8"/>
    <n v="24000"/>
    <n v="5"/>
    <n v="182400"/>
    <x v="0"/>
    <x v="1"/>
    <x v="2"/>
    <x v="0"/>
  </r>
  <r>
    <s v="ORD10507"/>
    <x v="285"/>
    <s v="Daniel"/>
    <x v="0"/>
    <n v="25"/>
    <x v="3"/>
    <s v="Kano"/>
    <x v="3"/>
    <s v="Desk"/>
    <x v="4"/>
    <n v="2"/>
    <n v="4100"/>
    <n v="20"/>
    <n v="6560"/>
    <x v="1"/>
    <x v="4"/>
    <x v="1"/>
    <x v="1"/>
  </r>
  <r>
    <s v="ORD10508"/>
    <x v="286"/>
    <s v="Emeka"/>
    <x v="2"/>
    <n v="32"/>
    <x v="2"/>
    <s v="Garki"/>
    <x v="0"/>
    <s v="Shirt"/>
    <x v="5"/>
    <n v="7"/>
    <n v="22400"/>
    <n v="10"/>
    <n v="141120"/>
    <x v="2"/>
    <x v="5"/>
    <x v="0"/>
    <x v="0"/>
  </r>
  <r>
    <s v="ORD10511"/>
    <x v="287"/>
    <s v="Ruth"/>
    <x v="1"/>
    <n v="63"/>
    <x v="4"/>
    <s v="Ibadan"/>
    <x v="3"/>
    <s v="Desk"/>
    <x v="0"/>
    <n v="9"/>
    <n v="46600"/>
    <n v="20"/>
    <n v="335520"/>
    <x v="1"/>
    <x v="1"/>
    <x v="0"/>
    <x v="0"/>
  </r>
  <r>
    <s v="ORD10512"/>
    <x v="166"/>
    <s v="Grace"/>
    <x v="2"/>
    <n v="47"/>
    <x v="4"/>
    <s v="Ibadan"/>
    <x v="1"/>
    <s v="Phone"/>
    <x v="3"/>
    <n v="7"/>
    <n v="28700"/>
    <n v="20"/>
    <n v="160720"/>
    <x v="1"/>
    <x v="5"/>
    <x v="0"/>
    <x v="0"/>
  </r>
  <r>
    <s v="ORD10513"/>
    <x v="59"/>
    <s v="Peter"/>
    <x v="2"/>
    <n v="54"/>
    <x v="4"/>
    <s v="Ibadan"/>
    <x v="3"/>
    <s v="Desk"/>
    <x v="0"/>
    <n v="4"/>
    <n v="30500"/>
    <n v="10"/>
    <n v="109800"/>
    <x v="0"/>
    <x v="4"/>
    <x v="0"/>
    <x v="0"/>
  </r>
  <r>
    <s v="ORD10515"/>
    <x v="282"/>
    <s v="Peter"/>
    <x v="0"/>
    <n v="53"/>
    <x v="4"/>
    <s v="Ogbomosho"/>
    <x v="1"/>
    <s v="Laptop"/>
    <x v="0"/>
    <n v="2"/>
    <n v="29300"/>
    <n v="20"/>
    <n v="46880"/>
    <x v="0"/>
    <x v="2"/>
    <x v="1"/>
    <x v="1"/>
  </r>
  <r>
    <s v="ORD10516"/>
    <x v="288"/>
    <s v="Ruth"/>
    <x v="2"/>
    <n v="64"/>
    <x v="3"/>
    <s v="Kano"/>
    <x v="3"/>
    <s v="Chair"/>
    <x v="5"/>
    <n v="7"/>
    <n v="15600"/>
    <n v="0"/>
    <n v="109200"/>
    <x v="1"/>
    <x v="0"/>
    <x v="2"/>
    <x v="0"/>
  </r>
  <r>
    <s v="ORD10517"/>
    <x v="107"/>
    <s v="Chioma"/>
    <x v="0"/>
    <n v="32"/>
    <x v="1"/>
    <s v="Lekki"/>
    <x v="0"/>
    <s v="Shirt"/>
    <x v="5"/>
    <n v="3"/>
    <n v="7900"/>
    <n v="5"/>
    <n v="22515"/>
    <x v="1"/>
    <x v="2"/>
    <x v="1"/>
    <x v="1"/>
  </r>
  <r>
    <s v="ORD10518"/>
    <x v="289"/>
    <s v="Chioma"/>
    <x v="1"/>
    <n v="45"/>
    <x v="0"/>
    <s v="Enugu"/>
    <x v="3"/>
    <s v="Chair"/>
    <x v="3"/>
    <n v="5"/>
    <n v="4800"/>
    <n v="5"/>
    <n v="22800"/>
    <x v="1"/>
    <x v="0"/>
    <x v="0"/>
    <x v="0"/>
  </r>
  <r>
    <s v="ORD10519"/>
    <x v="181"/>
    <s v="Emeka"/>
    <x v="0"/>
    <n v="31"/>
    <x v="1"/>
    <s v="Ikeja"/>
    <x v="0"/>
    <s v="Shirt"/>
    <x v="3"/>
    <n v="4"/>
    <n v="47600"/>
    <n v="5"/>
    <n v="180880"/>
    <x v="0"/>
    <x v="1"/>
    <x v="0"/>
    <x v="0"/>
  </r>
  <r>
    <s v="ORD10520"/>
    <x v="239"/>
    <s v="Daniel"/>
    <x v="0"/>
    <n v="61"/>
    <x v="3"/>
    <s v="Kano"/>
    <x v="0"/>
    <s v="Shoes"/>
    <x v="1"/>
    <n v="8"/>
    <n v="44200"/>
    <n v="15"/>
    <n v="300560"/>
    <x v="3"/>
    <x v="1"/>
    <x v="3"/>
    <x v="0"/>
  </r>
  <r>
    <s v="ORD10521"/>
    <x v="290"/>
    <s v="John"/>
    <x v="2"/>
    <n v="19"/>
    <x v="5"/>
    <s v="Obio"/>
    <x v="1"/>
    <s v="Phone"/>
    <x v="1"/>
    <n v="1"/>
    <n v="28200"/>
    <n v="25"/>
    <n v="21150"/>
    <x v="1"/>
    <x v="0"/>
    <x v="0"/>
    <x v="0"/>
  </r>
  <r>
    <s v="ORD10523"/>
    <x v="291"/>
    <s v="Daniel"/>
    <x v="0"/>
    <n v="63"/>
    <x v="0"/>
    <s v="Enugu"/>
    <x v="0"/>
    <s v="Shirt"/>
    <x v="0"/>
    <n v="6"/>
    <n v="39600"/>
    <n v="15"/>
    <n v="201960"/>
    <x v="2"/>
    <x v="0"/>
    <x v="2"/>
    <x v="0"/>
  </r>
  <r>
    <s v="ORD10524"/>
    <x v="203"/>
    <s v="David"/>
    <x v="1"/>
    <n v="62"/>
    <x v="3"/>
    <s v="Kano"/>
    <x v="2"/>
    <s v="Beans"/>
    <x v="2"/>
    <n v="1"/>
    <n v="19200"/>
    <n v="5"/>
    <n v="18240"/>
    <x v="2"/>
    <x v="1"/>
    <x v="1"/>
    <x v="1"/>
  </r>
  <r>
    <s v="ORD10525"/>
    <x v="292"/>
    <s v="Peter"/>
    <x v="1"/>
    <n v="53"/>
    <x v="0"/>
    <s v="Enugu"/>
    <x v="0"/>
    <s v="Shoes"/>
    <x v="0"/>
    <n v="9"/>
    <n v="22900"/>
    <n v="15"/>
    <n v="175185"/>
    <x v="1"/>
    <x v="0"/>
    <x v="1"/>
    <x v="1"/>
  </r>
  <r>
    <s v="ORD10527"/>
    <x v="15"/>
    <s v="Emeka"/>
    <x v="0"/>
    <n v="44"/>
    <x v="4"/>
    <s v="Ibadan"/>
    <x v="0"/>
    <s v="Shoes"/>
    <x v="5"/>
    <n v="2"/>
    <n v="25900"/>
    <n v="20"/>
    <n v="41440"/>
    <x v="1"/>
    <x v="1"/>
    <x v="1"/>
    <x v="1"/>
  </r>
  <r>
    <s v="ORD10528"/>
    <x v="293"/>
    <s v="Aisha"/>
    <x v="0"/>
    <n v="34"/>
    <x v="5"/>
    <s v="Port Harcourt"/>
    <x v="1"/>
    <s v="Laptop"/>
    <x v="5"/>
    <n v="10"/>
    <n v="44400"/>
    <n v="20"/>
    <n v="355200"/>
    <x v="0"/>
    <x v="0"/>
    <x v="2"/>
    <x v="0"/>
  </r>
  <r>
    <s v="ORD10529"/>
    <x v="294"/>
    <s v="Peter"/>
    <x v="2"/>
    <n v="38"/>
    <x v="5"/>
    <s v="Port Harcourt"/>
    <x v="3"/>
    <s v="Chair"/>
    <x v="3"/>
    <n v="3"/>
    <n v="47200"/>
    <n v="15"/>
    <n v="120360"/>
    <x v="1"/>
    <x v="2"/>
    <x v="2"/>
    <x v="0"/>
  </r>
  <r>
    <s v="ORD10530"/>
    <x v="55"/>
    <s v="Chioma"/>
    <x v="1"/>
    <n v="39"/>
    <x v="2"/>
    <s v="Garki"/>
    <x v="3"/>
    <s v="Desk"/>
    <x v="4"/>
    <n v="8"/>
    <n v="4100"/>
    <n v="0"/>
    <n v="32800"/>
    <x v="0"/>
    <x v="0"/>
    <x v="0"/>
    <x v="0"/>
  </r>
  <r>
    <s v="ORD10532"/>
    <x v="295"/>
    <s v="Mary"/>
    <x v="0"/>
    <n v="36"/>
    <x v="3"/>
    <s v="Kano"/>
    <x v="0"/>
    <s v="Shirt"/>
    <x v="5"/>
    <n v="5"/>
    <n v="3800"/>
    <n v="15"/>
    <n v="16150"/>
    <x v="1"/>
    <x v="0"/>
    <x v="3"/>
    <x v="0"/>
  </r>
  <r>
    <s v="ORD10533"/>
    <x v="296"/>
    <s v="Daniel"/>
    <x v="0"/>
    <n v="36"/>
    <x v="2"/>
    <s v="Garki"/>
    <x v="0"/>
    <s v="Shirt"/>
    <x v="4"/>
    <n v="1"/>
    <n v="42000"/>
    <n v="5"/>
    <n v="39900"/>
    <x v="2"/>
    <x v="0"/>
    <x v="0"/>
    <x v="0"/>
  </r>
  <r>
    <s v="ORD10534"/>
    <x v="217"/>
    <s v="Daniel"/>
    <x v="2"/>
    <n v="50"/>
    <x v="0"/>
    <s v="Enugu"/>
    <x v="1"/>
    <s v="Laptop"/>
    <x v="2"/>
    <n v="10"/>
    <n v="17700"/>
    <n v="25"/>
    <n v="132750"/>
    <x v="1"/>
    <x v="2"/>
    <x v="1"/>
    <x v="1"/>
  </r>
  <r>
    <s v="ORD10536"/>
    <x v="297"/>
    <s v="John"/>
    <x v="1"/>
    <n v="59"/>
    <x v="4"/>
    <s v="Ogbomosho"/>
    <x v="2"/>
    <s v="Rice"/>
    <x v="4"/>
    <n v="5"/>
    <n v="15200"/>
    <n v="25"/>
    <n v="57000"/>
    <x v="0"/>
    <x v="2"/>
    <x v="0"/>
    <x v="0"/>
  </r>
  <r>
    <s v="ORD10539"/>
    <x v="298"/>
    <s v="Peter"/>
    <x v="2"/>
    <n v="64"/>
    <x v="5"/>
    <s v="Obio"/>
    <x v="1"/>
    <s v="Laptop"/>
    <x v="5"/>
    <n v="5"/>
    <n v="15000"/>
    <n v="20"/>
    <n v="60000"/>
    <x v="1"/>
    <x v="5"/>
    <x v="1"/>
    <x v="1"/>
  </r>
  <r>
    <s v="ORD10540"/>
    <x v="38"/>
    <s v="Ruth"/>
    <x v="2"/>
    <n v="53"/>
    <x v="2"/>
    <s v="Garki"/>
    <x v="0"/>
    <s v="Shirt"/>
    <x v="1"/>
    <n v="7"/>
    <n v="19900"/>
    <n v="0"/>
    <n v="139300"/>
    <x v="0"/>
    <x v="0"/>
    <x v="2"/>
    <x v="0"/>
  </r>
  <r>
    <s v="ORD10541"/>
    <x v="158"/>
    <s v="Emeka"/>
    <x v="2"/>
    <n v="43"/>
    <x v="4"/>
    <s v="Ibadan"/>
    <x v="2"/>
    <s v="Beans"/>
    <x v="4"/>
    <n v="4"/>
    <n v="38700"/>
    <n v="0"/>
    <n v="154800"/>
    <x v="0"/>
    <x v="4"/>
    <x v="0"/>
    <x v="0"/>
  </r>
  <r>
    <s v="ORD10542"/>
    <x v="299"/>
    <s v="Mary"/>
    <x v="0"/>
    <n v="55"/>
    <x v="5"/>
    <s v="Obio"/>
    <x v="2"/>
    <s v="Beans"/>
    <x v="1"/>
    <n v="4"/>
    <n v="45800"/>
    <n v="10"/>
    <n v="164880"/>
    <x v="0"/>
    <x v="0"/>
    <x v="1"/>
    <x v="1"/>
  </r>
  <r>
    <s v="ORD10544"/>
    <x v="277"/>
    <s v="John"/>
    <x v="1"/>
    <n v="47"/>
    <x v="3"/>
    <s v="Kano"/>
    <x v="3"/>
    <s v="Chair"/>
    <x v="4"/>
    <n v="5"/>
    <n v="43200"/>
    <n v="20"/>
    <n v="172800"/>
    <x v="2"/>
    <x v="1"/>
    <x v="0"/>
    <x v="0"/>
  </r>
  <r>
    <s v="ORD10546"/>
    <x v="190"/>
    <s v="Emeka"/>
    <x v="2"/>
    <n v="150"/>
    <x v="2"/>
    <s v="Wuse"/>
    <x v="0"/>
    <s v="Shirt"/>
    <x v="2"/>
    <n v="1"/>
    <n v="38700"/>
    <n v="5"/>
    <n v="36765"/>
    <x v="2"/>
    <x v="1"/>
    <x v="3"/>
    <x v="0"/>
  </r>
  <r>
    <s v="ORD10548"/>
    <x v="300"/>
    <s v="Aisha"/>
    <x v="2"/>
    <n v="59"/>
    <x v="1"/>
    <s v="Lekki"/>
    <x v="0"/>
    <s v="Shirt"/>
    <x v="1"/>
    <n v="7"/>
    <n v="41200"/>
    <n v="25"/>
    <n v="216300"/>
    <x v="2"/>
    <x v="0"/>
    <x v="3"/>
    <x v="0"/>
  </r>
  <r>
    <s v="ORD10549"/>
    <x v="142"/>
    <s v="Ruth"/>
    <x v="0"/>
    <n v="54"/>
    <x v="4"/>
    <s v="Ibadan"/>
    <x v="1"/>
    <s v="Phone"/>
    <x v="0"/>
    <n v="4"/>
    <n v="14000"/>
    <n v="10"/>
    <n v="50400"/>
    <x v="0"/>
    <x v="4"/>
    <x v="0"/>
    <x v="0"/>
  </r>
  <r>
    <s v="ORD10550"/>
    <x v="74"/>
    <s v="Chioma"/>
    <x v="0"/>
    <n v="55"/>
    <x v="3"/>
    <s v="Kano"/>
    <x v="2"/>
    <s v="Rice"/>
    <x v="4"/>
    <n v="2"/>
    <n v="14200"/>
    <n v="0"/>
    <n v="28400"/>
    <x v="0"/>
    <x v="3"/>
    <x v="0"/>
    <x v="0"/>
  </r>
  <r>
    <s v="ORD10551"/>
    <x v="161"/>
    <s v="Ruth"/>
    <x v="1"/>
    <n v="24"/>
    <x v="1"/>
    <s v="Lekki"/>
    <x v="0"/>
    <s v="Shoes"/>
    <x v="5"/>
    <n v="3"/>
    <n v="9900"/>
    <n v="0"/>
    <n v="29700"/>
    <x v="0"/>
    <x v="0"/>
    <x v="3"/>
    <x v="0"/>
  </r>
  <r>
    <s v="ORD10554"/>
    <x v="301"/>
    <s v="Mary"/>
    <x v="2"/>
    <n v="26"/>
    <x v="2"/>
    <s v="Wuse"/>
    <x v="0"/>
    <s v="Shirt"/>
    <x v="3"/>
    <n v="3"/>
    <n v="25900"/>
    <n v="20"/>
    <n v="62160"/>
    <x v="1"/>
    <x v="0"/>
    <x v="0"/>
    <x v="0"/>
  </r>
  <r>
    <s v="ORD10555"/>
    <x v="302"/>
    <s v="Grace"/>
    <x v="2"/>
    <n v="41"/>
    <x v="2"/>
    <s v="Wuse"/>
    <x v="3"/>
    <s v="Desk"/>
    <x v="2"/>
    <n v="2"/>
    <n v="30400"/>
    <n v="20"/>
    <n v="48640"/>
    <x v="0"/>
    <x v="4"/>
    <x v="1"/>
    <x v="1"/>
  </r>
  <r>
    <s v="ORD10556"/>
    <x v="204"/>
    <s v="Daniel"/>
    <x v="1"/>
    <n v="43"/>
    <x v="3"/>
    <s v="Kano"/>
    <x v="3"/>
    <s v="Chair"/>
    <x v="5"/>
    <n v="4"/>
    <n v="15100"/>
    <n v="25"/>
    <n v="45300"/>
    <x v="0"/>
    <x v="0"/>
    <x v="1"/>
    <x v="1"/>
  </r>
  <r>
    <s v="ORD10558"/>
    <x v="303"/>
    <s v="Peter"/>
    <x v="1"/>
    <n v="52"/>
    <x v="1"/>
    <s v="Ikeja"/>
    <x v="0"/>
    <s v="Shirt"/>
    <x v="1"/>
    <n v="1"/>
    <n v="40100"/>
    <n v="15"/>
    <n v="34085"/>
    <x v="1"/>
    <x v="0"/>
    <x v="3"/>
    <x v="0"/>
  </r>
  <r>
    <s v="ORD10559"/>
    <x v="272"/>
    <s v="Aisha"/>
    <x v="0"/>
    <n v="62"/>
    <x v="0"/>
    <s v="Enugu"/>
    <x v="1"/>
    <s v="Laptop"/>
    <x v="0"/>
    <n v="3"/>
    <n v="33500"/>
    <n v="0"/>
    <n v="100500"/>
    <x v="1"/>
    <x v="3"/>
    <x v="2"/>
    <x v="0"/>
  </r>
  <r>
    <s v="ORD10560"/>
    <x v="110"/>
    <s v="Peter"/>
    <x v="2"/>
    <n v="18"/>
    <x v="1"/>
    <s v="Lekki"/>
    <x v="1"/>
    <s v="Phone"/>
    <x v="5"/>
    <n v="6"/>
    <n v="30000"/>
    <n v="25"/>
    <n v="135000"/>
    <x v="1"/>
    <x v="3"/>
    <x v="2"/>
    <x v="0"/>
  </r>
  <r>
    <s v="ORD10561"/>
    <x v="304"/>
    <s v="Daniel"/>
    <x v="2"/>
    <n v="21"/>
    <x v="1"/>
    <s v="Ikeja"/>
    <x v="0"/>
    <s v="Shirt"/>
    <x v="2"/>
    <n v="8"/>
    <n v="11300"/>
    <n v="5"/>
    <n v="85880"/>
    <x v="1"/>
    <x v="4"/>
    <x v="0"/>
    <x v="0"/>
  </r>
  <r>
    <s v="ORD10563"/>
    <x v="305"/>
    <s v="Ruth"/>
    <x v="0"/>
    <n v="49"/>
    <x v="4"/>
    <s v="Ibadan"/>
    <x v="0"/>
    <s v="Shirt"/>
    <x v="0"/>
    <n v="7"/>
    <n v="28000"/>
    <n v="25"/>
    <n v="147000"/>
    <x v="0"/>
    <x v="2"/>
    <x v="0"/>
    <x v="0"/>
  </r>
  <r>
    <s v="ORD10564"/>
    <x v="166"/>
    <s v="Chioma"/>
    <x v="2"/>
    <n v="56"/>
    <x v="5"/>
    <s v="Obio"/>
    <x v="0"/>
    <s v="Shirt"/>
    <x v="4"/>
    <n v="1"/>
    <n v="7200"/>
    <n v="20"/>
    <n v="5760"/>
    <x v="2"/>
    <x v="3"/>
    <x v="0"/>
    <x v="0"/>
  </r>
  <r>
    <s v="ORD10565"/>
    <x v="306"/>
    <s v="Chioma"/>
    <x v="0"/>
    <n v="29"/>
    <x v="4"/>
    <s v="Ogbomosho"/>
    <x v="1"/>
    <s v="Laptop"/>
    <x v="5"/>
    <n v="2"/>
    <n v="31900"/>
    <n v="20"/>
    <n v="51040"/>
    <x v="1"/>
    <x v="3"/>
    <x v="0"/>
    <x v="0"/>
  </r>
  <r>
    <s v="ORD10566"/>
    <x v="307"/>
    <s v="Aisha"/>
    <x v="0"/>
    <n v="31"/>
    <x v="3"/>
    <s v="Kano"/>
    <x v="1"/>
    <s v="Phone"/>
    <x v="4"/>
    <n v="1"/>
    <n v="22400"/>
    <n v="20"/>
    <n v="17920"/>
    <x v="1"/>
    <x v="0"/>
    <x v="0"/>
    <x v="0"/>
  </r>
  <r>
    <s v="ORD10567"/>
    <x v="308"/>
    <s v="Aisha"/>
    <x v="0"/>
    <n v="62"/>
    <x v="3"/>
    <s v="Kano"/>
    <x v="2"/>
    <s v="Beans"/>
    <x v="5"/>
    <n v="7"/>
    <n v="13400"/>
    <n v="15"/>
    <n v="79730"/>
    <x v="1"/>
    <x v="3"/>
    <x v="3"/>
    <x v="0"/>
  </r>
  <r>
    <s v="ORD10568"/>
    <x v="309"/>
    <s v="Emeka"/>
    <x v="2"/>
    <n v="51"/>
    <x v="1"/>
    <s v="Ikeja"/>
    <x v="0"/>
    <s v="Shoes"/>
    <x v="5"/>
    <n v="8"/>
    <n v="3200"/>
    <n v="15"/>
    <n v="21760"/>
    <x v="0"/>
    <x v="2"/>
    <x v="2"/>
    <x v="0"/>
  </r>
  <r>
    <s v="ORD10569"/>
    <x v="310"/>
    <s v="Daniel"/>
    <x v="1"/>
    <n v="64"/>
    <x v="2"/>
    <s v="Garki"/>
    <x v="1"/>
    <s v="Laptop"/>
    <x v="0"/>
    <n v="9"/>
    <n v="35600"/>
    <n v="20"/>
    <n v="256320"/>
    <x v="1"/>
    <x v="0"/>
    <x v="3"/>
    <x v="0"/>
  </r>
  <r>
    <s v="ORD10570"/>
    <x v="139"/>
    <s v="Emeka"/>
    <x v="0"/>
    <n v="51"/>
    <x v="5"/>
    <s v="Port Harcourt"/>
    <x v="3"/>
    <s v="Desk"/>
    <x v="5"/>
    <n v="9"/>
    <n v="38500"/>
    <n v="25"/>
    <n v="259875"/>
    <x v="2"/>
    <x v="1"/>
    <x v="3"/>
    <x v="0"/>
  </r>
  <r>
    <s v="ORD10573"/>
    <x v="284"/>
    <s v="Chioma"/>
    <x v="1"/>
    <n v="60"/>
    <x v="0"/>
    <s v="Enugu"/>
    <x v="2"/>
    <s v="Beans"/>
    <x v="2"/>
    <n v="9"/>
    <n v="10500"/>
    <n v="25"/>
    <n v="70875"/>
    <x v="2"/>
    <x v="3"/>
    <x v="2"/>
    <x v="0"/>
  </r>
  <r>
    <s v="ORD10574"/>
    <x v="94"/>
    <s v="Emeka"/>
    <x v="0"/>
    <n v="20"/>
    <x v="0"/>
    <s v="Enugu"/>
    <x v="3"/>
    <s v="Desk"/>
    <x v="0"/>
    <n v="7"/>
    <n v="40800"/>
    <n v="15"/>
    <n v="242760"/>
    <x v="0"/>
    <x v="3"/>
    <x v="3"/>
    <x v="0"/>
  </r>
  <r>
    <s v="ORD10575"/>
    <x v="311"/>
    <s v="Aisha"/>
    <x v="0"/>
    <n v="65"/>
    <x v="1"/>
    <s v="Lekki"/>
    <x v="1"/>
    <s v="Phone"/>
    <x v="4"/>
    <n v="7"/>
    <n v="28700"/>
    <n v="20"/>
    <n v="160720"/>
    <x v="0"/>
    <x v="0"/>
    <x v="3"/>
    <x v="0"/>
  </r>
  <r>
    <s v="ORD10576"/>
    <x v="295"/>
    <s v="John"/>
    <x v="0"/>
    <n v="41"/>
    <x v="2"/>
    <s v="Garki"/>
    <x v="1"/>
    <s v="Phone"/>
    <x v="3"/>
    <n v="3"/>
    <n v="44800"/>
    <n v="5"/>
    <n v="127680"/>
    <x v="1"/>
    <x v="5"/>
    <x v="0"/>
    <x v="0"/>
  </r>
  <r>
    <s v="ORD10577"/>
    <x v="312"/>
    <s v="John"/>
    <x v="1"/>
    <n v="59"/>
    <x v="4"/>
    <s v="Ogbomosho"/>
    <x v="0"/>
    <s v="Shoes"/>
    <x v="0"/>
    <n v="6"/>
    <n v="33200"/>
    <n v="15"/>
    <n v="169320"/>
    <x v="0"/>
    <x v="3"/>
    <x v="0"/>
    <x v="0"/>
  </r>
  <r>
    <s v="ORD10578"/>
    <x v="70"/>
    <s v="Peter"/>
    <x v="2"/>
    <n v="29"/>
    <x v="0"/>
    <s v="Enugu"/>
    <x v="3"/>
    <s v="Chair"/>
    <x v="4"/>
    <n v="1"/>
    <n v="13900"/>
    <n v="0"/>
    <n v="13900"/>
    <x v="1"/>
    <x v="0"/>
    <x v="3"/>
    <x v="0"/>
  </r>
  <r>
    <s v="ORD10579"/>
    <x v="160"/>
    <s v="David"/>
    <x v="0"/>
    <n v="43"/>
    <x v="4"/>
    <s v="Ogbomosho"/>
    <x v="1"/>
    <s v="Phone"/>
    <x v="1"/>
    <n v="10"/>
    <n v="18200"/>
    <n v="10"/>
    <n v="163800"/>
    <x v="1"/>
    <x v="5"/>
    <x v="2"/>
    <x v="0"/>
  </r>
  <r>
    <s v="ORD10580"/>
    <x v="216"/>
    <s v="Peter"/>
    <x v="2"/>
    <n v="22"/>
    <x v="5"/>
    <s v="Port Harcourt"/>
    <x v="3"/>
    <s v="Desk"/>
    <x v="5"/>
    <n v="10"/>
    <n v="27900"/>
    <n v="5"/>
    <n v="265050"/>
    <x v="1"/>
    <x v="4"/>
    <x v="1"/>
    <x v="1"/>
  </r>
  <r>
    <s v="ORD10581"/>
    <x v="70"/>
    <s v="Ruth"/>
    <x v="1"/>
    <n v="47"/>
    <x v="0"/>
    <s v="Enugu"/>
    <x v="0"/>
    <s v="Shirt"/>
    <x v="3"/>
    <n v="6"/>
    <n v="40300"/>
    <n v="5"/>
    <n v="229710"/>
    <x v="1"/>
    <x v="5"/>
    <x v="2"/>
    <x v="0"/>
  </r>
  <r>
    <s v="ORD10582"/>
    <x v="234"/>
    <s v="Mary"/>
    <x v="0"/>
    <n v="49"/>
    <x v="5"/>
    <s v="Port Harcourt"/>
    <x v="2"/>
    <s v="Beans"/>
    <x v="0"/>
    <n v="8"/>
    <n v="3300"/>
    <n v="15"/>
    <n v="22440"/>
    <x v="0"/>
    <x v="2"/>
    <x v="0"/>
    <x v="0"/>
  </r>
  <r>
    <s v="ORD10583"/>
    <x v="1"/>
    <s v="Peter"/>
    <x v="2"/>
    <n v="22"/>
    <x v="1"/>
    <s v="Lekki"/>
    <x v="2"/>
    <s v="Rice"/>
    <x v="3"/>
    <n v="1"/>
    <n v="21700"/>
    <n v="20"/>
    <n v="17360"/>
    <x v="1"/>
    <x v="2"/>
    <x v="0"/>
    <x v="0"/>
  </r>
  <r>
    <s v="ORD10584"/>
    <x v="313"/>
    <s v="Aisha"/>
    <x v="0"/>
    <n v="38"/>
    <x v="2"/>
    <s v="Wuse"/>
    <x v="3"/>
    <s v="Chair"/>
    <x v="3"/>
    <n v="9"/>
    <n v="49100"/>
    <n v="0"/>
    <n v="441900"/>
    <x v="1"/>
    <x v="5"/>
    <x v="3"/>
    <x v="0"/>
  </r>
  <r>
    <s v="ORD10585"/>
    <x v="106"/>
    <s v="Peter"/>
    <x v="1"/>
    <n v="65"/>
    <x v="5"/>
    <s v="Obio"/>
    <x v="2"/>
    <s v="Rice"/>
    <x v="5"/>
    <n v="9"/>
    <n v="39200"/>
    <n v="20"/>
    <n v="282240"/>
    <x v="1"/>
    <x v="0"/>
    <x v="3"/>
    <x v="0"/>
  </r>
  <r>
    <s v="ORD10586"/>
    <x v="93"/>
    <s v="John"/>
    <x v="0"/>
    <n v="48"/>
    <x v="3"/>
    <s v="Kano"/>
    <x v="0"/>
    <s v="Shirt"/>
    <x v="1"/>
    <n v="7"/>
    <n v="41200"/>
    <n v="25"/>
    <n v="216300"/>
    <x v="1"/>
    <x v="4"/>
    <x v="1"/>
    <x v="1"/>
  </r>
  <r>
    <s v="ORD10587"/>
    <x v="236"/>
    <s v="Peter"/>
    <x v="0"/>
    <n v="53"/>
    <x v="1"/>
    <s v="Lekki"/>
    <x v="0"/>
    <s v="Shoes"/>
    <x v="0"/>
    <n v="6"/>
    <n v="19300"/>
    <n v="15"/>
    <n v="98430"/>
    <x v="2"/>
    <x v="2"/>
    <x v="3"/>
    <x v="0"/>
  </r>
  <r>
    <s v="ORD10588"/>
    <x v="146"/>
    <s v="Grace"/>
    <x v="0"/>
    <n v="18"/>
    <x v="2"/>
    <s v="Garki"/>
    <x v="0"/>
    <s v="Shoes"/>
    <x v="5"/>
    <n v="3"/>
    <n v="17800"/>
    <n v="15"/>
    <n v="45390"/>
    <x v="1"/>
    <x v="2"/>
    <x v="2"/>
    <x v="0"/>
  </r>
  <r>
    <s v="ORD10589"/>
    <x v="245"/>
    <s v="Daniel"/>
    <x v="2"/>
    <n v="33"/>
    <x v="5"/>
    <s v="Obio"/>
    <x v="3"/>
    <s v="Desk"/>
    <x v="4"/>
    <n v="7"/>
    <n v="12700"/>
    <n v="5"/>
    <n v="84455"/>
    <x v="1"/>
    <x v="4"/>
    <x v="3"/>
    <x v="0"/>
  </r>
  <r>
    <s v="ORD10590"/>
    <x v="314"/>
    <s v="Grace"/>
    <x v="0"/>
    <n v="32"/>
    <x v="0"/>
    <s v="Enugu"/>
    <x v="0"/>
    <s v="Shirt"/>
    <x v="3"/>
    <n v="9"/>
    <n v="7900"/>
    <n v="0"/>
    <n v="71100"/>
    <x v="2"/>
    <x v="0"/>
    <x v="0"/>
    <x v="0"/>
  </r>
  <r>
    <s v="ORD10591"/>
    <x v="315"/>
    <s v="Aisha"/>
    <x v="2"/>
    <n v="37"/>
    <x v="2"/>
    <s v="Wuse"/>
    <x v="3"/>
    <s v="Desk"/>
    <x v="3"/>
    <n v="8"/>
    <n v="8000"/>
    <n v="0"/>
    <n v="64000"/>
    <x v="2"/>
    <x v="5"/>
    <x v="0"/>
    <x v="0"/>
  </r>
  <r>
    <s v="ORD10592"/>
    <x v="71"/>
    <s v="Grace"/>
    <x v="1"/>
    <n v="27"/>
    <x v="5"/>
    <s v="Port Harcourt"/>
    <x v="0"/>
    <s v="Shirt"/>
    <x v="0"/>
    <n v="8"/>
    <n v="49200"/>
    <n v="5"/>
    <n v="373920"/>
    <x v="0"/>
    <x v="3"/>
    <x v="1"/>
    <x v="1"/>
  </r>
  <r>
    <s v="ORD10593"/>
    <x v="316"/>
    <s v="John"/>
    <x v="1"/>
    <n v="27"/>
    <x v="0"/>
    <s v="Enugu"/>
    <x v="2"/>
    <s v="Beans"/>
    <x v="5"/>
    <n v="7"/>
    <n v="23800"/>
    <n v="15"/>
    <n v="141610"/>
    <x v="2"/>
    <x v="2"/>
    <x v="0"/>
    <x v="0"/>
  </r>
  <r>
    <s v="ORD10594"/>
    <x v="317"/>
    <s v="Chioma"/>
    <x v="2"/>
    <n v="37"/>
    <x v="3"/>
    <s v="Kano"/>
    <x v="2"/>
    <s v="Beans"/>
    <x v="5"/>
    <n v="3"/>
    <n v="24300"/>
    <n v="0"/>
    <n v="72900"/>
    <x v="1"/>
    <x v="1"/>
    <x v="0"/>
    <x v="0"/>
  </r>
  <r>
    <s v="ORD10597"/>
    <x v="318"/>
    <s v="Peter"/>
    <x v="1"/>
    <n v="61"/>
    <x v="3"/>
    <s v="Kano"/>
    <x v="3"/>
    <s v="Desk"/>
    <x v="0"/>
    <n v="6"/>
    <n v="25700"/>
    <n v="10"/>
    <n v="138780"/>
    <x v="2"/>
    <x v="2"/>
    <x v="0"/>
    <x v="0"/>
  </r>
  <r>
    <s v="ORD10599"/>
    <x v="197"/>
    <s v="David"/>
    <x v="0"/>
    <n v="23"/>
    <x v="2"/>
    <s v="Wuse"/>
    <x v="0"/>
    <s v="Shoes"/>
    <x v="1"/>
    <n v="8"/>
    <n v="6500"/>
    <n v="10"/>
    <n v="46800"/>
    <x v="1"/>
    <x v="0"/>
    <x v="1"/>
    <x v="1"/>
  </r>
  <r>
    <s v="ORD10600"/>
    <x v="202"/>
    <s v="Aisha"/>
    <x v="1"/>
    <n v="27"/>
    <x v="1"/>
    <s v="Ikeja"/>
    <x v="3"/>
    <s v="Chair"/>
    <x v="0"/>
    <n v="7"/>
    <n v="16200"/>
    <n v="0"/>
    <n v="113400"/>
    <x v="2"/>
    <x v="3"/>
    <x v="1"/>
    <x v="1"/>
  </r>
  <r>
    <s v="ORD10601"/>
    <x v="167"/>
    <s v="Peter"/>
    <x v="1"/>
    <n v="38"/>
    <x v="1"/>
    <s v="Ikeja"/>
    <x v="2"/>
    <s v="Beans"/>
    <x v="4"/>
    <n v="7"/>
    <n v="7800"/>
    <n v="5"/>
    <n v="51870"/>
    <x v="1"/>
    <x v="0"/>
    <x v="1"/>
    <x v="1"/>
  </r>
  <r>
    <s v="ORD10602"/>
    <x v="56"/>
    <s v="David"/>
    <x v="0"/>
    <n v="32"/>
    <x v="0"/>
    <s v="Enugu"/>
    <x v="1"/>
    <s v="Phone"/>
    <x v="5"/>
    <n v="6"/>
    <n v="29500"/>
    <n v="0"/>
    <n v="177000"/>
    <x v="2"/>
    <x v="5"/>
    <x v="0"/>
    <x v="0"/>
  </r>
  <r>
    <s v="ORD10603"/>
    <x v="319"/>
    <s v="John"/>
    <x v="1"/>
    <n v="65"/>
    <x v="1"/>
    <s v="Ikeja"/>
    <x v="0"/>
    <s v="Shoes"/>
    <x v="3"/>
    <n v="2"/>
    <n v="43100"/>
    <n v="10"/>
    <n v="77580"/>
    <x v="1"/>
    <x v="0"/>
    <x v="1"/>
    <x v="1"/>
  </r>
  <r>
    <s v="ORD10604"/>
    <x v="46"/>
    <s v="David"/>
    <x v="0"/>
    <n v="40"/>
    <x v="3"/>
    <s v="Kano"/>
    <x v="2"/>
    <s v="Rice"/>
    <x v="1"/>
    <n v="6"/>
    <n v="16200"/>
    <n v="15"/>
    <n v="82620"/>
    <x v="2"/>
    <x v="3"/>
    <x v="3"/>
    <x v="0"/>
  </r>
  <r>
    <s v="ORD10606"/>
    <x v="320"/>
    <s v="Mary"/>
    <x v="1"/>
    <n v="22"/>
    <x v="2"/>
    <s v="Garki"/>
    <x v="3"/>
    <s v="Chair"/>
    <x v="4"/>
    <n v="5"/>
    <n v="24100"/>
    <n v="20"/>
    <n v="96400"/>
    <x v="2"/>
    <x v="5"/>
    <x v="2"/>
    <x v="0"/>
  </r>
  <r>
    <s v="ORD10607"/>
    <x v="321"/>
    <s v="Ruth"/>
    <x v="2"/>
    <n v="33"/>
    <x v="1"/>
    <s v="Ikeja"/>
    <x v="1"/>
    <s v="Laptop"/>
    <x v="1"/>
    <n v="7"/>
    <n v="19600"/>
    <n v="15"/>
    <n v="116620"/>
    <x v="1"/>
    <x v="0"/>
    <x v="2"/>
    <x v="0"/>
  </r>
  <r>
    <s v="ORD10608"/>
    <x v="178"/>
    <s v="Emeka"/>
    <x v="2"/>
    <n v="32"/>
    <x v="5"/>
    <s v="Port Harcourt"/>
    <x v="3"/>
    <s v="Chair"/>
    <x v="2"/>
    <n v="9"/>
    <n v="37800"/>
    <n v="0"/>
    <n v="340200"/>
    <x v="1"/>
    <x v="2"/>
    <x v="0"/>
    <x v="0"/>
  </r>
  <r>
    <s v="ORD10609"/>
    <x v="322"/>
    <s v="David"/>
    <x v="0"/>
    <n v="57"/>
    <x v="5"/>
    <s v="Obio"/>
    <x v="2"/>
    <s v="Rice"/>
    <x v="0"/>
    <n v="5"/>
    <n v="4300"/>
    <n v="0"/>
    <n v="21500"/>
    <x v="2"/>
    <x v="4"/>
    <x v="3"/>
    <x v="0"/>
  </r>
  <r>
    <s v="ORD10610"/>
    <x v="323"/>
    <s v="Grace"/>
    <x v="2"/>
    <n v="32"/>
    <x v="3"/>
    <s v="Kano"/>
    <x v="3"/>
    <s v="Desk"/>
    <x v="1"/>
    <n v="2"/>
    <n v="42100"/>
    <n v="0"/>
    <n v="84200"/>
    <x v="0"/>
    <x v="3"/>
    <x v="1"/>
    <x v="1"/>
  </r>
  <r>
    <s v="ORD10611"/>
    <x v="324"/>
    <s v="John"/>
    <x v="1"/>
    <n v="65"/>
    <x v="3"/>
    <s v="Kano"/>
    <x v="3"/>
    <s v="Chair"/>
    <x v="4"/>
    <n v="6"/>
    <n v="16700"/>
    <n v="10"/>
    <n v="90180"/>
    <x v="2"/>
    <x v="0"/>
    <x v="0"/>
    <x v="0"/>
  </r>
  <r>
    <s v="ORD10612"/>
    <x v="325"/>
    <s v="Ruth"/>
    <x v="1"/>
    <n v="58"/>
    <x v="2"/>
    <s v="Garki"/>
    <x v="0"/>
    <s v="Shoes"/>
    <x v="2"/>
    <n v="5"/>
    <n v="18500"/>
    <n v="25"/>
    <n v="69375"/>
    <x v="1"/>
    <x v="2"/>
    <x v="1"/>
    <x v="1"/>
  </r>
  <r>
    <s v="ORD10616"/>
    <x v="326"/>
    <s v="Aisha"/>
    <x v="0"/>
    <n v="51"/>
    <x v="4"/>
    <s v="Ibadan"/>
    <x v="1"/>
    <s v="Phone"/>
    <x v="3"/>
    <n v="9"/>
    <n v="4200"/>
    <n v="0"/>
    <n v="37800"/>
    <x v="1"/>
    <x v="1"/>
    <x v="2"/>
    <x v="0"/>
  </r>
  <r>
    <s v="ORD10617"/>
    <x v="173"/>
    <s v="David"/>
    <x v="0"/>
    <n v="25"/>
    <x v="3"/>
    <s v="Kano"/>
    <x v="1"/>
    <s v="Laptop"/>
    <x v="2"/>
    <n v="10"/>
    <n v="17200"/>
    <n v="5"/>
    <n v="163400"/>
    <x v="0"/>
    <x v="1"/>
    <x v="0"/>
    <x v="0"/>
  </r>
  <r>
    <s v="ORD10618"/>
    <x v="327"/>
    <s v="John"/>
    <x v="0"/>
    <n v="57"/>
    <x v="3"/>
    <s v="Kano"/>
    <x v="2"/>
    <s v="Beans"/>
    <x v="5"/>
    <n v="1"/>
    <n v="14500"/>
    <n v="15"/>
    <n v="12325"/>
    <x v="1"/>
    <x v="4"/>
    <x v="0"/>
    <x v="0"/>
  </r>
  <r>
    <s v="ORD10619"/>
    <x v="328"/>
    <s v="Daniel"/>
    <x v="2"/>
    <n v="29"/>
    <x v="2"/>
    <s v="Garki"/>
    <x v="2"/>
    <s v="Beans"/>
    <x v="2"/>
    <n v="3"/>
    <n v="27600"/>
    <n v="10"/>
    <n v="74520"/>
    <x v="2"/>
    <x v="4"/>
    <x v="0"/>
    <x v="0"/>
  </r>
  <r>
    <s v="ORD10620"/>
    <x v="329"/>
    <s v="Peter"/>
    <x v="0"/>
    <n v="25"/>
    <x v="1"/>
    <s v="Ikeja"/>
    <x v="1"/>
    <s v="Laptop"/>
    <x v="3"/>
    <n v="4"/>
    <n v="4100"/>
    <n v="0"/>
    <n v="16400"/>
    <x v="2"/>
    <x v="1"/>
    <x v="1"/>
    <x v="1"/>
  </r>
  <r>
    <s v="ORD10621"/>
    <x v="167"/>
    <s v="Ruth"/>
    <x v="2"/>
    <n v="23"/>
    <x v="5"/>
    <s v="Port Harcourt"/>
    <x v="2"/>
    <s v="Beans"/>
    <x v="5"/>
    <n v="8"/>
    <n v="30500"/>
    <n v="25"/>
    <n v="183000"/>
    <x v="2"/>
    <x v="3"/>
    <x v="0"/>
    <x v="0"/>
  </r>
  <r>
    <s v="ORD10622"/>
    <x v="112"/>
    <s v="Grace"/>
    <x v="0"/>
    <n v="24"/>
    <x v="4"/>
    <s v="Ibadan"/>
    <x v="0"/>
    <s v="Shirt"/>
    <x v="3"/>
    <n v="2"/>
    <n v="34600"/>
    <n v="15"/>
    <n v="58820"/>
    <x v="1"/>
    <x v="0"/>
    <x v="1"/>
    <x v="1"/>
  </r>
  <r>
    <s v="ORD10623"/>
    <x v="157"/>
    <s v="Grace"/>
    <x v="2"/>
    <n v="49"/>
    <x v="0"/>
    <s v="Enugu"/>
    <x v="1"/>
    <s v="Laptop"/>
    <x v="2"/>
    <n v="8"/>
    <n v="40500"/>
    <n v="20"/>
    <n v="259200"/>
    <x v="1"/>
    <x v="0"/>
    <x v="1"/>
    <x v="1"/>
  </r>
  <r>
    <s v="ORD10624"/>
    <x v="330"/>
    <s v="John"/>
    <x v="0"/>
    <n v="25"/>
    <x v="1"/>
    <s v="Lekki"/>
    <x v="3"/>
    <s v="Chair"/>
    <x v="1"/>
    <n v="8"/>
    <n v="43300"/>
    <n v="5"/>
    <n v="329080"/>
    <x v="1"/>
    <x v="2"/>
    <x v="1"/>
    <x v="1"/>
  </r>
  <r>
    <s v="ORD10625"/>
    <x v="2"/>
    <s v="Daniel"/>
    <x v="2"/>
    <n v="28"/>
    <x v="1"/>
    <s v="Lekki"/>
    <x v="1"/>
    <s v="Laptop"/>
    <x v="3"/>
    <n v="3"/>
    <n v="20500"/>
    <n v="0"/>
    <n v="61500"/>
    <x v="0"/>
    <x v="5"/>
    <x v="0"/>
    <x v="0"/>
  </r>
  <r>
    <s v="ORD10627"/>
    <x v="222"/>
    <s v="Daniel"/>
    <x v="0"/>
    <n v="37"/>
    <x v="5"/>
    <s v="Obio"/>
    <x v="0"/>
    <s v="Shoes"/>
    <x v="3"/>
    <n v="1"/>
    <n v="7600"/>
    <n v="15"/>
    <n v="6460"/>
    <x v="2"/>
    <x v="5"/>
    <x v="2"/>
    <x v="0"/>
  </r>
  <r>
    <s v="ORD10629"/>
    <x v="160"/>
    <s v="Peter"/>
    <x v="0"/>
    <n v="35"/>
    <x v="3"/>
    <s v="Kano"/>
    <x v="1"/>
    <s v="Laptop"/>
    <x v="4"/>
    <n v="8"/>
    <n v="10600"/>
    <n v="15"/>
    <n v="72080"/>
    <x v="2"/>
    <x v="0"/>
    <x v="1"/>
    <x v="1"/>
  </r>
  <r>
    <s v="ORD10631"/>
    <x v="109"/>
    <s v="Mary"/>
    <x v="2"/>
    <n v="56"/>
    <x v="4"/>
    <s v="Ogbomosho"/>
    <x v="1"/>
    <s v="Laptop"/>
    <x v="4"/>
    <n v="10"/>
    <n v="7800"/>
    <n v="0"/>
    <n v="78000"/>
    <x v="1"/>
    <x v="0"/>
    <x v="1"/>
    <x v="1"/>
  </r>
  <r>
    <s v="ORD10632"/>
    <x v="197"/>
    <s v="David"/>
    <x v="1"/>
    <n v="19"/>
    <x v="5"/>
    <s v="Obio"/>
    <x v="0"/>
    <s v="Shoes"/>
    <x v="0"/>
    <n v="1"/>
    <n v="49200"/>
    <n v="5"/>
    <n v="46740"/>
    <x v="1"/>
    <x v="1"/>
    <x v="3"/>
    <x v="0"/>
  </r>
  <r>
    <s v="ORD10633"/>
    <x v="331"/>
    <s v="John"/>
    <x v="1"/>
    <n v="65"/>
    <x v="5"/>
    <s v="Obio"/>
    <x v="1"/>
    <s v="Phone"/>
    <x v="1"/>
    <n v="9"/>
    <n v="13400"/>
    <n v="25"/>
    <n v="90450"/>
    <x v="2"/>
    <x v="1"/>
    <x v="1"/>
    <x v="1"/>
  </r>
  <r>
    <s v="ORD10634"/>
    <x v="108"/>
    <s v="Mary"/>
    <x v="0"/>
    <n v="18"/>
    <x v="4"/>
    <s v="Ibadan"/>
    <x v="3"/>
    <s v="Desk"/>
    <x v="3"/>
    <n v="10"/>
    <n v="12900"/>
    <n v="0"/>
    <n v="129000"/>
    <x v="0"/>
    <x v="0"/>
    <x v="2"/>
    <x v="0"/>
  </r>
  <r>
    <s v="ORD10635"/>
    <x v="254"/>
    <s v="Peter"/>
    <x v="0"/>
    <n v="51"/>
    <x v="5"/>
    <s v="Obio"/>
    <x v="0"/>
    <s v="Shoes"/>
    <x v="4"/>
    <n v="5"/>
    <n v="25300"/>
    <n v="0"/>
    <n v="126500"/>
    <x v="1"/>
    <x v="5"/>
    <x v="3"/>
    <x v="0"/>
  </r>
  <r>
    <s v="ORD10637"/>
    <x v="300"/>
    <s v="Aisha"/>
    <x v="2"/>
    <n v="26"/>
    <x v="5"/>
    <s v="Port Harcourt"/>
    <x v="2"/>
    <s v="Beans"/>
    <x v="5"/>
    <n v="8"/>
    <n v="5800"/>
    <n v="25"/>
    <n v="34800"/>
    <x v="2"/>
    <x v="0"/>
    <x v="2"/>
    <x v="0"/>
  </r>
  <r>
    <s v="ORD10638"/>
    <x v="332"/>
    <s v="Daniel"/>
    <x v="2"/>
    <n v="51"/>
    <x v="2"/>
    <s v="Garki"/>
    <x v="2"/>
    <s v="Beans"/>
    <x v="1"/>
    <n v="1"/>
    <n v="3200"/>
    <n v="15"/>
    <n v="2720"/>
    <x v="1"/>
    <x v="3"/>
    <x v="2"/>
    <x v="0"/>
  </r>
  <r>
    <s v="ORD10640"/>
    <x v="333"/>
    <s v="David"/>
    <x v="1"/>
    <n v="59"/>
    <x v="2"/>
    <s v="Wuse"/>
    <x v="2"/>
    <s v="Beans"/>
    <x v="0"/>
    <n v="6"/>
    <n v="4900"/>
    <n v="0"/>
    <n v="29400"/>
    <x v="1"/>
    <x v="1"/>
    <x v="1"/>
    <x v="1"/>
  </r>
  <r>
    <s v="ORD10641"/>
    <x v="334"/>
    <s v="Aisha"/>
    <x v="0"/>
    <n v="33"/>
    <x v="1"/>
    <s v="Lekki"/>
    <x v="0"/>
    <s v="Shoes"/>
    <x v="2"/>
    <n v="1"/>
    <n v="41400"/>
    <n v="20"/>
    <n v="33120"/>
    <x v="2"/>
    <x v="4"/>
    <x v="0"/>
    <x v="0"/>
  </r>
  <r>
    <s v="ORD10643"/>
    <x v="335"/>
    <s v="John"/>
    <x v="0"/>
    <n v="28"/>
    <x v="2"/>
    <s v="Garki"/>
    <x v="0"/>
    <s v="Shirt"/>
    <x v="0"/>
    <n v="1"/>
    <n v="31400"/>
    <n v="20"/>
    <n v="25120"/>
    <x v="1"/>
    <x v="2"/>
    <x v="2"/>
    <x v="0"/>
  </r>
  <r>
    <s v="ORD10644"/>
    <x v="317"/>
    <s v="Emeka"/>
    <x v="1"/>
    <n v="24"/>
    <x v="0"/>
    <s v="Enugu"/>
    <x v="3"/>
    <s v="Desk"/>
    <x v="5"/>
    <n v="5"/>
    <n v="3100"/>
    <n v="0"/>
    <n v="15500"/>
    <x v="1"/>
    <x v="4"/>
    <x v="2"/>
    <x v="0"/>
  </r>
  <r>
    <s v="ORD10645"/>
    <x v="336"/>
    <s v="Mary"/>
    <x v="2"/>
    <n v="46"/>
    <x v="5"/>
    <s v="Obio"/>
    <x v="1"/>
    <s v="Phone"/>
    <x v="3"/>
    <n v="4"/>
    <n v="42500"/>
    <n v="5"/>
    <n v="161500"/>
    <x v="0"/>
    <x v="2"/>
    <x v="1"/>
    <x v="1"/>
  </r>
  <r>
    <s v="ORD10647"/>
    <x v="337"/>
    <s v="Daniel"/>
    <x v="0"/>
    <n v="29"/>
    <x v="4"/>
    <s v="Ogbomosho"/>
    <x v="2"/>
    <s v="Beans"/>
    <x v="2"/>
    <n v="3"/>
    <n v="24500"/>
    <n v="15"/>
    <n v="62475"/>
    <x v="1"/>
    <x v="0"/>
    <x v="2"/>
    <x v="0"/>
  </r>
  <r>
    <s v="ORD10649"/>
    <x v="338"/>
    <s v="Emeka"/>
    <x v="0"/>
    <n v="48"/>
    <x v="1"/>
    <s v="Lekki"/>
    <x v="0"/>
    <s v="Shirt"/>
    <x v="5"/>
    <n v="6"/>
    <n v="49700"/>
    <n v="5"/>
    <n v="283290"/>
    <x v="1"/>
    <x v="0"/>
    <x v="1"/>
    <x v="1"/>
  </r>
  <r>
    <s v="ORD10650"/>
    <x v="339"/>
    <s v="Emeka"/>
    <x v="0"/>
    <n v="29"/>
    <x v="3"/>
    <s v="Kano"/>
    <x v="0"/>
    <s v="Shirt"/>
    <x v="0"/>
    <n v="3"/>
    <n v="26400"/>
    <n v="5"/>
    <n v="75240"/>
    <x v="1"/>
    <x v="0"/>
    <x v="3"/>
    <x v="0"/>
  </r>
  <r>
    <s v="ORD10652"/>
    <x v="340"/>
    <s v="Aisha"/>
    <x v="1"/>
    <n v="23"/>
    <x v="3"/>
    <s v="Kano"/>
    <x v="1"/>
    <s v="Phone"/>
    <x v="0"/>
    <n v="7"/>
    <n v="34200"/>
    <n v="25"/>
    <n v="179550"/>
    <x v="1"/>
    <x v="0"/>
    <x v="0"/>
    <x v="0"/>
  </r>
  <r>
    <s v="ORD10653"/>
    <x v="341"/>
    <s v="Mary"/>
    <x v="2"/>
    <n v="27"/>
    <x v="2"/>
    <s v="Garki"/>
    <x v="0"/>
    <s v="Shirt"/>
    <x v="4"/>
    <n v="3"/>
    <n v="47800"/>
    <n v="15"/>
    <n v="121890"/>
    <x v="0"/>
    <x v="0"/>
    <x v="0"/>
    <x v="0"/>
  </r>
  <r>
    <s v="ORD10654"/>
    <x v="119"/>
    <s v="Mary"/>
    <x v="2"/>
    <n v="61"/>
    <x v="2"/>
    <s v="Wuse"/>
    <x v="2"/>
    <s v="Beans"/>
    <x v="1"/>
    <n v="10"/>
    <n v="8500"/>
    <n v="10"/>
    <n v="76500"/>
    <x v="1"/>
    <x v="3"/>
    <x v="3"/>
    <x v="0"/>
  </r>
  <r>
    <s v="ORD10655"/>
    <x v="54"/>
    <s v="Mary"/>
    <x v="0"/>
    <n v="31"/>
    <x v="5"/>
    <s v="Obio"/>
    <x v="2"/>
    <s v="Rice"/>
    <x v="0"/>
    <n v="10"/>
    <n v="34500"/>
    <n v="20"/>
    <n v="276000"/>
    <x v="1"/>
    <x v="0"/>
    <x v="0"/>
    <x v="0"/>
  </r>
  <r>
    <s v="ORD10656"/>
    <x v="281"/>
    <s v="Ruth"/>
    <x v="2"/>
    <n v="48"/>
    <x v="5"/>
    <s v="Obio"/>
    <x v="2"/>
    <s v="Rice"/>
    <x v="0"/>
    <n v="3"/>
    <n v="11100"/>
    <n v="15"/>
    <n v="28305"/>
    <x v="1"/>
    <x v="0"/>
    <x v="3"/>
    <x v="0"/>
  </r>
  <r>
    <s v="ORD10657"/>
    <x v="22"/>
    <s v="Mary"/>
    <x v="1"/>
    <n v="31"/>
    <x v="4"/>
    <s v="Ibadan"/>
    <x v="2"/>
    <s v="Beans"/>
    <x v="1"/>
    <n v="1"/>
    <n v="26700"/>
    <n v="20"/>
    <n v="21360"/>
    <x v="2"/>
    <x v="2"/>
    <x v="0"/>
    <x v="0"/>
  </r>
  <r>
    <s v="ORD10659"/>
    <x v="196"/>
    <s v="Daniel"/>
    <x v="2"/>
    <n v="35"/>
    <x v="2"/>
    <s v="Garki"/>
    <x v="3"/>
    <s v="Chair"/>
    <x v="2"/>
    <n v="3"/>
    <n v="20300"/>
    <n v="10"/>
    <n v="54810"/>
    <x v="2"/>
    <x v="1"/>
    <x v="2"/>
    <x v="0"/>
  </r>
  <r>
    <s v="ORD10661"/>
    <x v="342"/>
    <s v="Ruth"/>
    <x v="0"/>
    <n v="65"/>
    <x v="3"/>
    <s v="Kano"/>
    <x v="2"/>
    <s v="Rice"/>
    <x v="4"/>
    <n v="4"/>
    <n v="19300"/>
    <n v="15"/>
    <n v="65620"/>
    <x v="2"/>
    <x v="3"/>
    <x v="0"/>
    <x v="0"/>
  </r>
  <r>
    <s v="ORD10662"/>
    <x v="343"/>
    <s v="Chioma"/>
    <x v="0"/>
    <n v="56"/>
    <x v="1"/>
    <s v="Ikeja"/>
    <x v="2"/>
    <s v="Rice"/>
    <x v="4"/>
    <n v="6"/>
    <n v="23900"/>
    <n v="25"/>
    <n v="107550"/>
    <x v="0"/>
    <x v="3"/>
    <x v="3"/>
    <x v="0"/>
  </r>
  <r>
    <s v="ORD10664"/>
    <x v="344"/>
    <s v="Aisha"/>
    <x v="0"/>
    <n v="18"/>
    <x v="2"/>
    <s v="Wuse"/>
    <x v="1"/>
    <s v="Laptop"/>
    <x v="0"/>
    <n v="10"/>
    <n v="35700"/>
    <n v="15"/>
    <n v="303450"/>
    <x v="0"/>
    <x v="5"/>
    <x v="2"/>
    <x v="0"/>
  </r>
  <r>
    <s v="ORD10666"/>
    <x v="345"/>
    <s v="Chioma"/>
    <x v="2"/>
    <n v="58"/>
    <x v="1"/>
    <s v="Lekki"/>
    <x v="3"/>
    <s v="Chair"/>
    <x v="5"/>
    <n v="10"/>
    <n v="14300"/>
    <n v="15"/>
    <n v="121550"/>
    <x v="1"/>
    <x v="3"/>
    <x v="3"/>
    <x v="0"/>
  </r>
  <r>
    <s v="ORD10667"/>
    <x v="36"/>
    <s v="Ruth"/>
    <x v="0"/>
    <n v="64"/>
    <x v="5"/>
    <s v="Port Harcourt"/>
    <x v="0"/>
    <s v="Shoes"/>
    <x v="2"/>
    <n v="5"/>
    <n v="10300"/>
    <n v="15"/>
    <n v="43775"/>
    <x v="2"/>
    <x v="5"/>
    <x v="3"/>
    <x v="0"/>
  </r>
  <r>
    <s v="ORD10669"/>
    <x v="346"/>
    <s v="Aisha"/>
    <x v="1"/>
    <n v="18"/>
    <x v="4"/>
    <s v="Ibadan"/>
    <x v="3"/>
    <s v="Desk"/>
    <x v="5"/>
    <n v="2"/>
    <n v="3300"/>
    <n v="0"/>
    <n v="6600"/>
    <x v="1"/>
    <x v="5"/>
    <x v="0"/>
    <x v="0"/>
  </r>
  <r>
    <s v="ORD10673"/>
    <x v="347"/>
    <s v="Daniel"/>
    <x v="1"/>
    <n v="30"/>
    <x v="0"/>
    <s v="Enugu"/>
    <x v="1"/>
    <s v="Laptop"/>
    <x v="4"/>
    <n v="7"/>
    <n v="42800"/>
    <n v="15"/>
    <n v="254660"/>
    <x v="0"/>
    <x v="0"/>
    <x v="3"/>
    <x v="0"/>
  </r>
  <r>
    <s v="ORD10675"/>
    <x v="348"/>
    <s v="Peter"/>
    <x v="2"/>
    <n v="52"/>
    <x v="5"/>
    <s v="Port Harcourt"/>
    <x v="1"/>
    <s v="Laptop"/>
    <x v="5"/>
    <n v="6"/>
    <n v="27000"/>
    <n v="0"/>
    <n v="162000"/>
    <x v="1"/>
    <x v="5"/>
    <x v="0"/>
    <x v="0"/>
  </r>
  <r>
    <s v="ORD10676"/>
    <x v="0"/>
    <s v="Grace"/>
    <x v="2"/>
    <n v="19"/>
    <x v="2"/>
    <s v="Garki"/>
    <x v="2"/>
    <s v="Rice"/>
    <x v="2"/>
    <n v="7"/>
    <n v="14700"/>
    <n v="0"/>
    <n v="102900"/>
    <x v="2"/>
    <x v="4"/>
    <x v="3"/>
    <x v="0"/>
  </r>
  <r>
    <s v="ORD10677"/>
    <x v="250"/>
    <s v="Aisha"/>
    <x v="2"/>
    <n v="51"/>
    <x v="4"/>
    <s v="Ibadan"/>
    <x v="3"/>
    <s v="Desk"/>
    <x v="2"/>
    <n v="2"/>
    <n v="26900"/>
    <n v="10"/>
    <n v="48420"/>
    <x v="1"/>
    <x v="2"/>
    <x v="1"/>
    <x v="1"/>
  </r>
  <r>
    <s v="ORD10678"/>
    <x v="34"/>
    <s v="Emeka"/>
    <x v="2"/>
    <n v="57"/>
    <x v="2"/>
    <s v="Wuse"/>
    <x v="2"/>
    <s v="Rice"/>
    <x v="5"/>
    <n v="2"/>
    <n v="44400"/>
    <n v="20"/>
    <n v="71040"/>
    <x v="0"/>
    <x v="0"/>
    <x v="3"/>
    <x v="0"/>
  </r>
  <r>
    <s v="ORD10679"/>
    <x v="196"/>
    <s v="Peter"/>
    <x v="2"/>
    <n v="51"/>
    <x v="5"/>
    <s v="Obio"/>
    <x v="0"/>
    <s v="Shoes"/>
    <x v="1"/>
    <n v="1"/>
    <n v="43700"/>
    <n v="15"/>
    <n v="37145"/>
    <x v="1"/>
    <x v="2"/>
    <x v="1"/>
    <x v="1"/>
  </r>
  <r>
    <s v="ORD10681"/>
    <x v="253"/>
    <s v="Chioma"/>
    <x v="2"/>
    <n v="36"/>
    <x v="3"/>
    <s v="Kano"/>
    <x v="0"/>
    <s v="Shirt"/>
    <x v="1"/>
    <n v="5"/>
    <n v="3700"/>
    <n v="10"/>
    <n v="16650"/>
    <x v="2"/>
    <x v="2"/>
    <x v="3"/>
    <x v="0"/>
  </r>
  <r>
    <s v="ORD10682"/>
    <x v="349"/>
    <s v="Grace"/>
    <x v="2"/>
    <n v="43"/>
    <x v="5"/>
    <s v="Obio"/>
    <x v="2"/>
    <s v="Beans"/>
    <x v="0"/>
    <n v="9"/>
    <n v="38500"/>
    <n v="20"/>
    <n v="277200"/>
    <x v="0"/>
    <x v="5"/>
    <x v="0"/>
    <x v="0"/>
  </r>
  <r>
    <s v="ORD10683"/>
    <x v="294"/>
    <s v="Grace"/>
    <x v="2"/>
    <n v="26"/>
    <x v="5"/>
    <s v="Port Harcourt"/>
    <x v="0"/>
    <s v="Shoes"/>
    <x v="3"/>
    <n v="3"/>
    <n v="33200"/>
    <n v="20"/>
    <n v="79680"/>
    <x v="2"/>
    <x v="1"/>
    <x v="2"/>
    <x v="0"/>
  </r>
  <r>
    <s v="ORD10684"/>
    <x v="212"/>
    <s v="Peter"/>
    <x v="0"/>
    <n v="19"/>
    <x v="0"/>
    <s v="Enugu"/>
    <x v="2"/>
    <s v="Rice"/>
    <x v="1"/>
    <n v="9"/>
    <n v="39900"/>
    <n v="15"/>
    <n v="305235"/>
    <x v="1"/>
    <x v="0"/>
    <x v="3"/>
    <x v="0"/>
  </r>
  <r>
    <s v="ORD10685"/>
    <x v="61"/>
    <s v="Emeka"/>
    <x v="2"/>
    <n v="46"/>
    <x v="0"/>
    <s v="Enugu"/>
    <x v="2"/>
    <s v="Beans"/>
    <x v="1"/>
    <n v="2"/>
    <n v="2700"/>
    <n v="10"/>
    <n v="4860"/>
    <x v="3"/>
    <x v="0"/>
    <x v="2"/>
    <x v="0"/>
  </r>
  <r>
    <s v="ORD10686"/>
    <x v="201"/>
    <s v="John"/>
    <x v="2"/>
    <n v="55"/>
    <x v="4"/>
    <s v="Ibadan"/>
    <x v="0"/>
    <s v="Shirt"/>
    <x v="0"/>
    <n v="10"/>
    <n v="28700"/>
    <n v="5"/>
    <n v="272650"/>
    <x v="1"/>
    <x v="1"/>
    <x v="3"/>
    <x v="0"/>
  </r>
  <r>
    <s v="ORD10687"/>
    <x v="350"/>
    <s v="Mary"/>
    <x v="2"/>
    <n v="36"/>
    <x v="4"/>
    <s v="Ibadan"/>
    <x v="3"/>
    <s v="Desk"/>
    <x v="1"/>
    <n v="6"/>
    <n v="43000"/>
    <n v="20"/>
    <n v="206400"/>
    <x v="1"/>
    <x v="1"/>
    <x v="3"/>
    <x v="0"/>
  </r>
  <r>
    <s v="ORD10690"/>
    <x v="220"/>
    <s v="Emeka"/>
    <x v="2"/>
    <n v="50"/>
    <x v="5"/>
    <s v="Obio"/>
    <x v="1"/>
    <s v="Phone"/>
    <x v="5"/>
    <n v="8"/>
    <n v="39900"/>
    <n v="15"/>
    <n v="271320"/>
    <x v="0"/>
    <x v="0"/>
    <x v="2"/>
    <x v="0"/>
  </r>
  <r>
    <s v="ORD10693"/>
    <x v="29"/>
    <s v="Daniel"/>
    <x v="2"/>
    <n v="26"/>
    <x v="5"/>
    <s v="Port Harcourt"/>
    <x v="2"/>
    <s v="Rice"/>
    <x v="5"/>
    <n v="4"/>
    <n v="47400"/>
    <n v="5"/>
    <n v="180120"/>
    <x v="0"/>
    <x v="1"/>
    <x v="1"/>
    <x v="1"/>
  </r>
  <r>
    <s v="ORD10694"/>
    <x v="201"/>
    <s v="Mary"/>
    <x v="2"/>
    <n v="49"/>
    <x v="0"/>
    <s v="Enugu"/>
    <x v="1"/>
    <s v="Phone"/>
    <x v="1"/>
    <n v="9"/>
    <n v="16300"/>
    <n v="10"/>
    <n v="132030"/>
    <x v="1"/>
    <x v="3"/>
    <x v="0"/>
    <x v="0"/>
  </r>
  <r>
    <s v="ORD10696"/>
    <x v="215"/>
    <s v="Aisha"/>
    <x v="2"/>
    <n v="33"/>
    <x v="2"/>
    <s v="Garki"/>
    <x v="1"/>
    <s v="Phone"/>
    <x v="0"/>
    <n v="5"/>
    <n v="25500"/>
    <n v="0"/>
    <n v="127500"/>
    <x v="0"/>
    <x v="2"/>
    <x v="0"/>
    <x v="0"/>
  </r>
  <r>
    <s v="ORD10697"/>
    <x v="207"/>
    <s v="Mary"/>
    <x v="2"/>
    <n v="31"/>
    <x v="4"/>
    <s v="Ibadan"/>
    <x v="1"/>
    <s v="Phone"/>
    <x v="4"/>
    <n v="2"/>
    <n v="33300"/>
    <n v="20"/>
    <n v="53280"/>
    <x v="1"/>
    <x v="3"/>
    <x v="0"/>
    <x v="0"/>
  </r>
  <r>
    <s v="ORD10699"/>
    <x v="351"/>
    <s v="Grace"/>
    <x v="0"/>
    <n v="18"/>
    <x v="0"/>
    <s v="Enugu"/>
    <x v="1"/>
    <s v="Laptop"/>
    <x v="0"/>
    <n v="8"/>
    <n v="15800"/>
    <n v="5"/>
    <n v="120080"/>
    <x v="0"/>
    <x v="1"/>
    <x v="3"/>
    <x v="0"/>
  </r>
  <r>
    <s v="ORD10701"/>
    <x v="206"/>
    <s v="Aisha"/>
    <x v="2"/>
    <n v="37"/>
    <x v="2"/>
    <s v="Garki"/>
    <x v="0"/>
    <s v="Shirt"/>
    <x v="5"/>
    <n v="6"/>
    <n v="14000"/>
    <n v="15"/>
    <n v="71400"/>
    <x v="2"/>
    <x v="3"/>
    <x v="3"/>
    <x v="0"/>
  </r>
  <r>
    <s v="ORD10702"/>
    <x v="352"/>
    <s v="Peter"/>
    <x v="0"/>
    <n v="41"/>
    <x v="5"/>
    <s v="Obio"/>
    <x v="3"/>
    <s v="Chair"/>
    <x v="3"/>
    <n v="6"/>
    <n v="16500"/>
    <n v="20"/>
    <n v="79200"/>
    <x v="2"/>
    <x v="5"/>
    <x v="1"/>
    <x v="1"/>
  </r>
  <r>
    <s v="ORD10703"/>
    <x v="7"/>
    <s v="Aisha"/>
    <x v="2"/>
    <n v="35"/>
    <x v="0"/>
    <s v="Enugu"/>
    <x v="0"/>
    <s v="Shoes"/>
    <x v="1"/>
    <n v="3"/>
    <n v="18100"/>
    <n v="25"/>
    <n v="40725"/>
    <x v="0"/>
    <x v="0"/>
    <x v="1"/>
    <x v="1"/>
  </r>
  <r>
    <s v="ORD10705"/>
    <x v="353"/>
    <s v="John"/>
    <x v="0"/>
    <n v="21"/>
    <x v="3"/>
    <s v="Kano"/>
    <x v="2"/>
    <s v="Beans"/>
    <x v="1"/>
    <n v="7"/>
    <n v="12100"/>
    <n v="5"/>
    <n v="80465"/>
    <x v="2"/>
    <x v="4"/>
    <x v="3"/>
    <x v="0"/>
  </r>
  <r>
    <s v="ORD10706"/>
    <x v="354"/>
    <s v="Chioma"/>
    <x v="2"/>
    <n v="36"/>
    <x v="5"/>
    <s v="Port Harcourt"/>
    <x v="3"/>
    <s v="Desk"/>
    <x v="4"/>
    <n v="4"/>
    <n v="40600"/>
    <n v="25"/>
    <n v="121800"/>
    <x v="1"/>
    <x v="0"/>
    <x v="0"/>
    <x v="0"/>
  </r>
  <r>
    <s v="ORD10707"/>
    <x v="41"/>
    <s v="Peter"/>
    <x v="2"/>
    <n v="48"/>
    <x v="3"/>
    <s v="Kano"/>
    <x v="3"/>
    <s v="Chair"/>
    <x v="1"/>
    <n v="5"/>
    <n v="2200"/>
    <n v="10"/>
    <n v="9900"/>
    <x v="0"/>
    <x v="2"/>
    <x v="0"/>
    <x v="0"/>
  </r>
  <r>
    <s v="ORD10708"/>
    <x v="275"/>
    <s v="Grace"/>
    <x v="1"/>
    <n v="42"/>
    <x v="3"/>
    <s v="Kano"/>
    <x v="1"/>
    <s v="Phone"/>
    <x v="5"/>
    <n v="3"/>
    <n v="3200"/>
    <n v="20"/>
    <n v="7680"/>
    <x v="1"/>
    <x v="0"/>
    <x v="0"/>
    <x v="0"/>
  </r>
  <r>
    <s v="ORD10709"/>
    <x v="355"/>
    <s v="Grace"/>
    <x v="2"/>
    <n v="32"/>
    <x v="5"/>
    <s v="Obio"/>
    <x v="3"/>
    <s v="Desk"/>
    <x v="1"/>
    <n v="2"/>
    <n v="30600"/>
    <n v="5"/>
    <n v="58140"/>
    <x v="2"/>
    <x v="3"/>
    <x v="1"/>
    <x v="1"/>
  </r>
  <r>
    <s v="ORD10711"/>
    <x v="257"/>
    <s v="Ruth"/>
    <x v="1"/>
    <n v="34"/>
    <x v="0"/>
    <s v="Enugu"/>
    <x v="3"/>
    <s v="Chair"/>
    <x v="3"/>
    <n v="8"/>
    <n v="4500"/>
    <n v="25"/>
    <n v="27000"/>
    <x v="2"/>
    <x v="4"/>
    <x v="0"/>
    <x v="0"/>
  </r>
  <r>
    <s v="ORD10713"/>
    <x v="356"/>
    <s v="Grace"/>
    <x v="0"/>
    <n v="56"/>
    <x v="2"/>
    <s v="Wuse"/>
    <x v="2"/>
    <s v="Rice"/>
    <x v="0"/>
    <n v="9"/>
    <n v="16300"/>
    <n v="15"/>
    <n v="124695"/>
    <x v="0"/>
    <x v="2"/>
    <x v="1"/>
    <x v="1"/>
  </r>
  <r>
    <s v="ORD10714"/>
    <x v="274"/>
    <s v="Chioma"/>
    <x v="0"/>
    <n v="33"/>
    <x v="5"/>
    <s v="Obio"/>
    <x v="0"/>
    <s v="Shirt"/>
    <x v="4"/>
    <n v="4"/>
    <n v="29300"/>
    <n v="25"/>
    <n v="87900"/>
    <x v="2"/>
    <x v="0"/>
    <x v="0"/>
    <x v="0"/>
  </r>
  <r>
    <s v="ORD10715"/>
    <x v="16"/>
    <s v="Emeka"/>
    <x v="0"/>
    <n v="61"/>
    <x v="0"/>
    <s v="Enugu"/>
    <x v="2"/>
    <s v="Rice"/>
    <x v="4"/>
    <n v="3"/>
    <n v="24100"/>
    <n v="10"/>
    <n v="65070"/>
    <x v="2"/>
    <x v="5"/>
    <x v="2"/>
    <x v="0"/>
  </r>
  <r>
    <s v="ORD10717"/>
    <x v="328"/>
    <s v="Mary"/>
    <x v="2"/>
    <n v="40"/>
    <x v="0"/>
    <s v="Enugu"/>
    <x v="3"/>
    <s v="Chair"/>
    <x v="4"/>
    <n v="6"/>
    <n v="26900"/>
    <n v="0"/>
    <n v="161400"/>
    <x v="1"/>
    <x v="4"/>
    <x v="1"/>
    <x v="1"/>
  </r>
  <r>
    <s v="ORD10718"/>
    <x v="357"/>
    <s v="Peter"/>
    <x v="0"/>
    <n v="47"/>
    <x v="2"/>
    <s v="Garki"/>
    <x v="3"/>
    <s v="Desk"/>
    <x v="1"/>
    <n v="9"/>
    <n v="19100"/>
    <n v="25"/>
    <n v="128925"/>
    <x v="1"/>
    <x v="1"/>
    <x v="3"/>
    <x v="0"/>
  </r>
  <r>
    <s v="ORD10719"/>
    <x v="240"/>
    <s v="Ruth"/>
    <x v="2"/>
    <n v="41"/>
    <x v="2"/>
    <s v="Wuse"/>
    <x v="1"/>
    <s v="Phone"/>
    <x v="1"/>
    <n v="9"/>
    <n v="5800"/>
    <n v="5"/>
    <n v="49590"/>
    <x v="1"/>
    <x v="3"/>
    <x v="2"/>
    <x v="0"/>
  </r>
  <r>
    <s v="ORD10720"/>
    <x v="137"/>
    <s v="Peter"/>
    <x v="0"/>
    <n v="47"/>
    <x v="3"/>
    <s v="Kano"/>
    <x v="2"/>
    <s v="Rice"/>
    <x v="4"/>
    <n v="6"/>
    <n v="19900"/>
    <n v="20"/>
    <n v="95520"/>
    <x v="1"/>
    <x v="3"/>
    <x v="3"/>
    <x v="0"/>
  </r>
  <r>
    <s v="ORD10721"/>
    <x v="54"/>
    <s v="Mary"/>
    <x v="2"/>
    <n v="59"/>
    <x v="3"/>
    <s v="Kano"/>
    <x v="1"/>
    <s v="Phone"/>
    <x v="3"/>
    <n v="6"/>
    <n v="35300"/>
    <n v="10"/>
    <n v="190620"/>
    <x v="1"/>
    <x v="5"/>
    <x v="3"/>
    <x v="0"/>
  </r>
  <r>
    <s v="ORD10723"/>
    <x v="358"/>
    <s v="David"/>
    <x v="1"/>
    <n v="19"/>
    <x v="4"/>
    <s v="Ogbomosho"/>
    <x v="2"/>
    <s v="Beans"/>
    <x v="5"/>
    <n v="4"/>
    <n v="3200"/>
    <n v="20"/>
    <n v="10240"/>
    <x v="1"/>
    <x v="0"/>
    <x v="3"/>
    <x v="0"/>
  </r>
  <r>
    <s v="ORD10726"/>
    <x v="359"/>
    <s v="Grace"/>
    <x v="2"/>
    <n v="49"/>
    <x v="2"/>
    <s v="Garki"/>
    <x v="2"/>
    <s v="Rice"/>
    <x v="2"/>
    <n v="4"/>
    <n v="6600"/>
    <n v="25"/>
    <n v="19800"/>
    <x v="1"/>
    <x v="0"/>
    <x v="3"/>
    <x v="0"/>
  </r>
  <r>
    <s v="ORD10727"/>
    <x v="360"/>
    <s v="John"/>
    <x v="0"/>
    <n v="61"/>
    <x v="0"/>
    <s v="Enugu"/>
    <x v="2"/>
    <s v="Rice"/>
    <x v="1"/>
    <n v="7"/>
    <n v="32200"/>
    <n v="20"/>
    <n v="180320"/>
    <x v="0"/>
    <x v="4"/>
    <x v="0"/>
    <x v="0"/>
  </r>
  <r>
    <s v="ORD10728"/>
    <x v="345"/>
    <s v="Peter"/>
    <x v="0"/>
    <n v="22"/>
    <x v="2"/>
    <s v="Wuse"/>
    <x v="2"/>
    <s v="Beans"/>
    <x v="5"/>
    <n v="5"/>
    <n v="7300"/>
    <n v="25"/>
    <n v="27375"/>
    <x v="1"/>
    <x v="0"/>
    <x v="2"/>
    <x v="0"/>
  </r>
  <r>
    <s v="ORD10729"/>
    <x v="175"/>
    <s v="Ruth"/>
    <x v="1"/>
    <n v="44"/>
    <x v="1"/>
    <s v="Lekki"/>
    <x v="2"/>
    <s v="Beans"/>
    <x v="0"/>
    <n v="7"/>
    <n v="5100"/>
    <n v="0"/>
    <n v="35700"/>
    <x v="2"/>
    <x v="3"/>
    <x v="1"/>
    <x v="1"/>
  </r>
  <r>
    <s v="ORD10730"/>
    <x v="284"/>
    <s v="David"/>
    <x v="2"/>
    <n v="22"/>
    <x v="3"/>
    <s v="Kano"/>
    <x v="1"/>
    <s v="Phone"/>
    <x v="4"/>
    <n v="2"/>
    <n v="9800"/>
    <n v="10"/>
    <n v="17640"/>
    <x v="1"/>
    <x v="0"/>
    <x v="0"/>
    <x v="0"/>
  </r>
  <r>
    <s v="ORD10731"/>
    <x v="5"/>
    <s v="Grace"/>
    <x v="0"/>
    <n v="23"/>
    <x v="5"/>
    <s v="Port Harcourt"/>
    <x v="0"/>
    <s v="Shoes"/>
    <x v="1"/>
    <n v="5"/>
    <n v="34400"/>
    <n v="25"/>
    <n v="129000"/>
    <x v="1"/>
    <x v="3"/>
    <x v="3"/>
    <x v="0"/>
  </r>
  <r>
    <s v="ORD10732"/>
    <x v="276"/>
    <s v="David"/>
    <x v="1"/>
    <n v="39"/>
    <x v="1"/>
    <s v="Ikeja"/>
    <x v="0"/>
    <s v="Shoes"/>
    <x v="1"/>
    <n v="1"/>
    <n v="30500"/>
    <n v="20"/>
    <n v="24400"/>
    <x v="1"/>
    <x v="2"/>
    <x v="2"/>
    <x v="0"/>
  </r>
  <r>
    <s v="ORD10733"/>
    <x v="60"/>
    <s v="David"/>
    <x v="0"/>
    <n v="37"/>
    <x v="0"/>
    <s v="Enugu"/>
    <x v="3"/>
    <s v="Chair"/>
    <x v="1"/>
    <n v="5"/>
    <n v="6400"/>
    <n v="20"/>
    <n v="25600"/>
    <x v="1"/>
    <x v="4"/>
    <x v="3"/>
    <x v="0"/>
  </r>
  <r>
    <s v="ORD10734"/>
    <x v="189"/>
    <s v="Chioma"/>
    <x v="0"/>
    <n v="48"/>
    <x v="4"/>
    <s v="Ogbomosho"/>
    <x v="2"/>
    <s v="Rice"/>
    <x v="1"/>
    <n v="3"/>
    <n v="7400"/>
    <n v="10"/>
    <n v="19980"/>
    <x v="1"/>
    <x v="5"/>
    <x v="2"/>
    <x v="0"/>
  </r>
  <r>
    <s v="ORD10735"/>
    <x v="42"/>
    <s v="Emeka"/>
    <x v="2"/>
    <n v="63"/>
    <x v="3"/>
    <s v="Kano"/>
    <x v="0"/>
    <s v="Shoes"/>
    <x v="3"/>
    <n v="1"/>
    <n v="6100"/>
    <n v="0"/>
    <n v="6100"/>
    <x v="0"/>
    <x v="3"/>
    <x v="2"/>
    <x v="0"/>
  </r>
  <r>
    <s v="ORD10736"/>
    <x v="260"/>
    <s v="Ruth"/>
    <x v="0"/>
    <n v="64"/>
    <x v="0"/>
    <s v="Enugu"/>
    <x v="2"/>
    <s v="Beans"/>
    <x v="2"/>
    <n v="9"/>
    <n v="18200"/>
    <n v="20"/>
    <n v="131040"/>
    <x v="1"/>
    <x v="3"/>
    <x v="1"/>
    <x v="1"/>
  </r>
  <r>
    <s v="ORD10737"/>
    <x v="114"/>
    <s v="Ruth"/>
    <x v="1"/>
    <n v="56"/>
    <x v="0"/>
    <s v="Enugu"/>
    <x v="3"/>
    <s v="Desk"/>
    <x v="0"/>
    <n v="9"/>
    <n v="49700"/>
    <n v="0"/>
    <n v="447300"/>
    <x v="0"/>
    <x v="4"/>
    <x v="2"/>
    <x v="0"/>
  </r>
  <r>
    <s v="ORD10738"/>
    <x v="361"/>
    <s v="Aisha"/>
    <x v="0"/>
    <n v="19"/>
    <x v="0"/>
    <s v="Enugu"/>
    <x v="2"/>
    <s v="Rice"/>
    <x v="5"/>
    <n v="9"/>
    <n v="23100"/>
    <n v="5"/>
    <n v="197505"/>
    <x v="2"/>
    <x v="4"/>
    <x v="1"/>
    <x v="1"/>
  </r>
  <r>
    <s v="ORD10739"/>
    <x v="105"/>
    <s v="Emeka"/>
    <x v="2"/>
    <n v="40"/>
    <x v="4"/>
    <s v="Ibadan"/>
    <x v="3"/>
    <s v="Desk"/>
    <x v="2"/>
    <n v="10"/>
    <n v="49600"/>
    <n v="20"/>
    <n v="396800"/>
    <x v="2"/>
    <x v="5"/>
    <x v="2"/>
    <x v="0"/>
  </r>
  <r>
    <s v="ORD10740"/>
    <x v="229"/>
    <s v="Emeka"/>
    <x v="2"/>
    <n v="39"/>
    <x v="2"/>
    <s v="Garki"/>
    <x v="1"/>
    <s v="Laptop"/>
    <x v="2"/>
    <n v="10"/>
    <n v="29600"/>
    <n v="0"/>
    <n v="296000"/>
    <x v="0"/>
    <x v="3"/>
    <x v="1"/>
    <x v="1"/>
  </r>
  <r>
    <s v="ORD10741"/>
    <x v="362"/>
    <s v="John"/>
    <x v="0"/>
    <n v="18"/>
    <x v="2"/>
    <s v="Wuse"/>
    <x v="3"/>
    <s v="Desk"/>
    <x v="0"/>
    <n v="5"/>
    <n v="20300"/>
    <n v="15"/>
    <n v="86275"/>
    <x v="1"/>
    <x v="5"/>
    <x v="2"/>
    <x v="0"/>
  </r>
  <r>
    <s v="ORD10743"/>
    <x v="66"/>
    <s v="Peter"/>
    <x v="2"/>
    <n v="21"/>
    <x v="5"/>
    <s v="Port Harcourt"/>
    <x v="1"/>
    <s v="Phone"/>
    <x v="4"/>
    <n v="8"/>
    <n v="49900"/>
    <n v="5"/>
    <n v="379240"/>
    <x v="0"/>
    <x v="3"/>
    <x v="3"/>
    <x v="0"/>
  </r>
  <r>
    <s v="ORD10744"/>
    <x v="230"/>
    <s v="David"/>
    <x v="1"/>
    <n v="20"/>
    <x v="3"/>
    <s v="Kano"/>
    <x v="2"/>
    <s v="Rice"/>
    <x v="0"/>
    <n v="5"/>
    <n v="2000"/>
    <n v="10"/>
    <n v="9000"/>
    <x v="2"/>
    <x v="5"/>
    <x v="0"/>
    <x v="0"/>
  </r>
  <r>
    <s v="ORD10745"/>
    <x v="217"/>
    <s v="Grace"/>
    <x v="1"/>
    <n v="42"/>
    <x v="1"/>
    <s v="Ikeja"/>
    <x v="2"/>
    <s v="Rice"/>
    <x v="3"/>
    <n v="7"/>
    <n v="39400"/>
    <n v="10"/>
    <n v="248220"/>
    <x v="2"/>
    <x v="0"/>
    <x v="0"/>
    <x v="0"/>
  </r>
  <r>
    <s v="ORD10746"/>
    <x v="243"/>
    <s v="David"/>
    <x v="0"/>
    <n v="19"/>
    <x v="4"/>
    <s v="Ibadan"/>
    <x v="0"/>
    <s v="Shoes"/>
    <x v="4"/>
    <n v="4"/>
    <n v="24300"/>
    <n v="0"/>
    <n v="97200"/>
    <x v="1"/>
    <x v="3"/>
    <x v="2"/>
    <x v="0"/>
  </r>
  <r>
    <s v="ORD10747"/>
    <x v="201"/>
    <s v="Chioma"/>
    <x v="1"/>
    <n v="59"/>
    <x v="4"/>
    <s v="Ibadan"/>
    <x v="1"/>
    <s v="Phone"/>
    <x v="1"/>
    <n v="10"/>
    <n v="22600"/>
    <n v="0"/>
    <n v="226000"/>
    <x v="1"/>
    <x v="0"/>
    <x v="1"/>
    <x v="1"/>
  </r>
  <r>
    <s v="ORD10748"/>
    <x v="363"/>
    <s v="David"/>
    <x v="0"/>
    <n v="43"/>
    <x v="5"/>
    <s v="Port Harcourt"/>
    <x v="2"/>
    <s v="Beans"/>
    <x v="1"/>
    <n v="3"/>
    <n v="46900"/>
    <n v="0"/>
    <n v="140700"/>
    <x v="0"/>
    <x v="4"/>
    <x v="1"/>
    <x v="1"/>
  </r>
  <r>
    <s v="ORD10749"/>
    <x v="364"/>
    <s v="Grace"/>
    <x v="1"/>
    <n v="65"/>
    <x v="3"/>
    <s v="Kano"/>
    <x v="2"/>
    <s v="Beans"/>
    <x v="1"/>
    <n v="4"/>
    <n v="9900"/>
    <n v="15"/>
    <n v="33660"/>
    <x v="1"/>
    <x v="2"/>
    <x v="0"/>
    <x v="0"/>
  </r>
  <r>
    <s v="ORD10750"/>
    <x v="150"/>
    <s v="Daniel"/>
    <x v="2"/>
    <n v="61"/>
    <x v="5"/>
    <s v="Port Harcourt"/>
    <x v="2"/>
    <s v="Beans"/>
    <x v="2"/>
    <n v="6"/>
    <n v="43400"/>
    <n v="10"/>
    <n v="234360"/>
    <x v="1"/>
    <x v="5"/>
    <x v="0"/>
    <x v="0"/>
  </r>
  <r>
    <s v="ORD10752"/>
    <x v="365"/>
    <s v="Daniel"/>
    <x v="1"/>
    <n v="39"/>
    <x v="4"/>
    <s v="Ogbomosho"/>
    <x v="0"/>
    <s v="Shoes"/>
    <x v="2"/>
    <n v="1"/>
    <n v="4600"/>
    <n v="15"/>
    <n v="3910"/>
    <x v="1"/>
    <x v="4"/>
    <x v="0"/>
    <x v="0"/>
  </r>
  <r>
    <s v="ORD10753"/>
    <x v="366"/>
    <s v="Ruth"/>
    <x v="2"/>
    <n v="25"/>
    <x v="2"/>
    <s v="Wuse"/>
    <x v="0"/>
    <s v="Shoes"/>
    <x v="1"/>
    <n v="10"/>
    <n v="42700"/>
    <n v="20"/>
    <n v="341600"/>
    <x v="0"/>
    <x v="0"/>
    <x v="2"/>
    <x v="0"/>
  </r>
  <r>
    <s v="ORD10755"/>
    <x v="367"/>
    <s v="Chioma"/>
    <x v="1"/>
    <n v="48"/>
    <x v="1"/>
    <s v="Lekki"/>
    <x v="3"/>
    <s v="Desk"/>
    <x v="0"/>
    <n v="7"/>
    <n v="39500"/>
    <n v="0"/>
    <n v="276500"/>
    <x v="1"/>
    <x v="0"/>
    <x v="1"/>
    <x v="1"/>
  </r>
  <r>
    <s v="ORD10756"/>
    <x v="135"/>
    <s v="Peter"/>
    <x v="0"/>
    <n v="43"/>
    <x v="1"/>
    <s v="Lekki"/>
    <x v="1"/>
    <s v="Laptop"/>
    <x v="1"/>
    <n v="4"/>
    <n v="36400"/>
    <n v="15"/>
    <n v="123760"/>
    <x v="2"/>
    <x v="1"/>
    <x v="0"/>
    <x v="0"/>
  </r>
  <r>
    <s v="ORD10757"/>
    <x v="327"/>
    <s v="Ruth"/>
    <x v="0"/>
    <n v="42"/>
    <x v="4"/>
    <s v="Ogbomosho"/>
    <x v="0"/>
    <s v="Shoes"/>
    <x v="2"/>
    <n v="4"/>
    <n v="47200"/>
    <n v="5"/>
    <n v="179360"/>
    <x v="2"/>
    <x v="2"/>
    <x v="3"/>
    <x v="0"/>
  </r>
  <r>
    <s v="ORD10759"/>
    <x v="339"/>
    <s v="John"/>
    <x v="0"/>
    <n v="30"/>
    <x v="3"/>
    <s v="Kano"/>
    <x v="2"/>
    <s v="Rice"/>
    <x v="4"/>
    <n v="2"/>
    <n v="13700"/>
    <n v="0"/>
    <n v="27400"/>
    <x v="2"/>
    <x v="5"/>
    <x v="1"/>
    <x v="1"/>
  </r>
  <r>
    <s v="ORD10761"/>
    <x v="368"/>
    <s v="Aisha"/>
    <x v="0"/>
    <n v="35"/>
    <x v="3"/>
    <s v="Kano"/>
    <x v="1"/>
    <s v="Laptop"/>
    <x v="1"/>
    <n v="1"/>
    <n v="25400"/>
    <n v="0"/>
    <n v="25400"/>
    <x v="0"/>
    <x v="4"/>
    <x v="0"/>
    <x v="0"/>
  </r>
  <r>
    <s v="ORD10763"/>
    <x v="38"/>
    <s v="Chioma"/>
    <x v="0"/>
    <n v="39"/>
    <x v="3"/>
    <s v="Kano"/>
    <x v="2"/>
    <s v="Rice"/>
    <x v="4"/>
    <n v="3"/>
    <n v="7900"/>
    <n v="20"/>
    <n v="18960"/>
    <x v="0"/>
    <x v="2"/>
    <x v="2"/>
    <x v="0"/>
  </r>
  <r>
    <s v="ORD10765"/>
    <x v="336"/>
    <s v="Aisha"/>
    <x v="2"/>
    <n v="25"/>
    <x v="0"/>
    <s v="Enugu"/>
    <x v="0"/>
    <s v="Shoes"/>
    <x v="5"/>
    <n v="10"/>
    <n v="16900"/>
    <n v="25"/>
    <n v="126750"/>
    <x v="1"/>
    <x v="4"/>
    <x v="0"/>
    <x v="0"/>
  </r>
  <r>
    <s v="ORD10766"/>
    <x v="369"/>
    <s v="Mary"/>
    <x v="2"/>
    <n v="54"/>
    <x v="1"/>
    <s v="Lekki"/>
    <x v="3"/>
    <s v="Chair"/>
    <x v="5"/>
    <n v="3"/>
    <n v="44600"/>
    <n v="15"/>
    <n v="113730"/>
    <x v="1"/>
    <x v="0"/>
    <x v="1"/>
    <x v="1"/>
  </r>
  <r>
    <s v="ORD10767"/>
    <x v="88"/>
    <s v="Aisha"/>
    <x v="1"/>
    <n v="48"/>
    <x v="1"/>
    <s v="Lekki"/>
    <x v="0"/>
    <s v="Shoes"/>
    <x v="2"/>
    <n v="4"/>
    <n v="14800"/>
    <n v="20"/>
    <n v="47360"/>
    <x v="1"/>
    <x v="0"/>
    <x v="2"/>
    <x v="0"/>
  </r>
  <r>
    <s v="ORD10768"/>
    <x v="303"/>
    <s v="Ruth"/>
    <x v="1"/>
    <n v="64"/>
    <x v="3"/>
    <s v="Kano"/>
    <x v="2"/>
    <s v="Rice"/>
    <x v="3"/>
    <n v="3"/>
    <n v="31000"/>
    <n v="10"/>
    <n v="83700"/>
    <x v="0"/>
    <x v="4"/>
    <x v="2"/>
    <x v="0"/>
  </r>
  <r>
    <s v="ORD10770"/>
    <x v="26"/>
    <s v="Daniel"/>
    <x v="0"/>
    <n v="54"/>
    <x v="0"/>
    <s v="Enugu"/>
    <x v="3"/>
    <s v="Desk"/>
    <x v="4"/>
    <n v="3"/>
    <n v="23100"/>
    <n v="25"/>
    <n v="51975"/>
    <x v="2"/>
    <x v="2"/>
    <x v="1"/>
    <x v="1"/>
  </r>
  <r>
    <s v="ORD10771"/>
    <x v="253"/>
    <s v="David"/>
    <x v="2"/>
    <n v="48"/>
    <x v="0"/>
    <s v="Enugu"/>
    <x v="1"/>
    <s v="Phone"/>
    <x v="5"/>
    <n v="10"/>
    <n v="42200"/>
    <n v="5"/>
    <n v="400900"/>
    <x v="1"/>
    <x v="2"/>
    <x v="0"/>
    <x v="0"/>
  </r>
  <r>
    <s v="ORD10773"/>
    <x v="370"/>
    <s v="Emeka"/>
    <x v="0"/>
    <n v="56"/>
    <x v="0"/>
    <s v="Enugu"/>
    <x v="3"/>
    <s v="Desk"/>
    <x v="3"/>
    <n v="8"/>
    <n v="19000"/>
    <n v="20"/>
    <n v="121600"/>
    <x v="1"/>
    <x v="1"/>
    <x v="2"/>
    <x v="0"/>
  </r>
  <r>
    <s v="ORD10774"/>
    <x v="371"/>
    <s v="Ruth"/>
    <x v="1"/>
    <n v="50"/>
    <x v="3"/>
    <s v="Kano"/>
    <x v="1"/>
    <s v="Laptop"/>
    <x v="4"/>
    <n v="1"/>
    <n v="33200"/>
    <n v="0"/>
    <n v="33200"/>
    <x v="1"/>
    <x v="0"/>
    <x v="1"/>
    <x v="1"/>
  </r>
  <r>
    <s v="ORD10775"/>
    <x v="372"/>
    <s v="Ruth"/>
    <x v="0"/>
    <n v="48"/>
    <x v="1"/>
    <s v="Ikeja"/>
    <x v="0"/>
    <s v="Shoes"/>
    <x v="3"/>
    <n v="8"/>
    <n v="47400"/>
    <n v="5"/>
    <n v="360240"/>
    <x v="1"/>
    <x v="2"/>
    <x v="1"/>
    <x v="1"/>
  </r>
  <r>
    <s v="ORD10776"/>
    <x v="373"/>
    <s v="Ruth"/>
    <x v="1"/>
    <n v="25"/>
    <x v="1"/>
    <s v="Lekki"/>
    <x v="2"/>
    <s v="Beans"/>
    <x v="0"/>
    <n v="3"/>
    <n v="21700"/>
    <n v="0"/>
    <n v="65100"/>
    <x v="0"/>
    <x v="0"/>
    <x v="3"/>
    <x v="0"/>
  </r>
  <r>
    <s v="ORD10777"/>
    <x v="22"/>
    <s v="Daniel"/>
    <x v="1"/>
    <n v="25"/>
    <x v="1"/>
    <s v="Lekki"/>
    <x v="0"/>
    <s v="Shirt"/>
    <x v="5"/>
    <n v="8"/>
    <n v="40100"/>
    <n v="10"/>
    <n v="288720"/>
    <x v="1"/>
    <x v="1"/>
    <x v="0"/>
    <x v="0"/>
  </r>
  <r>
    <s v="ORD10778"/>
    <x v="374"/>
    <s v="David"/>
    <x v="2"/>
    <n v="49"/>
    <x v="2"/>
    <s v="Wuse"/>
    <x v="2"/>
    <s v="Beans"/>
    <x v="4"/>
    <n v="2"/>
    <n v="36100"/>
    <n v="25"/>
    <n v="54150"/>
    <x v="2"/>
    <x v="0"/>
    <x v="3"/>
    <x v="0"/>
  </r>
  <r>
    <s v="ORD10779"/>
    <x v="149"/>
    <s v="John"/>
    <x v="1"/>
    <n v="35"/>
    <x v="0"/>
    <s v="Enugu"/>
    <x v="3"/>
    <s v="Desk"/>
    <x v="2"/>
    <n v="3"/>
    <n v="39000"/>
    <n v="25"/>
    <n v="87750"/>
    <x v="0"/>
    <x v="2"/>
    <x v="1"/>
    <x v="1"/>
  </r>
  <r>
    <s v="ORD10780"/>
    <x v="375"/>
    <s v="Emeka"/>
    <x v="1"/>
    <n v="29"/>
    <x v="4"/>
    <s v="Ibadan"/>
    <x v="3"/>
    <s v="Desk"/>
    <x v="2"/>
    <n v="6"/>
    <n v="34600"/>
    <n v="20"/>
    <n v="166080"/>
    <x v="0"/>
    <x v="4"/>
    <x v="2"/>
    <x v="0"/>
  </r>
  <r>
    <s v="ORD10781"/>
    <x v="157"/>
    <s v="Mary"/>
    <x v="2"/>
    <n v="64"/>
    <x v="0"/>
    <s v="Enugu"/>
    <x v="1"/>
    <s v="Laptop"/>
    <x v="4"/>
    <n v="8"/>
    <n v="8000"/>
    <n v="0"/>
    <n v="64000"/>
    <x v="2"/>
    <x v="2"/>
    <x v="2"/>
    <x v="0"/>
  </r>
  <r>
    <s v="ORD10782"/>
    <x v="258"/>
    <s v="Daniel"/>
    <x v="0"/>
    <n v="65"/>
    <x v="4"/>
    <s v="Ogbomosho"/>
    <x v="2"/>
    <s v="Beans"/>
    <x v="2"/>
    <n v="2"/>
    <n v="4000"/>
    <n v="25"/>
    <n v="6000"/>
    <x v="0"/>
    <x v="0"/>
    <x v="2"/>
    <x v="0"/>
  </r>
  <r>
    <s v="ORD10783"/>
    <x v="376"/>
    <s v="David"/>
    <x v="0"/>
    <n v="41"/>
    <x v="0"/>
    <s v="Enugu"/>
    <x v="1"/>
    <s v="Laptop"/>
    <x v="2"/>
    <n v="2"/>
    <n v="43200"/>
    <n v="20"/>
    <n v="69120"/>
    <x v="1"/>
    <x v="4"/>
    <x v="3"/>
    <x v="0"/>
  </r>
  <r>
    <s v="ORD10784"/>
    <x v="377"/>
    <s v="Peter"/>
    <x v="2"/>
    <n v="28"/>
    <x v="4"/>
    <s v="Ibadan"/>
    <x v="0"/>
    <s v="Shoes"/>
    <x v="2"/>
    <n v="10"/>
    <n v="5400"/>
    <n v="0"/>
    <n v="54000"/>
    <x v="0"/>
    <x v="3"/>
    <x v="3"/>
    <x v="0"/>
  </r>
  <r>
    <s v="ORD10785"/>
    <x v="378"/>
    <s v="Aisha"/>
    <x v="2"/>
    <n v="65"/>
    <x v="5"/>
    <s v="Port Harcourt"/>
    <x v="1"/>
    <s v="Laptop"/>
    <x v="0"/>
    <n v="8"/>
    <n v="47300"/>
    <n v="20"/>
    <n v="302720"/>
    <x v="1"/>
    <x v="0"/>
    <x v="3"/>
    <x v="0"/>
  </r>
  <r>
    <s v="ORD10786"/>
    <x v="379"/>
    <s v="Ruth"/>
    <x v="0"/>
    <n v="50"/>
    <x v="0"/>
    <s v="Enugu"/>
    <x v="3"/>
    <s v="Chair"/>
    <x v="5"/>
    <n v="8"/>
    <n v="10200"/>
    <n v="0"/>
    <n v="81600"/>
    <x v="2"/>
    <x v="1"/>
    <x v="3"/>
    <x v="0"/>
  </r>
  <r>
    <s v="ORD10787"/>
    <x v="172"/>
    <s v="John"/>
    <x v="0"/>
    <n v="49"/>
    <x v="2"/>
    <s v="Wuse"/>
    <x v="3"/>
    <s v="Chair"/>
    <x v="3"/>
    <n v="7"/>
    <n v="28400"/>
    <n v="20"/>
    <n v="159040"/>
    <x v="1"/>
    <x v="3"/>
    <x v="2"/>
    <x v="0"/>
  </r>
  <r>
    <s v="ORD10788"/>
    <x v="380"/>
    <s v="Emeka"/>
    <x v="0"/>
    <n v="55"/>
    <x v="4"/>
    <s v="Ogbomosho"/>
    <x v="1"/>
    <s v="Laptop"/>
    <x v="2"/>
    <n v="6"/>
    <n v="27000"/>
    <n v="0"/>
    <n v="162000"/>
    <x v="1"/>
    <x v="0"/>
    <x v="1"/>
    <x v="1"/>
  </r>
  <r>
    <s v="ORD10789"/>
    <x v="99"/>
    <s v="Aisha"/>
    <x v="1"/>
    <n v="37"/>
    <x v="5"/>
    <s v="Obio"/>
    <x v="0"/>
    <s v="Shoes"/>
    <x v="4"/>
    <n v="9"/>
    <n v="26400"/>
    <n v="15"/>
    <n v="201960"/>
    <x v="1"/>
    <x v="2"/>
    <x v="1"/>
    <x v="1"/>
  </r>
  <r>
    <s v="ORD10790"/>
    <x v="123"/>
    <s v="Daniel"/>
    <x v="2"/>
    <n v="19"/>
    <x v="0"/>
    <s v="Enugu"/>
    <x v="2"/>
    <s v="Rice"/>
    <x v="4"/>
    <n v="10"/>
    <n v="27500"/>
    <n v="0"/>
    <n v="275000"/>
    <x v="2"/>
    <x v="5"/>
    <x v="0"/>
    <x v="0"/>
  </r>
  <r>
    <s v="ORD10791"/>
    <x v="381"/>
    <s v="Grace"/>
    <x v="2"/>
    <n v="48"/>
    <x v="0"/>
    <s v="Enugu"/>
    <x v="0"/>
    <s v="Shoes"/>
    <x v="1"/>
    <n v="8"/>
    <n v="20300"/>
    <n v="10"/>
    <n v="146160"/>
    <x v="1"/>
    <x v="3"/>
    <x v="3"/>
    <x v="0"/>
  </r>
  <r>
    <s v="ORD10797"/>
    <x v="247"/>
    <s v="Peter"/>
    <x v="2"/>
    <n v="27"/>
    <x v="1"/>
    <s v="Lekki"/>
    <x v="3"/>
    <s v="Desk"/>
    <x v="5"/>
    <n v="8"/>
    <n v="9100"/>
    <n v="15"/>
    <n v="61880"/>
    <x v="0"/>
    <x v="2"/>
    <x v="0"/>
    <x v="0"/>
  </r>
  <r>
    <s v="ORD10798"/>
    <x v="382"/>
    <s v="Grace"/>
    <x v="2"/>
    <n v="150"/>
    <x v="0"/>
    <s v="Enugu"/>
    <x v="0"/>
    <s v="Shirt"/>
    <x v="0"/>
    <n v="10"/>
    <n v="23600"/>
    <n v="0"/>
    <n v="236000"/>
    <x v="1"/>
    <x v="0"/>
    <x v="1"/>
    <x v="1"/>
  </r>
  <r>
    <s v="ORD10799"/>
    <x v="120"/>
    <s v="Daniel"/>
    <x v="2"/>
    <n v="40"/>
    <x v="5"/>
    <s v="Port Harcourt"/>
    <x v="2"/>
    <s v="Beans"/>
    <x v="0"/>
    <n v="10"/>
    <n v="37000"/>
    <n v="0"/>
    <n v="370000"/>
    <x v="3"/>
    <x v="1"/>
    <x v="1"/>
    <x v="1"/>
  </r>
  <r>
    <s v="ORD10801"/>
    <x v="91"/>
    <s v="Ruth"/>
    <x v="2"/>
    <n v="50"/>
    <x v="4"/>
    <s v="Ibadan"/>
    <x v="3"/>
    <s v="Desk"/>
    <x v="0"/>
    <n v="2"/>
    <n v="13100"/>
    <n v="25"/>
    <n v="19650"/>
    <x v="1"/>
    <x v="2"/>
    <x v="1"/>
    <x v="1"/>
  </r>
  <r>
    <s v="ORD10804"/>
    <x v="112"/>
    <s v="John"/>
    <x v="2"/>
    <n v="19"/>
    <x v="3"/>
    <s v="Kano"/>
    <x v="3"/>
    <s v="Chair"/>
    <x v="0"/>
    <n v="6"/>
    <n v="7100"/>
    <n v="0"/>
    <n v="42600"/>
    <x v="1"/>
    <x v="3"/>
    <x v="2"/>
    <x v="0"/>
  </r>
  <r>
    <s v="ORD10805"/>
    <x v="168"/>
    <s v="Grace"/>
    <x v="1"/>
    <n v="37"/>
    <x v="2"/>
    <s v="Garki"/>
    <x v="2"/>
    <s v="Rice"/>
    <x v="0"/>
    <n v="5"/>
    <n v="43700"/>
    <n v="25"/>
    <n v="163875"/>
    <x v="1"/>
    <x v="1"/>
    <x v="1"/>
    <x v="1"/>
  </r>
  <r>
    <s v="ORD10806"/>
    <x v="383"/>
    <s v="Aisha"/>
    <x v="0"/>
    <n v="38"/>
    <x v="3"/>
    <s v="Kano"/>
    <x v="0"/>
    <s v="Shoes"/>
    <x v="3"/>
    <n v="10"/>
    <n v="24500"/>
    <n v="15"/>
    <n v="208250"/>
    <x v="1"/>
    <x v="2"/>
    <x v="0"/>
    <x v="0"/>
  </r>
  <r>
    <s v="ORD10807"/>
    <x v="295"/>
    <s v="Grace"/>
    <x v="2"/>
    <n v="64"/>
    <x v="1"/>
    <s v="Lekki"/>
    <x v="2"/>
    <s v="Rice"/>
    <x v="5"/>
    <n v="7"/>
    <n v="49400"/>
    <n v="20"/>
    <n v="276640"/>
    <x v="2"/>
    <x v="0"/>
    <x v="2"/>
    <x v="0"/>
  </r>
  <r>
    <s v="ORD10808"/>
    <x v="87"/>
    <s v="Peter"/>
    <x v="0"/>
    <n v="37"/>
    <x v="2"/>
    <s v="Garki"/>
    <x v="2"/>
    <s v="Beans"/>
    <x v="4"/>
    <n v="1"/>
    <n v="13100"/>
    <n v="25"/>
    <n v="9825"/>
    <x v="2"/>
    <x v="5"/>
    <x v="3"/>
    <x v="0"/>
  </r>
  <r>
    <s v="ORD10809"/>
    <x v="101"/>
    <s v="Emeka"/>
    <x v="0"/>
    <n v="46"/>
    <x v="1"/>
    <s v="Ikeja"/>
    <x v="2"/>
    <s v="Rice"/>
    <x v="3"/>
    <n v="3"/>
    <n v="46900"/>
    <n v="25"/>
    <n v="105525"/>
    <x v="3"/>
    <x v="1"/>
    <x v="3"/>
    <x v="0"/>
  </r>
  <r>
    <s v="ORD10810"/>
    <x v="214"/>
    <s v="David"/>
    <x v="2"/>
    <n v="24"/>
    <x v="1"/>
    <s v="Ikeja"/>
    <x v="0"/>
    <s v="Shirt"/>
    <x v="0"/>
    <n v="6"/>
    <n v="47700"/>
    <n v="0"/>
    <n v="286200"/>
    <x v="1"/>
    <x v="1"/>
    <x v="1"/>
    <x v="1"/>
  </r>
  <r>
    <s v="ORD10811"/>
    <x v="384"/>
    <s v="Peter"/>
    <x v="1"/>
    <n v="45"/>
    <x v="5"/>
    <s v="Obio"/>
    <x v="2"/>
    <s v="Rice"/>
    <x v="3"/>
    <n v="7"/>
    <n v="20600"/>
    <n v="15"/>
    <n v="122570"/>
    <x v="2"/>
    <x v="3"/>
    <x v="2"/>
    <x v="0"/>
  </r>
  <r>
    <s v="ORD10812"/>
    <x v="61"/>
    <s v="Grace"/>
    <x v="0"/>
    <n v="32"/>
    <x v="3"/>
    <s v="Kano"/>
    <x v="1"/>
    <s v="Phone"/>
    <x v="5"/>
    <n v="10"/>
    <n v="20200"/>
    <n v="20"/>
    <n v="161600"/>
    <x v="0"/>
    <x v="2"/>
    <x v="0"/>
    <x v="0"/>
  </r>
  <r>
    <s v="ORD10813"/>
    <x v="358"/>
    <s v="Emeka"/>
    <x v="0"/>
    <n v="60"/>
    <x v="5"/>
    <s v="Obio"/>
    <x v="2"/>
    <s v="Rice"/>
    <x v="5"/>
    <n v="7"/>
    <n v="48900"/>
    <n v="20"/>
    <n v="273840"/>
    <x v="2"/>
    <x v="0"/>
    <x v="0"/>
    <x v="0"/>
  </r>
  <r>
    <s v="ORD10815"/>
    <x v="71"/>
    <s v="Daniel"/>
    <x v="0"/>
    <n v="20"/>
    <x v="3"/>
    <s v="Kano"/>
    <x v="1"/>
    <s v="Laptop"/>
    <x v="5"/>
    <n v="9"/>
    <n v="7700"/>
    <n v="10"/>
    <n v="62370"/>
    <x v="1"/>
    <x v="1"/>
    <x v="3"/>
    <x v="0"/>
  </r>
  <r>
    <s v="ORD10816"/>
    <x v="385"/>
    <s v="David"/>
    <x v="0"/>
    <n v="27"/>
    <x v="2"/>
    <s v="Wuse"/>
    <x v="0"/>
    <s v="Shoes"/>
    <x v="3"/>
    <n v="6"/>
    <n v="26400"/>
    <n v="5"/>
    <n v="150480"/>
    <x v="0"/>
    <x v="0"/>
    <x v="3"/>
    <x v="0"/>
  </r>
  <r>
    <s v="ORD10817"/>
    <x v="314"/>
    <s v="Peter"/>
    <x v="0"/>
    <n v="44"/>
    <x v="2"/>
    <s v="Wuse"/>
    <x v="0"/>
    <s v="Shoes"/>
    <x v="3"/>
    <n v="3"/>
    <n v="23500"/>
    <n v="15"/>
    <n v="59925"/>
    <x v="1"/>
    <x v="4"/>
    <x v="1"/>
    <x v="1"/>
  </r>
  <r>
    <s v="ORD10819"/>
    <x v="112"/>
    <s v="Chioma"/>
    <x v="1"/>
    <n v="53"/>
    <x v="4"/>
    <s v="Ibadan"/>
    <x v="2"/>
    <s v="Rice"/>
    <x v="5"/>
    <n v="6"/>
    <n v="7900"/>
    <n v="5"/>
    <n v="45030"/>
    <x v="1"/>
    <x v="2"/>
    <x v="2"/>
    <x v="0"/>
  </r>
  <r>
    <s v="ORD10820"/>
    <x v="213"/>
    <s v="Emeka"/>
    <x v="0"/>
    <n v="50"/>
    <x v="4"/>
    <s v="Ibadan"/>
    <x v="0"/>
    <s v="Shirt"/>
    <x v="1"/>
    <n v="4"/>
    <n v="48000"/>
    <n v="10"/>
    <n v="172800"/>
    <x v="2"/>
    <x v="3"/>
    <x v="1"/>
    <x v="1"/>
  </r>
  <r>
    <s v="ORD10821"/>
    <x v="386"/>
    <s v="David"/>
    <x v="2"/>
    <n v="54"/>
    <x v="5"/>
    <s v="Port Harcourt"/>
    <x v="3"/>
    <s v="Chair"/>
    <x v="0"/>
    <n v="5"/>
    <n v="22200"/>
    <n v="10"/>
    <n v="99900"/>
    <x v="1"/>
    <x v="2"/>
    <x v="2"/>
    <x v="0"/>
  </r>
  <r>
    <s v="ORD10822"/>
    <x v="387"/>
    <s v="Ruth"/>
    <x v="0"/>
    <n v="43"/>
    <x v="4"/>
    <s v="Ogbomosho"/>
    <x v="2"/>
    <s v="Beans"/>
    <x v="3"/>
    <n v="7"/>
    <n v="5600"/>
    <n v="5"/>
    <n v="37240"/>
    <x v="0"/>
    <x v="4"/>
    <x v="2"/>
    <x v="0"/>
  </r>
  <r>
    <s v="ORD10827"/>
    <x v="24"/>
    <s v="Ruth"/>
    <x v="0"/>
    <n v="27"/>
    <x v="2"/>
    <s v="Garki"/>
    <x v="0"/>
    <s v="Shoes"/>
    <x v="0"/>
    <n v="7"/>
    <n v="11000"/>
    <n v="0"/>
    <n v="77000"/>
    <x v="1"/>
    <x v="5"/>
    <x v="3"/>
    <x v="0"/>
  </r>
  <r>
    <s v="ORD10828"/>
    <x v="388"/>
    <s v="Grace"/>
    <x v="0"/>
    <n v="19"/>
    <x v="5"/>
    <s v="Port Harcourt"/>
    <x v="0"/>
    <s v="Shoes"/>
    <x v="0"/>
    <n v="10"/>
    <n v="5700"/>
    <n v="10"/>
    <n v="51300"/>
    <x v="2"/>
    <x v="3"/>
    <x v="0"/>
    <x v="0"/>
  </r>
  <r>
    <s v="ORD10830"/>
    <x v="271"/>
    <s v="David"/>
    <x v="0"/>
    <n v="49"/>
    <x v="3"/>
    <s v="Kano"/>
    <x v="3"/>
    <s v="Chair"/>
    <x v="3"/>
    <n v="9"/>
    <n v="17700"/>
    <n v="5"/>
    <n v="151335"/>
    <x v="0"/>
    <x v="0"/>
    <x v="1"/>
    <x v="1"/>
  </r>
  <r>
    <s v="ORD10831"/>
    <x v="157"/>
    <s v="Ruth"/>
    <x v="2"/>
    <n v="43"/>
    <x v="5"/>
    <s v="Port Harcourt"/>
    <x v="0"/>
    <s v="Shirt"/>
    <x v="3"/>
    <n v="9"/>
    <n v="26400"/>
    <n v="0"/>
    <n v="237600"/>
    <x v="2"/>
    <x v="5"/>
    <x v="2"/>
    <x v="0"/>
  </r>
  <r>
    <s v="ORD10832"/>
    <x v="389"/>
    <s v="Mary"/>
    <x v="0"/>
    <n v="36"/>
    <x v="0"/>
    <s v="Enugu"/>
    <x v="0"/>
    <s v="Shirt"/>
    <x v="5"/>
    <n v="2"/>
    <n v="43000"/>
    <n v="0"/>
    <n v="86000"/>
    <x v="0"/>
    <x v="0"/>
    <x v="3"/>
    <x v="0"/>
  </r>
  <r>
    <s v="ORD10833"/>
    <x v="299"/>
    <s v="Peter"/>
    <x v="2"/>
    <n v="58"/>
    <x v="3"/>
    <s v="Kano"/>
    <x v="1"/>
    <s v="Laptop"/>
    <x v="2"/>
    <n v="2"/>
    <n v="31100"/>
    <n v="5"/>
    <n v="59090"/>
    <x v="2"/>
    <x v="0"/>
    <x v="3"/>
    <x v="0"/>
  </r>
  <r>
    <s v="ORD10834"/>
    <x v="36"/>
    <s v="Ruth"/>
    <x v="1"/>
    <n v="26"/>
    <x v="5"/>
    <s v="Port Harcourt"/>
    <x v="0"/>
    <s v="Shirt"/>
    <x v="4"/>
    <n v="4"/>
    <n v="31900"/>
    <n v="20"/>
    <n v="102080"/>
    <x v="1"/>
    <x v="5"/>
    <x v="2"/>
    <x v="0"/>
  </r>
  <r>
    <s v="ORD10835"/>
    <x v="331"/>
    <s v="Chioma"/>
    <x v="2"/>
    <n v="59"/>
    <x v="4"/>
    <s v="Ibadan"/>
    <x v="3"/>
    <s v="Desk"/>
    <x v="1"/>
    <n v="10"/>
    <n v="29800"/>
    <n v="10"/>
    <n v="268200"/>
    <x v="1"/>
    <x v="1"/>
    <x v="3"/>
    <x v="0"/>
  </r>
  <r>
    <s v="ORD10836"/>
    <x v="326"/>
    <s v="Mary"/>
    <x v="1"/>
    <n v="45"/>
    <x v="5"/>
    <s v="Port Harcourt"/>
    <x v="1"/>
    <s v="Laptop"/>
    <x v="3"/>
    <n v="4"/>
    <n v="13300"/>
    <n v="15"/>
    <n v="45220"/>
    <x v="2"/>
    <x v="0"/>
    <x v="2"/>
    <x v="0"/>
  </r>
  <r>
    <s v="ORD10837"/>
    <x v="235"/>
    <s v="Mary"/>
    <x v="2"/>
    <n v="22"/>
    <x v="5"/>
    <s v="Obio"/>
    <x v="0"/>
    <s v="Shirt"/>
    <x v="0"/>
    <n v="1"/>
    <n v="32300"/>
    <n v="25"/>
    <n v="24225"/>
    <x v="0"/>
    <x v="0"/>
    <x v="0"/>
    <x v="0"/>
  </r>
  <r>
    <s v="ORD10838"/>
    <x v="390"/>
    <s v="Peter"/>
    <x v="1"/>
    <n v="55"/>
    <x v="3"/>
    <s v="Kano"/>
    <x v="3"/>
    <s v="Desk"/>
    <x v="5"/>
    <n v="8"/>
    <n v="35400"/>
    <n v="15"/>
    <n v="240720"/>
    <x v="0"/>
    <x v="5"/>
    <x v="3"/>
    <x v="0"/>
  </r>
  <r>
    <s v="ORD10839"/>
    <x v="391"/>
    <s v="Mary"/>
    <x v="0"/>
    <n v="23"/>
    <x v="3"/>
    <s v="Kano"/>
    <x v="2"/>
    <s v="Rice"/>
    <x v="3"/>
    <n v="7"/>
    <n v="27200"/>
    <n v="25"/>
    <n v="142800"/>
    <x v="0"/>
    <x v="3"/>
    <x v="0"/>
    <x v="0"/>
  </r>
  <r>
    <s v="ORD10840"/>
    <x v="79"/>
    <s v="John"/>
    <x v="2"/>
    <n v="49"/>
    <x v="4"/>
    <s v="Ogbomosho"/>
    <x v="2"/>
    <s v="Beans"/>
    <x v="4"/>
    <n v="9"/>
    <n v="42500"/>
    <n v="15"/>
    <n v="325125"/>
    <x v="0"/>
    <x v="3"/>
    <x v="0"/>
    <x v="0"/>
  </r>
  <r>
    <s v="ORD10841"/>
    <x v="269"/>
    <s v="Peter"/>
    <x v="0"/>
    <n v="22"/>
    <x v="1"/>
    <s v="Ikeja"/>
    <x v="0"/>
    <s v="Shoes"/>
    <x v="2"/>
    <n v="2"/>
    <n v="6300"/>
    <n v="0"/>
    <n v="12600"/>
    <x v="3"/>
    <x v="0"/>
    <x v="2"/>
    <x v="0"/>
  </r>
  <r>
    <s v="ORD10843"/>
    <x v="392"/>
    <s v="John"/>
    <x v="2"/>
    <n v="35"/>
    <x v="0"/>
    <s v="Enugu"/>
    <x v="0"/>
    <s v="Shoes"/>
    <x v="0"/>
    <n v="10"/>
    <n v="42900"/>
    <n v="20"/>
    <n v="343200"/>
    <x v="1"/>
    <x v="4"/>
    <x v="2"/>
    <x v="0"/>
  </r>
  <r>
    <s v="ORD10845"/>
    <x v="158"/>
    <s v="Daniel"/>
    <x v="0"/>
    <n v="43"/>
    <x v="5"/>
    <s v="Obio"/>
    <x v="1"/>
    <s v="Phone"/>
    <x v="4"/>
    <n v="10"/>
    <n v="41000"/>
    <n v="20"/>
    <n v="328000"/>
    <x v="2"/>
    <x v="0"/>
    <x v="3"/>
    <x v="0"/>
  </r>
  <r>
    <s v="ORD10846"/>
    <x v="393"/>
    <s v="Grace"/>
    <x v="0"/>
    <n v="51"/>
    <x v="5"/>
    <s v="Port Harcourt"/>
    <x v="0"/>
    <s v="Shoes"/>
    <x v="3"/>
    <n v="6"/>
    <n v="15400"/>
    <n v="20"/>
    <n v="73920"/>
    <x v="0"/>
    <x v="4"/>
    <x v="0"/>
    <x v="0"/>
  </r>
  <r>
    <s v="ORD10847"/>
    <x v="374"/>
    <s v="Peter"/>
    <x v="0"/>
    <n v="61"/>
    <x v="5"/>
    <s v="Obio"/>
    <x v="2"/>
    <s v="Beans"/>
    <x v="5"/>
    <n v="8"/>
    <n v="39500"/>
    <n v="25"/>
    <n v="237000"/>
    <x v="2"/>
    <x v="0"/>
    <x v="1"/>
    <x v="1"/>
  </r>
  <r>
    <s v="ORD10849"/>
    <x v="296"/>
    <s v="Peter"/>
    <x v="0"/>
    <n v="37"/>
    <x v="4"/>
    <s v="Ibadan"/>
    <x v="3"/>
    <s v="Desk"/>
    <x v="0"/>
    <n v="2"/>
    <n v="44100"/>
    <n v="5"/>
    <n v="83790"/>
    <x v="1"/>
    <x v="2"/>
    <x v="1"/>
    <x v="1"/>
  </r>
  <r>
    <s v="ORD10850"/>
    <x v="46"/>
    <s v="David"/>
    <x v="1"/>
    <n v="55"/>
    <x v="5"/>
    <s v="Obio"/>
    <x v="1"/>
    <s v="Laptop"/>
    <x v="0"/>
    <n v="3"/>
    <n v="20600"/>
    <n v="5"/>
    <n v="58710"/>
    <x v="0"/>
    <x v="5"/>
    <x v="2"/>
    <x v="0"/>
  </r>
  <r>
    <s v="ORD10852"/>
    <x v="394"/>
    <s v="David"/>
    <x v="0"/>
    <n v="43"/>
    <x v="0"/>
    <s v="Enugu"/>
    <x v="2"/>
    <s v="Beans"/>
    <x v="0"/>
    <n v="5"/>
    <n v="45900"/>
    <n v="15"/>
    <n v="195075"/>
    <x v="1"/>
    <x v="5"/>
    <x v="2"/>
    <x v="0"/>
  </r>
  <r>
    <s v="ORD10853"/>
    <x v="53"/>
    <s v="David"/>
    <x v="0"/>
    <n v="36"/>
    <x v="0"/>
    <s v="Enugu"/>
    <x v="2"/>
    <s v="Beans"/>
    <x v="3"/>
    <n v="3"/>
    <n v="30900"/>
    <n v="15"/>
    <n v="78795"/>
    <x v="1"/>
    <x v="0"/>
    <x v="0"/>
    <x v="0"/>
  </r>
  <r>
    <s v="ORD10854"/>
    <x v="390"/>
    <s v="Peter"/>
    <x v="2"/>
    <n v="44"/>
    <x v="2"/>
    <s v="Wuse"/>
    <x v="0"/>
    <s v="Shoes"/>
    <x v="3"/>
    <n v="9"/>
    <n v="30300"/>
    <n v="25"/>
    <n v="204525"/>
    <x v="1"/>
    <x v="0"/>
    <x v="0"/>
    <x v="0"/>
  </r>
  <r>
    <s v="ORD10855"/>
    <x v="200"/>
    <s v="David"/>
    <x v="0"/>
    <n v="53"/>
    <x v="2"/>
    <s v="Garki"/>
    <x v="2"/>
    <s v="Beans"/>
    <x v="2"/>
    <n v="7"/>
    <n v="16500"/>
    <n v="20"/>
    <n v="92400"/>
    <x v="1"/>
    <x v="1"/>
    <x v="3"/>
    <x v="0"/>
  </r>
  <r>
    <s v="ORD10856"/>
    <x v="267"/>
    <s v="Emeka"/>
    <x v="0"/>
    <n v="61"/>
    <x v="3"/>
    <s v="Kano"/>
    <x v="1"/>
    <s v="Laptop"/>
    <x v="3"/>
    <n v="5"/>
    <n v="2100"/>
    <n v="25"/>
    <n v="7875"/>
    <x v="2"/>
    <x v="0"/>
    <x v="0"/>
    <x v="0"/>
  </r>
  <r>
    <s v="ORD10857"/>
    <x v="395"/>
    <s v="Chioma"/>
    <x v="2"/>
    <n v="46"/>
    <x v="3"/>
    <s v="Kano"/>
    <x v="2"/>
    <s v="Rice"/>
    <x v="0"/>
    <n v="6"/>
    <n v="6000"/>
    <n v="5"/>
    <n v="34200"/>
    <x v="2"/>
    <x v="4"/>
    <x v="2"/>
    <x v="0"/>
  </r>
  <r>
    <s v="ORD10858"/>
    <x v="53"/>
    <s v="David"/>
    <x v="1"/>
    <n v="31"/>
    <x v="2"/>
    <s v="Wuse"/>
    <x v="3"/>
    <s v="Desk"/>
    <x v="1"/>
    <n v="3"/>
    <n v="20600"/>
    <n v="5"/>
    <n v="58710"/>
    <x v="1"/>
    <x v="3"/>
    <x v="0"/>
    <x v="0"/>
  </r>
  <r>
    <s v="ORD10859"/>
    <x v="369"/>
    <s v="Grace"/>
    <x v="2"/>
    <n v="20"/>
    <x v="3"/>
    <s v="Kano"/>
    <x v="0"/>
    <s v="Shirt"/>
    <x v="0"/>
    <n v="8"/>
    <n v="23200"/>
    <n v="10"/>
    <n v="167040"/>
    <x v="1"/>
    <x v="3"/>
    <x v="2"/>
    <x v="0"/>
  </r>
  <r>
    <s v="ORD10860"/>
    <x v="207"/>
    <s v="David"/>
    <x v="2"/>
    <n v="34"/>
    <x v="4"/>
    <s v="Ogbomosho"/>
    <x v="0"/>
    <s v="Shoes"/>
    <x v="4"/>
    <n v="7"/>
    <n v="16600"/>
    <n v="0"/>
    <n v="116200"/>
    <x v="0"/>
    <x v="0"/>
    <x v="0"/>
    <x v="0"/>
  </r>
  <r>
    <s v="ORD10861"/>
    <x v="217"/>
    <s v="Daniel"/>
    <x v="1"/>
    <n v="63"/>
    <x v="2"/>
    <s v="Garki"/>
    <x v="0"/>
    <s v="Shirt"/>
    <x v="3"/>
    <n v="1"/>
    <n v="7400"/>
    <n v="10"/>
    <n v="6660"/>
    <x v="0"/>
    <x v="3"/>
    <x v="3"/>
    <x v="0"/>
  </r>
  <r>
    <s v="ORD10863"/>
    <x v="396"/>
    <s v="Chioma"/>
    <x v="2"/>
    <n v="54"/>
    <x v="3"/>
    <s v="Kano"/>
    <x v="3"/>
    <s v="Desk"/>
    <x v="4"/>
    <n v="5"/>
    <n v="48300"/>
    <n v="5"/>
    <n v="229425"/>
    <x v="0"/>
    <x v="4"/>
    <x v="1"/>
    <x v="1"/>
  </r>
  <r>
    <s v="ORD10864"/>
    <x v="188"/>
    <s v="Peter"/>
    <x v="2"/>
    <n v="63"/>
    <x v="0"/>
    <s v="Enugu"/>
    <x v="2"/>
    <s v="Rice"/>
    <x v="0"/>
    <n v="9"/>
    <n v="17400"/>
    <n v="10"/>
    <n v="140940"/>
    <x v="1"/>
    <x v="0"/>
    <x v="0"/>
    <x v="0"/>
  </r>
  <r>
    <s v="ORD10865"/>
    <x v="175"/>
    <s v="David"/>
    <x v="1"/>
    <n v="43"/>
    <x v="1"/>
    <s v="Ikeja"/>
    <x v="0"/>
    <s v="Shirt"/>
    <x v="3"/>
    <n v="10"/>
    <n v="10100"/>
    <n v="5"/>
    <n v="95950"/>
    <x v="1"/>
    <x v="2"/>
    <x v="3"/>
    <x v="0"/>
  </r>
  <r>
    <s v="ORD10866"/>
    <x v="137"/>
    <s v="Emeka"/>
    <x v="0"/>
    <n v="52"/>
    <x v="3"/>
    <s v="Kano"/>
    <x v="2"/>
    <s v="Rice"/>
    <x v="5"/>
    <n v="7"/>
    <n v="2700"/>
    <n v="5"/>
    <n v="17955"/>
    <x v="0"/>
    <x v="2"/>
    <x v="1"/>
    <x v="1"/>
  </r>
  <r>
    <s v="ORD10867"/>
    <x v="58"/>
    <s v="Emeka"/>
    <x v="2"/>
    <n v="43"/>
    <x v="5"/>
    <s v="Obio"/>
    <x v="2"/>
    <s v="Rice"/>
    <x v="0"/>
    <n v="2"/>
    <n v="10700"/>
    <n v="15"/>
    <n v="18190"/>
    <x v="2"/>
    <x v="1"/>
    <x v="3"/>
    <x v="0"/>
  </r>
  <r>
    <s v="ORD10868"/>
    <x v="295"/>
    <s v="John"/>
    <x v="2"/>
    <n v="64"/>
    <x v="3"/>
    <s v="Kano"/>
    <x v="2"/>
    <s v="Beans"/>
    <x v="2"/>
    <n v="7"/>
    <n v="26500"/>
    <n v="10"/>
    <n v="166950"/>
    <x v="2"/>
    <x v="2"/>
    <x v="3"/>
    <x v="0"/>
  </r>
  <r>
    <s v="ORD10869"/>
    <x v="397"/>
    <s v="Aisha"/>
    <x v="2"/>
    <n v="28"/>
    <x v="0"/>
    <s v="Enugu"/>
    <x v="1"/>
    <s v="Phone"/>
    <x v="2"/>
    <n v="8"/>
    <n v="41000"/>
    <n v="15"/>
    <n v="278800"/>
    <x v="1"/>
    <x v="0"/>
    <x v="0"/>
    <x v="0"/>
  </r>
  <r>
    <s v="ORD10873"/>
    <x v="167"/>
    <s v="Grace"/>
    <x v="2"/>
    <n v="29"/>
    <x v="1"/>
    <s v="Lekki"/>
    <x v="2"/>
    <s v="Beans"/>
    <x v="2"/>
    <n v="9"/>
    <n v="23100"/>
    <n v="20"/>
    <n v="166320"/>
    <x v="1"/>
    <x v="5"/>
    <x v="0"/>
    <x v="0"/>
  </r>
  <r>
    <s v="ORD10875"/>
    <x v="398"/>
    <s v="Peter"/>
    <x v="2"/>
    <n v="18"/>
    <x v="0"/>
    <s v="Enugu"/>
    <x v="1"/>
    <s v="Laptop"/>
    <x v="4"/>
    <n v="4"/>
    <n v="28200"/>
    <n v="10"/>
    <n v="101520"/>
    <x v="1"/>
    <x v="0"/>
    <x v="2"/>
    <x v="0"/>
  </r>
  <r>
    <s v="ORD10876"/>
    <x v="158"/>
    <s v="Ruth"/>
    <x v="1"/>
    <n v="40"/>
    <x v="5"/>
    <s v="Port Harcourt"/>
    <x v="0"/>
    <s v="Shoes"/>
    <x v="1"/>
    <n v="9"/>
    <n v="32400"/>
    <n v="5"/>
    <n v="277020"/>
    <x v="1"/>
    <x v="4"/>
    <x v="0"/>
    <x v="0"/>
  </r>
  <r>
    <s v="ORD10877"/>
    <x v="382"/>
    <s v="Ruth"/>
    <x v="2"/>
    <n v="39"/>
    <x v="5"/>
    <s v="Port Harcourt"/>
    <x v="1"/>
    <s v="Phone"/>
    <x v="4"/>
    <n v="4"/>
    <n v="22700"/>
    <n v="5"/>
    <n v="86260"/>
    <x v="1"/>
    <x v="1"/>
    <x v="1"/>
    <x v="1"/>
  </r>
  <r>
    <s v="ORD10879"/>
    <x v="399"/>
    <s v="John"/>
    <x v="2"/>
    <n v="44"/>
    <x v="3"/>
    <s v="Kano"/>
    <x v="3"/>
    <s v="Chair"/>
    <x v="5"/>
    <n v="9"/>
    <n v="37300"/>
    <n v="25"/>
    <n v="251775"/>
    <x v="2"/>
    <x v="0"/>
    <x v="2"/>
    <x v="0"/>
  </r>
  <r>
    <s v="ORD10880"/>
    <x v="400"/>
    <s v="Grace"/>
    <x v="2"/>
    <n v="55"/>
    <x v="5"/>
    <s v="Port Harcourt"/>
    <x v="2"/>
    <s v="Beans"/>
    <x v="5"/>
    <n v="2"/>
    <n v="7600"/>
    <n v="15"/>
    <n v="12920"/>
    <x v="1"/>
    <x v="5"/>
    <x v="2"/>
    <x v="0"/>
  </r>
  <r>
    <s v="ORD10882"/>
    <x v="385"/>
    <s v="Ruth"/>
    <x v="0"/>
    <n v="36"/>
    <x v="2"/>
    <s v="Wuse"/>
    <x v="2"/>
    <s v="Rice"/>
    <x v="5"/>
    <n v="9"/>
    <n v="46200"/>
    <n v="25"/>
    <n v="311850"/>
    <x v="1"/>
    <x v="0"/>
    <x v="2"/>
    <x v="0"/>
  </r>
  <r>
    <s v="ORD10883"/>
    <x v="248"/>
    <s v="Mary"/>
    <x v="0"/>
    <n v="54"/>
    <x v="5"/>
    <s v="Port Harcourt"/>
    <x v="1"/>
    <s v="Phone"/>
    <x v="5"/>
    <n v="4"/>
    <n v="38600"/>
    <n v="0"/>
    <n v="154400"/>
    <x v="1"/>
    <x v="0"/>
    <x v="0"/>
    <x v="0"/>
  </r>
  <r>
    <s v="ORD10884"/>
    <x v="401"/>
    <s v="John"/>
    <x v="2"/>
    <n v="64"/>
    <x v="5"/>
    <s v="Obio"/>
    <x v="0"/>
    <s v="Shirt"/>
    <x v="0"/>
    <n v="9"/>
    <n v="16700"/>
    <n v="25"/>
    <n v="112725"/>
    <x v="2"/>
    <x v="1"/>
    <x v="0"/>
    <x v="0"/>
  </r>
  <r>
    <s v="ORD10885"/>
    <x v="207"/>
    <s v="Daniel"/>
    <x v="2"/>
    <n v="34"/>
    <x v="1"/>
    <s v="Lekki"/>
    <x v="3"/>
    <s v="Chair"/>
    <x v="5"/>
    <n v="7"/>
    <n v="45800"/>
    <n v="20"/>
    <n v="256480"/>
    <x v="1"/>
    <x v="0"/>
    <x v="0"/>
    <x v="0"/>
  </r>
  <r>
    <s v="ORD10886"/>
    <x v="344"/>
    <s v="Mary"/>
    <x v="0"/>
    <n v="39"/>
    <x v="3"/>
    <s v="Kano"/>
    <x v="2"/>
    <s v="Beans"/>
    <x v="3"/>
    <n v="7"/>
    <n v="30600"/>
    <n v="0"/>
    <n v="214200"/>
    <x v="2"/>
    <x v="3"/>
    <x v="0"/>
    <x v="0"/>
  </r>
  <r>
    <s v="ORD10888"/>
    <x v="121"/>
    <s v="Grace"/>
    <x v="2"/>
    <n v="54"/>
    <x v="2"/>
    <s v="Wuse"/>
    <x v="3"/>
    <s v="Chair"/>
    <x v="4"/>
    <n v="8"/>
    <n v="6400"/>
    <n v="5"/>
    <n v="48640"/>
    <x v="0"/>
    <x v="3"/>
    <x v="0"/>
    <x v="0"/>
  </r>
  <r>
    <s v="ORD10889"/>
    <x v="284"/>
    <s v="John"/>
    <x v="0"/>
    <n v="36"/>
    <x v="4"/>
    <s v="Ogbomosho"/>
    <x v="1"/>
    <s v="Laptop"/>
    <x v="3"/>
    <n v="3"/>
    <n v="37700"/>
    <n v="5"/>
    <n v="107445"/>
    <x v="1"/>
    <x v="4"/>
    <x v="0"/>
    <x v="0"/>
  </r>
  <r>
    <s v="ORD10892"/>
    <x v="402"/>
    <s v="John"/>
    <x v="2"/>
    <n v="55"/>
    <x v="5"/>
    <s v="Obio"/>
    <x v="1"/>
    <s v="Laptop"/>
    <x v="1"/>
    <n v="4"/>
    <n v="26200"/>
    <n v="0"/>
    <n v="104800"/>
    <x v="1"/>
    <x v="2"/>
    <x v="0"/>
    <x v="0"/>
  </r>
  <r>
    <s v="ORD10894"/>
    <x v="283"/>
    <s v="Daniel"/>
    <x v="0"/>
    <n v="65"/>
    <x v="3"/>
    <s v="Kano"/>
    <x v="0"/>
    <s v="Shirt"/>
    <x v="4"/>
    <n v="5"/>
    <n v="7900"/>
    <n v="20"/>
    <n v="31600"/>
    <x v="2"/>
    <x v="1"/>
    <x v="0"/>
    <x v="0"/>
  </r>
  <r>
    <s v="ORD10895"/>
    <x v="357"/>
    <s v="Chioma"/>
    <x v="0"/>
    <n v="21"/>
    <x v="0"/>
    <s v="Enugu"/>
    <x v="1"/>
    <s v="Laptop"/>
    <x v="2"/>
    <n v="4"/>
    <n v="29800"/>
    <n v="5"/>
    <n v="113240"/>
    <x v="1"/>
    <x v="3"/>
    <x v="1"/>
    <x v="1"/>
  </r>
  <r>
    <s v="ORD10896"/>
    <x v="195"/>
    <s v="Emeka"/>
    <x v="2"/>
    <n v="22"/>
    <x v="2"/>
    <s v="Wuse"/>
    <x v="1"/>
    <s v="Phone"/>
    <x v="0"/>
    <n v="4"/>
    <n v="3700"/>
    <n v="15"/>
    <n v="12580"/>
    <x v="1"/>
    <x v="4"/>
    <x v="0"/>
    <x v="0"/>
  </r>
  <r>
    <s v="ORD10897"/>
    <x v="72"/>
    <s v="Chioma"/>
    <x v="1"/>
    <n v="36"/>
    <x v="4"/>
    <s v="Ibadan"/>
    <x v="3"/>
    <s v="Chair"/>
    <x v="1"/>
    <n v="1"/>
    <n v="41100"/>
    <n v="0"/>
    <n v="41100"/>
    <x v="2"/>
    <x v="1"/>
    <x v="1"/>
    <x v="1"/>
  </r>
  <r>
    <s v="ORD10898"/>
    <x v="403"/>
    <s v="Peter"/>
    <x v="0"/>
    <n v="22"/>
    <x v="1"/>
    <s v="Lekki"/>
    <x v="1"/>
    <s v="Laptop"/>
    <x v="1"/>
    <n v="9"/>
    <n v="32700"/>
    <n v="20"/>
    <n v="235440"/>
    <x v="1"/>
    <x v="1"/>
    <x v="0"/>
    <x v="0"/>
  </r>
  <r>
    <s v="ORD10899"/>
    <x v="404"/>
    <s v="Emeka"/>
    <x v="1"/>
    <n v="37"/>
    <x v="5"/>
    <s v="Obio"/>
    <x v="2"/>
    <s v="Beans"/>
    <x v="1"/>
    <n v="1"/>
    <n v="44400"/>
    <n v="10"/>
    <n v="39960"/>
    <x v="3"/>
    <x v="3"/>
    <x v="1"/>
    <x v="1"/>
  </r>
  <r>
    <s v="ORD10900"/>
    <x v="341"/>
    <s v="Chioma"/>
    <x v="1"/>
    <n v="52"/>
    <x v="2"/>
    <s v="Wuse"/>
    <x v="0"/>
    <s v="Shirt"/>
    <x v="3"/>
    <n v="1"/>
    <n v="30600"/>
    <n v="25"/>
    <n v="22950"/>
    <x v="2"/>
    <x v="1"/>
    <x v="2"/>
    <x v="0"/>
  </r>
  <r>
    <s v="ORD10901"/>
    <x v="217"/>
    <s v="Daniel"/>
    <x v="1"/>
    <n v="28"/>
    <x v="4"/>
    <s v="Ibadan"/>
    <x v="3"/>
    <s v="Desk"/>
    <x v="3"/>
    <n v="1"/>
    <n v="22800"/>
    <n v="5"/>
    <n v="21660"/>
    <x v="0"/>
    <x v="4"/>
    <x v="1"/>
    <x v="1"/>
  </r>
  <r>
    <s v="ORD10902"/>
    <x v="137"/>
    <s v="Daniel"/>
    <x v="1"/>
    <n v="43"/>
    <x v="3"/>
    <s v="Kano"/>
    <x v="1"/>
    <s v="Phone"/>
    <x v="0"/>
    <n v="8"/>
    <n v="29200"/>
    <n v="5"/>
    <n v="221920"/>
    <x v="2"/>
    <x v="0"/>
    <x v="3"/>
    <x v="0"/>
  </r>
  <r>
    <s v="ORD10903"/>
    <x v="124"/>
    <s v="Aisha"/>
    <x v="0"/>
    <n v="39"/>
    <x v="5"/>
    <s v="Port Harcourt"/>
    <x v="2"/>
    <s v="Rice"/>
    <x v="4"/>
    <n v="10"/>
    <n v="6300"/>
    <n v="0"/>
    <n v="63000"/>
    <x v="1"/>
    <x v="1"/>
    <x v="0"/>
    <x v="0"/>
  </r>
  <r>
    <s v="ORD10905"/>
    <x v="348"/>
    <s v="Aisha"/>
    <x v="0"/>
    <n v="59"/>
    <x v="5"/>
    <s v="Obio"/>
    <x v="2"/>
    <s v="Beans"/>
    <x v="1"/>
    <n v="7"/>
    <n v="26700"/>
    <n v="25"/>
    <n v="140175"/>
    <x v="2"/>
    <x v="0"/>
    <x v="1"/>
    <x v="1"/>
  </r>
  <r>
    <s v="ORD10906"/>
    <x v="310"/>
    <s v="Ruth"/>
    <x v="0"/>
    <n v="46"/>
    <x v="0"/>
    <s v="Enugu"/>
    <x v="1"/>
    <s v="Phone"/>
    <x v="1"/>
    <n v="10"/>
    <n v="12800"/>
    <n v="15"/>
    <n v="108800"/>
    <x v="0"/>
    <x v="1"/>
    <x v="1"/>
    <x v="1"/>
  </r>
  <r>
    <s v="ORD10907"/>
    <x v="127"/>
    <s v="John"/>
    <x v="0"/>
    <n v="57"/>
    <x v="1"/>
    <s v="Lekki"/>
    <x v="3"/>
    <s v="Desk"/>
    <x v="4"/>
    <n v="10"/>
    <n v="10400"/>
    <n v="20"/>
    <n v="83200"/>
    <x v="1"/>
    <x v="3"/>
    <x v="3"/>
    <x v="0"/>
  </r>
  <r>
    <s v="ORD10908"/>
    <x v="170"/>
    <s v="Peter"/>
    <x v="0"/>
    <n v="51"/>
    <x v="2"/>
    <s v="Garki"/>
    <x v="0"/>
    <s v="Shirt"/>
    <x v="5"/>
    <n v="4"/>
    <n v="9200"/>
    <n v="25"/>
    <n v="27600"/>
    <x v="1"/>
    <x v="4"/>
    <x v="3"/>
    <x v="0"/>
  </r>
  <r>
    <s v="ORD10910"/>
    <x v="72"/>
    <s v="Daniel"/>
    <x v="1"/>
    <n v="36"/>
    <x v="3"/>
    <s v="Kano"/>
    <x v="2"/>
    <s v="Rice"/>
    <x v="3"/>
    <n v="10"/>
    <n v="21700"/>
    <n v="20"/>
    <n v="173600"/>
    <x v="2"/>
    <x v="4"/>
    <x v="0"/>
    <x v="0"/>
  </r>
  <r>
    <s v="ORD10911"/>
    <x v="180"/>
    <s v="Daniel"/>
    <x v="0"/>
    <n v="54"/>
    <x v="1"/>
    <s v="Lekki"/>
    <x v="2"/>
    <s v="Rice"/>
    <x v="3"/>
    <n v="4"/>
    <n v="19600"/>
    <n v="10"/>
    <n v="70560"/>
    <x v="0"/>
    <x v="5"/>
    <x v="3"/>
    <x v="0"/>
  </r>
  <r>
    <s v="ORD10912"/>
    <x v="251"/>
    <s v="Daniel"/>
    <x v="1"/>
    <n v="25"/>
    <x v="4"/>
    <s v="Ibadan"/>
    <x v="2"/>
    <s v="Rice"/>
    <x v="5"/>
    <n v="7"/>
    <n v="4700"/>
    <n v="0"/>
    <n v="32900"/>
    <x v="1"/>
    <x v="4"/>
    <x v="2"/>
    <x v="0"/>
  </r>
  <r>
    <s v="ORD10913"/>
    <x v="54"/>
    <s v="Aisha"/>
    <x v="2"/>
    <n v="20"/>
    <x v="4"/>
    <s v="Ogbomosho"/>
    <x v="2"/>
    <s v="Beans"/>
    <x v="4"/>
    <n v="10"/>
    <n v="39900"/>
    <n v="15"/>
    <n v="339150"/>
    <x v="1"/>
    <x v="5"/>
    <x v="2"/>
    <x v="0"/>
  </r>
  <r>
    <s v="ORD10914"/>
    <x v="226"/>
    <s v="Mary"/>
    <x v="0"/>
    <n v="64"/>
    <x v="4"/>
    <s v="Ibadan"/>
    <x v="1"/>
    <s v="Laptop"/>
    <x v="2"/>
    <n v="6"/>
    <n v="35200"/>
    <n v="20"/>
    <n v="168960"/>
    <x v="2"/>
    <x v="4"/>
    <x v="1"/>
    <x v="1"/>
  </r>
  <r>
    <s v="ORD10915"/>
    <x v="38"/>
    <s v="Grace"/>
    <x v="1"/>
    <n v="56"/>
    <x v="0"/>
    <s v="Enugu"/>
    <x v="2"/>
    <s v="Rice"/>
    <x v="5"/>
    <n v="9"/>
    <n v="30200"/>
    <n v="15"/>
    <n v="231030"/>
    <x v="0"/>
    <x v="5"/>
    <x v="2"/>
    <x v="0"/>
  </r>
  <r>
    <s v="ORD10916"/>
    <x v="56"/>
    <s v="Ruth"/>
    <x v="1"/>
    <n v="64"/>
    <x v="5"/>
    <s v="Port Harcourt"/>
    <x v="1"/>
    <s v="Laptop"/>
    <x v="2"/>
    <n v="7"/>
    <n v="23800"/>
    <n v="25"/>
    <n v="124950"/>
    <x v="2"/>
    <x v="2"/>
    <x v="3"/>
    <x v="0"/>
  </r>
  <r>
    <s v="ORD10917"/>
    <x v="253"/>
    <s v="Aisha"/>
    <x v="1"/>
    <n v="47"/>
    <x v="3"/>
    <s v="Kano"/>
    <x v="2"/>
    <s v="Rice"/>
    <x v="0"/>
    <n v="3"/>
    <n v="32900"/>
    <n v="10"/>
    <n v="88830"/>
    <x v="1"/>
    <x v="2"/>
    <x v="2"/>
    <x v="0"/>
  </r>
  <r>
    <s v="ORD10918"/>
    <x v="333"/>
    <s v="David"/>
    <x v="2"/>
    <n v="62"/>
    <x v="4"/>
    <s v="Ibadan"/>
    <x v="2"/>
    <s v="Beans"/>
    <x v="1"/>
    <n v="10"/>
    <n v="36800"/>
    <n v="15"/>
    <n v="312800"/>
    <x v="1"/>
    <x v="0"/>
    <x v="2"/>
    <x v="0"/>
  </r>
  <r>
    <s v="ORD10919"/>
    <x v="31"/>
    <s v="Ruth"/>
    <x v="0"/>
    <n v="49"/>
    <x v="0"/>
    <s v="Enugu"/>
    <x v="1"/>
    <s v="Phone"/>
    <x v="4"/>
    <n v="7"/>
    <n v="38400"/>
    <n v="25"/>
    <n v="201600"/>
    <x v="0"/>
    <x v="2"/>
    <x v="0"/>
    <x v="0"/>
  </r>
  <r>
    <s v="ORD10920"/>
    <x v="120"/>
    <s v="Peter"/>
    <x v="2"/>
    <n v="56"/>
    <x v="0"/>
    <s v="Enugu"/>
    <x v="3"/>
    <s v="Desk"/>
    <x v="2"/>
    <n v="4"/>
    <n v="13800"/>
    <n v="25"/>
    <n v="41400"/>
    <x v="0"/>
    <x v="0"/>
    <x v="3"/>
    <x v="0"/>
  </r>
  <r>
    <s v="ORD10922"/>
    <x v="334"/>
    <s v="Mary"/>
    <x v="2"/>
    <n v="60"/>
    <x v="1"/>
    <s v="Ikeja"/>
    <x v="1"/>
    <s v="Phone"/>
    <x v="4"/>
    <n v="6"/>
    <n v="16900"/>
    <n v="10"/>
    <n v="91260"/>
    <x v="0"/>
    <x v="2"/>
    <x v="3"/>
    <x v="0"/>
  </r>
  <r>
    <s v="ORD10923"/>
    <x v="217"/>
    <s v="David"/>
    <x v="1"/>
    <n v="39"/>
    <x v="2"/>
    <s v="Garki"/>
    <x v="3"/>
    <s v="Desk"/>
    <x v="2"/>
    <n v="7"/>
    <n v="34500"/>
    <n v="15"/>
    <n v="205275"/>
    <x v="1"/>
    <x v="2"/>
    <x v="0"/>
    <x v="0"/>
  </r>
  <r>
    <s v="ORD10924"/>
    <x v="110"/>
    <s v="Emeka"/>
    <x v="2"/>
    <n v="35"/>
    <x v="3"/>
    <s v="Kano"/>
    <x v="3"/>
    <s v="Desk"/>
    <x v="4"/>
    <n v="3"/>
    <n v="26300"/>
    <n v="20"/>
    <n v="63120"/>
    <x v="2"/>
    <x v="2"/>
    <x v="3"/>
    <x v="0"/>
  </r>
  <r>
    <s v="ORD10925"/>
    <x v="360"/>
    <s v="Daniel"/>
    <x v="2"/>
    <n v="34"/>
    <x v="1"/>
    <s v="Lekki"/>
    <x v="0"/>
    <s v="Shoes"/>
    <x v="2"/>
    <n v="4"/>
    <n v="8200"/>
    <n v="25"/>
    <n v="24600"/>
    <x v="0"/>
    <x v="4"/>
    <x v="3"/>
    <x v="0"/>
  </r>
  <r>
    <s v="ORD10926"/>
    <x v="205"/>
    <s v="David"/>
    <x v="2"/>
    <n v="64"/>
    <x v="4"/>
    <s v="Ibadan"/>
    <x v="0"/>
    <s v="Shoes"/>
    <x v="5"/>
    <n v="7"/>
    <n v="17300"/>
    <n v="0"/>
    <n v="121100"/>
    <x v="2"/>
    <x v="1"/>
    <x v="1"/>
    <x v="1"/>
  </r>
  <r>
    <s v="ORD10927"/>
    <x v="23"/>
    <s v="Peter"/>
    <x v="2"/>
    <n v="19"/>
    <x v="1"/>
    <s v="Ikeja"/>
    <x v="1"/>
    <s v="Laptop"/>
    <x v="0"/>
    <n v="8"/>
    <n v="2800"/>
    <n v="0"/>
    <n v="22400"/>
    <x v="0"/>
    <x v="3"/>
    <x v="3"/>
    <x v="0"/>
  </r>
  <r>
    <s v="ORD10928"/>
    <x v="386"/>
    <s v="Grace"/>
    <x v="1"/>
    <n v="47"/>
    <x v="0"/>
    <s v="Enugu"/>
    <x v="3"/>
    <s v="Chair"/>
    <x v="3"/>
    <n v="4"/>
    <n v="49500"/>
    <n v="0"/>
    <n v="198000"/>
    <x v="0"/>
    <x v="0"/>
    <x v="2"/>
    <x v="0"/>
  </r>
  <r>
    <s v="ORD10930"/>
    <x v="405"/>
    <s v="Peter"/>
    <x v="2"/>
    <n v="18"/>
    <x v="2"/>
    <s v="Wuse"/>
    <x v="1"/>
    <s v="Laptop"/>
    <x v="5"/>
    <n v="2"/>
    <n v="22700"/>
    <n v="5"/>
    <n v="43130"/>
    <x v="2"/>
    <x v="4"/>
    <x v="0"/>
    <x v="0"/>
  </r>
  <r>
    <s v="ORD10931"/>
    <x v="80"/>
    <s v="Chioma"/>
    <x v="0"/>
    <n v="51"/>
    <x v="1"/>
    <s v="Lekki"/>
    <x v="2"/>
    <s v="Rice"/>
    <x v="1"/>
    <n v="1"/>
    <n v="45900"/>
    <n v="25"/>
    <n v="34425"/>
    <x v="0"/>
    <x v="3"/>
    <x v="3"/>
    <x v="0"/>
  </r>
  <r>
    <s v="ORD10933"/>
    <x v="67"/>
    <s v="David"/>
    <x v="0"/>
    <n v="31"/>
    <x v="4"/>
    <s v="Ogbomosho"/>
    <x v="0"/>
    <s v="Shoes"/>
    <x v="5"/>
    <n v="6"/>
    <n v="9900"/>
    <n v="15"/>
    <n v="50490"/>
    <x v="1"/>
    <x v="5"/>
    <x v="0"/>
    <x v="0"/>
  </r>
  <r>
    <s v="ORD10934"/>
    <x v="63"/>
    <s v="Peter"/>
    <x v="1"/>
    <n v="64"/>
    <x v="5"/>
    <s v="Port Harcourt"/>
    <x v="1"/>
    <s v="Phone"/>
    <x v="3"/>
    <n v="9"/>
    <n v="7300"/>
    <n v="25"/>
    <n v="49275"/>
    <x v="1"/>
    <x v="5"/>
    <x v="3"/>
    <x v="0"/>
  </r>
  <r>
    <s v="ORD10937"/>
    <x v="3"/>
    <s v="Mary"/>
    <x v="0"/>
    <n v="43"/>
    <x v="5"/>
    <s v="Port Harcourt"/>
    <x v="1"/>
    <s v="Laptop"/>
    <x v="5"/>
    <n v="9"/>
    <n v="7400"/>
    <n v="5"/>
    <n v="63270"/>
    <x v="1"/>
    <x v="2"/>
    <x v="0"/>
    <x v="0"/>
  </r>
  <r>
    <s v="ORD10938"/>
    <x v="406"/>
    <s v="Peter"/>
    <x v="2"/>
    <n v="19"/>
    <x v="2"/>
    <s v="Wuse"/>
    <x v="1"/>
    <s v="Phone"/>
    <x v="2"/>
    <n v="3"/>
    <n v="18700"/>
    <n v="15"/>
    <n v="47685"/>
    <x v="0"/>
    <x v="1"/>
    <x v="1"/>
    <x v="1"/>
  </r>
  <r>
    <s v="ORD10939"/>
    <x v="155"/>
    <s v="Peter"/>
    <x v="2"/>
    <n v="40"/>
    <x v="2"/>
    <s v="Garki"/>
    <x v="0"/>
    <s v="Shirt"/>
    <x v="4"/>
    <n v="10"/>
    <n v="24800"/>
    <n v="25"/>
    <n v="186000"/>
    <x v="1"/>
    <x v="0"/>
    <x v="2"/>
    <x v="0"/>
  </r>
  <r>
    <s v="ORD10940"/>
    <x v="407"/>
    <s v="Peter"/>
    <x v="2"/>
    <n v="52"/>
    <x v="5"/>
    <s v="Obio"/>
    <x v="1"/>
    <s v="Laptop"/>
    <x v="2"/>
    <n v="2"/>
    <n v="32500"/>
    <n v="20"/>
    <n v="52000"/>
    <x v="2"/>
    <x v="2"/>
    <x v="0"/>
    <x v="0"/>
  </r>
  <r>
    <s v="ORD10941"/>
    <x v="299"/>
    <s v="Aisha"/>
    <x v="0"/>
    <n v="25"/>
    <x v="5"/>
    <s v="Port Harcourt"/>
    <x v="1"/>
    <s v="Phone"/>
    <x v="2"/>
    <n v="1"/>
    <n v="16200"/>
    <n v="5"/>
    <n v="15390"/>
    <x v="2"/>
    <x v="2"/>
    <x v="1"/>
    <x v="1"/>
  </r>
  <r>
    <s v="ORD10942"/>
    <x v="29"/>
    <s v="Grace"/>
    <x v="2"/>
    <n v="30"/>
    <x v="4"/>
    <s v="Ogbomosho"/>
    <x v="1"/>
    <s v="Laptop"/>
    <x v="1"/>
    <n v="5"/>
    <n v="34900"/>
    <n v="10"/>
    <n v="157050"/>
    <x v="3"/>
    <x v="2"/>
    <x v="3"/>
    <x v="0"/>
  </r>
  <r>
    <s v="ORD10943"/>
    <x v="259"/>
    <s v="Daniel"/>
    <x v="2"/>
    <n v="29"/>
    <x v="0"/>
    <s v="Enugu"/>
    <x v="0"/>
    <s v="Shoes"/>
    <x v="0"/>
    <n v="6"/>
    <n v="23000"/>
    <n v="10"/>
    <n v="124200"/>
    <x v="0"/>
    <x v="2"/>
    <x v="3"/>
    <x v="0"/>
  </r>
  <r>
    <s v="ORD10944"/>
    <x v="157"/>
    <s v="Aisha"/>
    <x v="0"/>
    <n v="27"/>
    <x v="0"/>
    <s v="Enugu"/>
    <x v="3"/>
    <s v="Desk"/>
    <x v="2"/>
    <n v="3"/>
    <n v="40300"/>
    <n v="15"/>
    <n v="102765"/>
    <x v="0"/>
    <x v="5"/>
    <x v="0"/>
    <x v="0"/>
  </r>
  <r>
    <s v="ORD10946"/>
    <x v="408"/>
    <s v="Peter"/>
    <x v="1"/>
    <n v="50"/>
    <x v="1"/>
    <s v="Lekki"/>
    <x v="0"/>
    <s v="Shirt"/>
    <x v="1"/>
    <n v="3"/>
    <n v="7500"/>
    <n v="20"/>
    <n v="18000"/>
    <x v="1"/>
    <x v="2"/>
    <x v="2"/>
    <x v="0"/>
  </r>
  <r>
    <s v="ORD10948"/>
    <x v="409"/>
    <s v="Ruth"/>
    <x v="1"/>
    <n v="30"/>
    <x v="2"/>
    <s v="Garki"/>
    <x v="1"/>
    <s v="Laptop"/>
    <x v="5"/>
    <n v="2"/>
    <n v="18400"/>
    <n v="0"/>
    <n v="36800"/>
    <x v="1"/>
    <x v="0"/>
    <x v="2"/>
    <x v="0"/>
  </r>
  <r>
    <s v="ORD10949"/>
    <x v="11"/>
    <s v="Mary"/>
    <x v="2"/>
    <n v="58"/>
    <x v="0"/>
    <s v="Enugu"/>
    <x v="2"/>
    <s v="Rice"/>
    <x v="2"/>
    <n v="2"/>
    <n v="19900"/>
    <n v="15"/>
    <n v="33830"/>
    <x v="0"/>
    <x v="2"/>
    <x v="1"/>
    <x v="1"/>
  </r>
  <r>
    <s v="ORD10950"/>
    <x v="88"/>
    <s v="Chioma"/>
    <x v="1"/>
    <n v="37"/>
    <x v="1"/>
    <s v="Ikeja"/>
    <x v="0"/>
    <s v="Shoes"/>
    <x v="1"/>
    <n v="5"/>
    <n v="13600"/>
    <n v="5"/>
    <n v="64600"/>
    <x v="1"/>
    <x v="5"/>
    <x v="3"/>
    <x v="0"/>
  </r>
  <r>
    <s v="ORD10951"/>
    <x v="410"/>
    <s v="John"/>
    <x v="0"/>
    <n v="25"/>
    <x v="3"/>
    <s v="Kano"/>
    <x v="3"/>
    <s v="Desk"/>
    <x v="3"/>
    <n v="1"/>
    <n v="27000"/>
    <n v="5"/>
    <n v="25650"/>
    <x v="0"/>
    <x v="0"/>
    <x v="3"/>
    <x v="0"/>
  </r>
  <r>
    <s v="ORD10952"/>
    <x v="411"/>
    <s v="David"/>
    <x v="0"/>
    <n v="21"/>
    <x v="5"/>
    <s v="Port Harcourt"/>
    <x v="3"/>
    <s v="Chair"/>
    <x v="2"/>
    <n v="2"/>
    <n v="44200"/>
    <n v="20"/>
    <n v="70720"/>
    <x v="2"/>
    <x v="0"/>
    <x v="2"/>
    <x v="0"/>
  </r>
  <r>
    <s v="ORD10953"/>
    <x v="390"/>
    <s v="Daniel"/>
    <x v="2"/>
    <n v="43"/>
    <x v="4"/>
    <s v="Ogbomosho"/>
    <x v="1"/>
    <s v="Laptop"/>
    <x v="5"/>
    <n v="8"/>
    <n v="11000"/>
    <n v="0"/>
    <n v="88000"/>
    <x v="2"/>
    <x v="3"/>
    <x v="1"/>
    <x v="1"/>
  </r>
  <r>
    <s v="ORD10954"/>
    <x v="394"/>
    <s v="Emeka"/>
    <x v="2"/>
    <n v="55"/>
    <x v="1"/>
    <s v="Ikeja"/>
    <x v="0"/>
    <s v="Shirt"/>
    <x v="1"/>
    <n v="10"/>
    <n v="30900"/>
    <n v="0"/>
    <n v="309000"/>
    <x v="1"/>
    <x v="5"/>
    <x v="1"/>
    <x v="1"/>
  </r>
  <r>
    <s v="ORD10955"/>
    <x v="173"/>
    <s v="John"/>
    <x v="2"/>
    <n v="19"/>
    <x v="5"/>
    <s v="Port Harcourt"/>
    <x v="2"/>
    <s v="Rice"/>
    <x v="3"/>
    <n v="3"/>
    <n v="32200"/>
    <n v="5"/>
    <n v="91770"/>
    <x v="1"/>
    <x v="3"/>
    <x v="2"/>
    <x v="0"/>
  </r>
  <r>
    <s v="ORD10956"/>
    <x v="8"/>
    <s v="Grace"/>
    <x v="0"/>
    <n v="20"/>
    <x v="3"/>
    <s v="Kano"/>
    <x v="3"/>
    <s v="Chair"/>
    <x v="3"/>
    <n v="8"/>
    <n v="28500"/>
    <n v="15"/>
    <n v="193800"/>
    <x v="2"/>
    <x v="5"/>
    <x v="1"/>
    <x v="1"/>
  </r>
  <r>
    <s v="ORD10957"/>
    <x v="412"/>
    <s v="Mary"/>
    <x v="0"/>
    <n v="52"/>
    <x v="4"/>
    <s v="Ibadan"/>
    <x v="2"/>
    <s v="Rice"/>
    <x v="5"/>
    <n v="8"/>
    <n v="29800"/>
    <n v="10"/>
    <n v="214560"/>
    <x v="2"/>
    <x v="0"/>
    <x v="2"/>
    <x v="0"/>
  </r>
  <r>
    <s v="ORD10958"/>
    <x v="268"/>
    <s v="Daniel"/>
    <x v="0"/>
    <n v="52"/>
    <x v="1"/>
    <s v="Lekki"/>
    <x v="3"/>
    <s v="Desk"/>
    <x v="2"/>
    <n v="7"/>
    <n v="31400"/>
    <n v="10"/>
    <n v="197820"/>
    <x v="1"/>
    <x v="0"/>
    <x v="0"/>
    <x v="0"/>
  </r>
  <r>
    <s v="ORD10960"/>
    <x v="270"/>
    <s v="David"/>
    <x v="2"/>
    <n v="46"/>
    <x v="5"/>
    <s v="Obio"/>
    <x v="2"/>
    <s v="Rice"/>
    <x v="1"/>
    <n v="8"/>
    <n v="24400"/>
    <n v="0"/>
    <n v="195200"/>
    <x v="1"/>
    <x v="4"/>
    <x v="0"/>
    <x v="0"/>
  </r>
  <r>
    <s v="ORD10961"/>
    <x v="376"/>
    <s v="Emeka"/>
    <x v="0"/>
    <n v="43"/>
    <x v="4"/>
    <s v="Ibadan"/>
    <x v="1"/>
    <s v="Laptop"/>
    <x v="4"/>
    <n v="4"/>
    <n v="48600"/>
    <n v="20"/>
    <n v="155520"/>
    <x v="1"/>
    <x v="0"/>
    <x v="3"/>
    <x v="0"/>
  </r>
  <r>
    <s v="ORD10962"/>
    <x v="88"/>
    <s v="David"/>
    <x v="1"/>
    <n v="64"/>
    <x v="5"/>
    <s v="Obio"/>
    <x v="3"/>
    <s v="Chair"/>
    <x v="3"/>
    <n v="1"/>
    <n v="4000"/>
    <n v="25"/>
    <n v="3000"/>
    <x v="2"/>
    <x v="2"/>
    <x v="0"/>
    <x v="0"/>
  </r>
  <r>
    <s v="ORD10963"/>
    <x v="413"/>
    <s v="John"/>
    <x v="1"/>
    <n v="49"/>
    <x v="0"/>
    <s v="Enugu"/>
    <x v="0"/>
    <s v="Shirt"/>
    <x v="0"/>
    <n v="5"/>
    <n v="31300"/>
    <n v="25"/>
    <n v="117375"/>
    <x v="1"/>
    <x v="5"/>
    <x v="1"/>
    <x v="1"/>
  </r>
  <r>
    <s v="ORD10964"/>
    <x v="414"/>
    <s v="David"/>
    <x v="0"/>
    <n v="35"/>
    <x v="5"/>
    <s v="Obio"/>
    <x v="0"/>
    <s v="Shirt"/>
    <x v="3"/>
    <n v="10"/>
    <n v="23200"/>
    <n v="10"/>
    <n v="208800"/>
    <x v="2"/>
    <x v="2"/>
    <x v="3"/>
    <x v="0"/>
  </r>
  <r>
    <s v="ORD10965"/>
    <x v="50"/>
    <s v="David"/>
    <x v="1"/>
    <n v="57"/>
    <x v="2"/>
    <s v="Wuse"/>
    <x v="3"/>
    <s v="Desk"/>
    <x v="1"/>
    <n v="9"/>
    <n v="17700"/>
    <n v="0"/>
    <n v="159300"/>
    <x v="1"/>
    <x v="1"/>
    <x v="2"/>
    <x v="0"/>
  </r>
  <r>
    <s v="ORD10966"/>
    <x v="197"/>
    <s v="Grace"/>
    <x v="0"/>
    <n v="150"/>
    <x v="0"/>
    <s v="Enugu"/>
    <x v="2"/>
    <s v="Beans"/>
    <x v="3"/>
    <n v="5"/>
    <n v="4400"/>
    <n v="5"/>
    <n v="20900"/>
    <x v="2"/>
    <x v="5"/>
    <x v="0"/>
    <x v="0"/>
  </r>
  <r>
    <s v="ORD10967"/>
    <x v="150"/>
    <s v="David"/>
    <x v="1"/>
    <n v="41"/>
    <x v="4"/>
    <s v="Ibadan"/>
    <x v="2"/>
    <s v="Beans"/>
    <x v="4"/>
    <n v="10"/>
    <n v="8800"/>
    <n v="5"/>
    <n v="83600"/>
    <x v="0"/>
    <x v="0"/>
    <x v="1"/>
    <x v="1"/>
  </r>
  <r>
    <s v="ORD10968"/>
    <x v="28"/>
    <s v="Mary"/>
    <x v="2"/>
    <n v="32"/>
    <x v="0"/>
    <s v="Enugu"/>
    <x v="0"/>
    <s v="Shirt"/>
    <x v="0"/>
    <n v="9"/>
    <n v="46800"/>
    <n v="20"/>
    <n v="336960"/>
    <x v="2"/>
    <x v="0"/>
    <x v="1"/>
    <x v="1"/>
  </r>
  <r>
    <s v="ORD10970"/>
    <x v="315"/>
    <s v="David"/>
    <x v="0"/>
    <n v="64"/>
    <x v="4"/>
    <s v="Ibadan"/>
    <x v="3"/>
    <s v="Chair"/>
    <x v="2"/>
    <n v="5"/>
    <n v="15500"/>
    <n v="20"/>
    <n v="62000"/>
    <x v="1"/>
    <x v="0"/>
    <x v="2"/>
    <x v="0"/>
  </r>
  <r>
    <s v="ORD10971"/>
    <x v="107"/>
    <s v="Emeka"/>
    <x v="2"/>
    <n v="24"/>
    <x v="5"/>
    <s v="Port Harcourt"/>
    <x v="1"/>
    <s v="Laptop"/>
    <x v="1"/>
    <n v="6"/>
    <n v="7800"/>
    <n v="20"/>
    <n v="37440"/>
    <x v="1"/>
    <x v="4"/>
    <x v="3"/>
    <x v="0"/>
  </r>
  <r>
    <s v="ORD10972"/>
    <x v="390"/>
    <s v="Mary"/>
    <x v="2"/>
    <n v="43"/>
    <x v="2"/>
    <s v="Garki"/>
    <x v="0"/>
    <s v="Shirt"/>
    <x v="1"/>
    <n v="4"/>
    <n v="43400"/>
    <n v="20"/>
    <n v="138880"/>
    <x v="1"/>
    <x v="5"/>
    <x v="2"/>
    <x v="0"/>
  </r>
  <r>
    <s v="ORD10973"/>
    <x v="415"/>
    <s v="Chioma"/>
    <x v="0"/>
    <n v="60"/>
    <x v="0"/>
    <s v="Enugu"/>
    <x v="3"/>
    <s v="Chair"/>
    <x v="3"/>
    <n v="7"/>
    <n v="40100"/>
    <n v="25"/>
    <n v="210525"/>
    <x v="0"/>
    <x v="2"/>
    <x v="3"/>
    <x v="0"/>
  </r>
  <r>
    <s v="ORD10975"/>
    <x v="397"/>
    <s v="Emeka"/>
    <x v="0"/>
    <n v="61"/>
    <x v="5"/>
    <s v="Obio"/>
    <x v="1"/>
    <s v="Laptop"/>
    <x v="5"/>
    <n v="3"/>
    <n v="49300"/>
    <n v="0"/>
    <n v="147900"/>
    <x v="0"/>
    <x v="0"/>
    <x v="2"/>
    <x v="0"/>
  </r>
  <r>
    <s v="ORD10976"/>
    <x v="191"/>
    <s v="Aisha"/>
    <x v="1"/>
    <n v="46"/>
    <x v="3"/>
    <s v="Kano"/>
    <x v="2"/>
    <s v="Rice"/>
    <x v="1"/>
    <n v="3"/>
    <n v="48100"/>
    <n v="0"/>
    <n v="144300"/>
    <x v="1"/>
    <x v="4"/>
    <x v="0"/>
    <x v="0"/>
  </r>
  <r>
    <s v="ORD10977"/>
    <x v="416"/>
    <s v="Ruth"/>
    <x v="0"/>
    <n v="22"/>
    <x v="1"/>
    <s v="Lekki"/>
    <x v="3"/>
    <s v="Chair"/>
    <x v="4"/>
    <n v="8"/>
    <n v="38400"/>
    <n v="0"/>
    <n v="307200"/>
    <x v="0"/>
    <x v="0"/>
    <x v="3"/>
    <x v="0"/>
  </r>
  <r>
    <s v="ORD10978"/>
    <x v="261"/>
    <s v="Emeka"/>
    <x v="0"/>
    <n v="60"/>
    <x v="2"/>
    <s v="Garki"/>
    <x v="3"/>
    <s v="Desk"/>
    <x v="1"/>
    <n v="10"/>
    <n v="31400"/>
    <n v="10"/>
    <n v="282600"/>
    <x v="0"/>
    <x v="1"/>
    <x v="1"/>
    <x v="1"/>
  </r>
  <r>
    <s v="ORD10979"/>
    <x v="245"/>
    <s v="Mary"/>
    <x v="2"/>
    <n v="21"/>
    <x v="0"/>
    <s v="Enugu"/>
    <x v="2"/>
    <s v="Beans"/>
    <x v="2"/>
    <n v="1"/>
    <n v="38800"/>
    <n v="25"/>
    <n v="29100"/>
    <x v="1"/>
    <x v="5"/>
    <x v="0"/>
    <x v="0"/>
  </r>
  <r>
    <s v="ORD10980"/>
    <x v="364"/>
    <s v="Peter"/>
    <x v="0"/>
    <n v="55"/>
    <x v="3"/>
    <s v="Kano"/>
    <x v="2"/>
    <s v="Beans"/>
    <x v="2"/>
    <n v="10"/>
    <n v="22700"/>
    <n v="5"/>
    <n v="215650"/>
    <x v="1"/>
    <x v="0"/>
    <x v="1"/>
    <x v="1"/>
  </r>
  <r>
    <s v="ORD10981"/>
    <x v="41"/>
    <s v="Emeka"/>
    <x v="2"/>
    <n v="19"/>
    <x v="4"/>
    <s v="Ibadan"/>
    <x v="1"/>
    <s v="Phone"/>
    <x v="1"/>
    <n v="7"/>
    <n v="16600"/>
    <n v="0"/>
    <n v="116200"/>
    <x v="1"/>
    <x v="4"/>
    <x v="2"/>
    <x v="0"/>
  </r>
  <r>
    <s v="ORD10984"/>
    <x v="417"/>
    <s v="Mary"/>
    <x v="2"/>
    <n v="42"/>
    <x v="1"/>
    <s v="Ikeja"/>
    <x v="2"/>
    <s v="Rice"/>
    <x v="4"/>
    <n v="3"/>
    <n v="34900"/>
    <n v="20"/>
    <n v="83760"/>
    <x v="1"/>
    <x v="4"/>
    <x v="3"/>
    <x v="0"/>
  </r>
  <r>
    <s v="ORD10985"/>
    <x v="52"/>
    <s v="Daniel"/>
    <x v="1"/>
    <n v="33"/>
    <x v="5"/>
    <s v="Obio"/>
    <x v="3"/>
    <s v="Chair"/>
    <x v="5"/>
    <n v="5"/>
    <n v="45400"/>
    <n v="20"/>
    <n v="181600"/>
    <x v="1"/>
    <x v="4"/>
    <x v="2"/>
    <x v="0"/>
  </r>
  <r>
    <s v="ORD10986"/>
    <x v="171"/>
    <s v="Ruth"/>
    <x v="2"/>
    <n v="41"/>
    <x v="4"/>
    <s v="Ibadan"/>
    <x v="0"/>
    <s v="Shirt"/>
    <x v="5"/>
    <n v="7"/>
    <n v="46000"/>
    <n v="0"/>
    <n v="322000"/>
    <x v="2"/>
    <x v="4"/>
    <x v="0"/>
    <x v="0"/>
  </r>
  <r>
    <s v="ORD10988"/>
    <x v="195"/>
    <s v="Aisha"/>
    <x v="2"/>
    <n v="40"/>
    <x v="5"/>
    <s v="Port Harcourt"/>
    <x v="3"/>
    <s v="Desk"/>
    <x v="5"/>
    <n v="1"/>
    <n v="13900"/>
    <n v="5"/>
    <n v="13205"/>
    <x v="0"/>
    <x v="0"/>
    <x v="3"/>
    <x v="0"/>
  </r>
  <r>
    <s v="ORD10989"/>
    <x v="161"/>
    <s v="Mary"/>
    <x v="2"/>
    <n v="49"/>
    <x v="3"/>
    <s v="Kano"/>
    <x v="2"/>
    <s v="Beans"/>
    <x v="2"/>
    <n v="7"/>
    <n v="21600"/>
    <n v="20"/>
    <n v="120960"/>
    <x v="1"/>
    <x v="3"/>
    <x v="3"/>
    <x v="0"/>
  </r>
  <r>
    <s v="ORD10990"/>
    <x v="418"/>
    <s v="Peter"/>
    <x v="2"/>
    <n v="37"/>
    <x v="0"/>
    <s v="Enugu"/>
    <x v="0"/>
    <s v="Shoes"/>
    <x v="5"/>
    <n v="10"/>
    <n v="37900"/>
    <n v="15"/>
    <n v="322150"/>
    <x v="1"/>
    <x v="2"/>
    <x v="3"/>
    <x v="0"/>
  </r>
  <r>
    <s v="ORD10992"/>
    <x v="287"/>
    <s v="Daniel"/>
    <x v="0"/>
    <n v="35"/>
    <x v="4"/>
    <s v="Ibadan"/>
    <x v="1"/>
    <s v="Phone"/>
    <x v="5"/>
    <n v="10"/>
    <n v="34100"/>
    <n v="15"/>
    <n v="289850"/>
    <x v="0"/>
    <x v="3"/>
    <x v="3"/>
    <x v="0"/>
  </r>
  <r>
    <s v="ORD10993"/>
    <x v="254"/>
    <s v="Chioma"/>
    <x v="0"/>
    <n v="41"/>
    <x v="4"/>
    <s v="Ogbomosho"/>
    <x v="1"/>
    <s v="Phone"/>
    <x v="2"/>
    <n v="1"/>
    <n v="2900"/>
    <n v="0"/>
    <n v="2900"/>
    <x v="2"/>
    <x v="0"/>
    <x v="3"/>
    <x v="0"/>
  </r>
  <r>
    <s v="ORD10995"/>
    <x v="419"/>
    <s v="John"/>
    <x v="0"/>
    <n v="59"/>
    <x v="5"/>
    <s v="Obio"/>
    <x v="2"/>
    <s v="Beans"/>
    <x v="1"/>
    <n v="4"/>
    <n v="49400"/>
    <n v="25"/>
    <n v="148200"/>
    <x v="1"/>
    <x v="0"/>
    <x v="0"/>
    <x v="0"/>
  </r>
  <r>
    <s v="ORD10996"/>
    <x v="395"/>
    <s v="Aisha"/>
    <x v="0"/>
    <n v="30"/>
    <x v="3"/>
    <s v="Kano"/>
    <x v="1"/>
    <s v="Phone"/>
    <x v="1"/>
    <n v="9"/>
    <n v="13700"/>
    <n v="15"/>
    <n v="104805"/>
    <x v="2"/>
    <x v="0"/>
    <x v="3"/>
    <x v="0"/>
  </r>
  <r>
    <s v="ORD11000"/>
    <x v="323"/>
    <s v="David"/>
    <x v="2"/>
    <n v="22"/>
    <x v="0"/>
    <s v="Enugu"/>
    <x v="2"/>
    <s v="Rice"/>
    <x v="1"/>
    <n v="2"/>
    <n v="43800"/>
    <n v="0"/>
    <n v="87600"/>
    <x v="1"/>
    <x v="1"/>
    <x v="1"/>
    <x v="1"/>
  </r>
  <r>
    <s v="ORD11001"/>
    <x v="249"/>
    <s v="Mary"/>
    <x v="2"/>
    <n v="61"/>
    <x v="0"/>
    <s v="Enugu"/>
    <x v="3"/>
    <s v="Desk"/>
    <x v="4"/>
    <n v="3"/>
    <n v="18100"/>
    <n v="10"/>
    <n v="48870"/>
    <x v="1"/>
    <x v="1"/>
    <x v="1"/>
    <x v="1"/>
  </r>
  <r>
    <s v="ORD11003"/>
    <x v="115"/>
    <s v="Peter"/>
    <x v="0"/>
    <n v="32"/>
    <x v="1"/>
    <s v="Lekki"/>
    <x v="0"/>
    <s v="Shoes"/>
    <x v="0"/>
    <n v="4"/>
    <n v="27500"/>
    <n v="15"/>
    <n v="93500"/>
    <x v="1"/>
    <x v="0"/>
    <x v="3"/>
    <x v="0"/>
  </r>
  <r>
    <s v="ORD11004"/>
    <x v="196"/>
    <s v="David"/>
    <x v="0"/>
    <n v="52"/>
    <x v="4"/>
    <s v="Ogbomosho"/>
    <x v="1"/>
    <s v="Phone"/>
    <x v="3"/>
    <n v="1"/>
    <n v="17800"/>
    <n v="5"/>
    <n v="16910"/>
    <x v="1"/>
    <x v="3"/>
    <x v="0"/>
    <x v="0"/>
  </r>
  <r>
    <s v="ORD11005"/>
    <x v="18"/>
    <s v="Aisha"/>
    <x v="2"/>
    <n v="23"/>
    <x v="0"/>
    <s v="Enugu"/>
    <x v="1"/>
    <s v="Phone"/>
    <x v="1"/>
    <n v="4"/>
    <n v="15000"/>
    <n v="10"/>
    <n v="54000"/>
    <x v="1"/>
    <x v="5"/>
    <x v="0"/>
    <x v="0"/>
  </r>
  <r>
    <s v="ORD11008"/>
    <x v="420"/>
    <s v="Emeka"/>
    <x v="2"/>
    <n v="47"/>
    <x v="0"/>
    <s v="Enugu"/>
    <x v="3"/>
    <s v="Chair"/>
    <x v="1"/>
    <n v="3"/>
    <n v="31400"/>
    <n v="0"/>
    <n v="94200"/>
    <x v="1"/>
    <x v="0"/>
    <x v="3"/>
    <x v="0"/>
  </r>
  <r>
    <s v="ORD11009"/>
    <x v="173"/>
    <s v="John"/>
    <x v="0"/>
    <n v="42"/>
    <x v="4"/>
    <s v="Ibadan"/>
    <x v="1"/>
    <s v="Phone"/>
    <x v="2"/>
    <n v="5"/>
    <n v="25300"/>
    <n v="10"/>
    <n v="113850"/>
    <x v="1"/>
    <x v="3"/>
    <x v="0"/>
    <x v="0"/>
  </r>
  <r>
    <s v="ORD11010"/>
    <x v="0"/>
    <s v="John"/>
    <x v="2"/>
    <n v="32"/>
    <x v="5"/>
    <s v="Port Harcourt"/>
    <x v="1"/>
    <s v="Laptop"/>
    <x v="1"/>
    <n v="4"/>
    <n v="12300"/>
    <n v="5"/>
    <n v="46740"/>
    <x v="1"/>
    <x v="0"/>
    <x v="2"/>
    <x v="0"/>
  </r>
  <r>
    <s v="ORD11011"/>
    <x v="316"/>
    <s v="Daniel"/>
    <x v="2"/>
    <n v="24"/>
    <x v="3"/>
    <s v="Kano"/>
    <x v="3"/>
    <s v="Desk"/>
    <x v="1"/>
    <n v="2"/>
    <n v="11200"/>
    <n v="15"/>
    <n v="19040"/>
    <x v="0"/>
    <x v="0"/>
    <x v="0"/>
    <x v="0"/>
  </r>
  <r>
    <s v="ORD11013"/>
    <x v="338"/>
    <s v="Chioma"/>
    <x v="2"/>
    <n v="41"/>
    <x v="2"/>
    <s v="Wuse"/>
    <x v="3"/>
    <s v="Desk"/>
    <x v="0"/>
    <n v="3"/>
    <n v="24800"/>
    <n v="25"/>
    <n v="55800"/>
    <x v="2"/>
    <x v="0"/>
    <x v="1"/>
    <x v="1"/>
  </r>
  <r>
    <s v="ORD11015"/>
    <x v="346"/>
    <s v="Emeka"/>
    <x v="0"/>
    <n v="57"/>
    <x v="0"/>
    <s v="Enugu"/>
    <x v="0"/>
    <s v="Shirt"/>
    <x v="0"/>
    <n v="4"/>
    <n v="19900"/>
    <n v="10"/>
    <n v="71640"/>
    <x v="0"/>
    <x v="3"/>
    <x v="2"/>
    <x v="0"/>
  </r>
  <r>
    <s v="ORD11016"/>
    <x v="106"/>
    <s v="Chioma"/>
    <x v="2"/>
    <n v="63"/>
    <x v="4"/>
    <s v="Ibadan"/>
    <x v="3"/>
    <s v="Chair"/>
    <x v="4"/>
    <n v="1"/>
    <n v="39200"/>
    <n v="0"/>
    <n v="39200"/>
    <x v="0"/>
    <x v="5"/>
    <x v="3"/>
    <x v="0"/>
  </r>
  <r>
    <s v="ORD11017"/>
    <x v="371"/>
    <s v="Emeka"/>
    <x v="0"/>
    <n v="36"/>
    <x v="2"/>
    <s v="Wuse"/>
    <x v="0"/>
    <s v="Shirt"/>
    <x v="2"/>
    <n v="7"/>
    <n v="18000"/>
    <n v="20"/>
    <n v="100800"/>
    <x v="2"/>
    <x v="3"/>
    <x v="1"/>
    <x v="1"/>
  </r>
  <r>
    <s v="ORD11018"/>
    <x v="177"/>
    <s v="Ruth"/>
    <x v="0"/>
    <n v="20"/>
    <x v="5"/>
    <s v="Port Harcourt"/>
    <x v="0"/>
    <s v="Shirt"/>
    <x v="1"/>
    <n v="8"/>
    <n v="38300"/>
    <n v="15"/>
    <n v="260440"/>
    <x v="1"/>
    <x v="0"/>
    <x v="0"/>
    <x v="0"/>
  </r>
  <r>
    <s v="ORD11019"/>
    <x v="138"/>
    <s v="Mary"/>
    <x v="0"/>
    <n v="27"/>
    <x v="3"/>
    <s v="Kano"/>
    <x v="1"/>
    <s v="Laptop"/>
    <x v="2"/>
    <n v="6"/>
    <n v="21500"/>
    <n v="10"/>
    <n v="116100"/>
    <x v="1"/>
    <x v="4"/>
    <x v="0"/>
    <x v="0"/>
  </r>
  <r>
    <s v="ORD11020"/>
    <x v="421"/>
    <s v="Ruth"/>
    <x v="0"/>
    <n v="22"/>
    <x v="3"/>
    <s v="Kano"/>
    <x v="3"/>
    <s v="Chair"/>
    <x v="5"/>
    <n v="1"/>
    <n v="23500"/>
    <n v="15"/>
    <n v="19975"/>
    <x v="0"/>
    <x v="0"/>
    <x v="3"/>
    <x v="0"/>
  </r>
  <r>
    <s v="ORD11021"/>
    <x v="422"/>
    <s v="Peter"/>
    <x v="1"/>
    <n v="46"/>
    <x v="5"/>
    <s v="Port Harcourt"/>
    <x v="2"/>
    <s v="Rice"/>
    <x v="5"/>
    <n v="7"/>
    <n v="11500"/>
    <n v="10"/>
    <n v="72450"/>
    <x v="0"/>
    <x v="0"/>
    <x v="3"/>
    <x v="0"/>
  </r>
  <r>
    <s v="ORD11022"/>
    <x v="1"/>
    <s v="Aisha"/>
    <x v="2"/>
    <n v="54"/>
    <x v="0"/>
    <s v="Enugu"/>
    <x v="2"/>
    <s v="Rice"/>
    <x v="0"/>
    <n v="6"/>
    <n v="21100"/>
    <n v="15"/>
    <n v="107610"/>
    <x v="2"/>
    <x v="3"/>
    <x v="0"/>
    <x v="0"/>
  </r>
  <r>
    <s v="ORD11023"/>
    <x v="257"/>
    <s v="Mary"/>
    <x v="2"/>
    <n v="61"/>
    <x v="4"/>
    <s v="Ogbomosho"/>
    <x v="0"/>
    <s v="Shirt"/>
    <x v="4"/>
    <n v="4"/>
    <n v="27900"/>
    <n v="5"/>
    <n v="106020"/>
    <x v="0"/>
    <x v="5"/>
    <x v="3"/>
    <x v="0"/>
  </r>
  <r>
    <s v="ORD11024"/>
    <x v="103"/>
    <s v="David"/>
    <x v="1"/>
    <n v="23"/>
    <x v="2"/>
    <s v="Garki"/>
    <x v="0"/>
    <s v="Shirt"/>
    <x v="3"/>
    <n v="5"/>
    <n v="47000"/>
    <n v="5"/>
    <n v="223250"/>
    <x v="1"/>
    <x v="0"/>
    <x v="2"/>
    <x v="0"/>
  </r>
  <r>
    <s v="ORD11025"/>
    <x v="423"/>
    <s v="Chioma"/>
    <x v="0"/>
    <n v="21"/>
    <x v="5"/>
    <s v="Port Harcourt"/>
    <x v="3"/>
    <s v="Desk"/>
    <x v="5"/>
    <n v="7"/>
    <n v="23800"/>
    <n v="5"/>
    <n v="158270"/>
    <x v="1"/>
    <x v="0"/>
    <x v="0"/>
    <x v="0"/>
  </r>
  <r>
    <s v="ORD11026"/>
    <x v="359"/>
    <s v="Chioma"/>
    <x v="1"/>
    <n v="46"/>
    <x v="1"/>
    <s v="Ikeja"/>
    <x v="2"/>
    <s v="Rice"/>
    <x v="2"/>
    <n v="8"/>
    <n v="6800"/>
    <n v="0"/>
    <n v="54400"/>
    <x v="0"/>
    <x v="4"/>
    <x v="2"/>
    <x v="0"/>
  </r>
  <r>
    <s v="ORD11027"/>
    <x v="140"/>
    <s v="John"/>
    <x v="2"/>
    <n v="35"/>
    <x v="4"/>
    <s v="Ogbomosho"/>
    <x v="2"/>
    <s v="Beans"/>
    <x v="4"/>
    <n v="4"/>
    <n v="15000"/>
    <n v="15"/>
    <n v="51000"/>
    <x v="1"/>
    <x v="2"/>
    <x v="1"/>
    <x v="1"/>
  </r>
  <r>
    <s v="ORD11028"/>
    <x v="422"/>
    <s v="Daniel"/>
    <x v="2"/>
    <n v="59"/>
    <x v="1"/>
    <s v="Ikeja"/>
    <x v="0"/>
    <s v="Shoes"/>
    <x v="4"/>
    <n v="9"/>
    <n v="4300"/>
    <n v="25"/>
    <n v="29025"/>
    <x v="0"/>
    <x v="0"/>
    <x v="2"/>
    <x v="0"/>
  </r>
  <r>
    <s v="ORD11030"/>
    <x v="166"/>
    <s v="Aisha"/>
    <x v="1"/>
    <n v="58"/>
    <x v="3"/>
    <s v="Kano"/>
    <x v="1"/>
    <s v="Laptop"/>
    <x v="2"/>
    <n v="4"/>
    <n v="11500"/>
    <n v="0"/>
    <n v="46000"/>
    <x v="0"/>
    <x v="0"/>
    <x v="0"/>
    <x v="0"/>
  </r>
  <r>
    <s v="ORD11033"/>
    <x v="38"/>
    <s v="John"/>
    <x v="1"/>
    <n v="47"/>
    <x v="3"/>
    <s v="Kano"/>
    <x v="3"/>
    <s v="Chair"/>
    <x v="0"/>
    <n v="2"/>
    <n v="8500"/>
    <n v="20"/>
    <n v="13600"/>
    <x v="0"/>
    <x v="0"/>
    <x v="0"/>
    <x v="0"/>
  </r>
  <r>
    <s v="ORD11034"/>
    <x v="3"/>
    <s v="John"/>
    <x v="2"/>
    <n v="49"/>
    <x v="2"/>
    <s v="Garki"/>
    <x v="2"/>
    <s v="Beans"/>
    <x v="2"/>
    <n v="7"/>
    <n v="45100"/>
    <n v="20"/>
    <n v="252560"/>
    <x v="1"/>
    <x v="3"/>
    <x v="0"/>
    <x v="0"/>
  </r>
  <r>
    <s v="ORD11035"/>
    <x v="340"/>
    <s v="Peter"/>
    <x v="1"/>
    <n v="55"/>
    <x v="5"/>
    <s v="Port Harcourt"/>
    <x v="0"/>
    <s v="Shoes"/>
    <x v="5"/>
    <n v="3"/>
    <n v="4600"/>
    <n v="20"/>
    <n v="11040"/>
    <x v="2"/>
    <x v="4"/>
    <x v="1"/>
    <x v="1"/>
  </r>
  <r>
    <s v="ORD11037"/>
    <x v="137"/>
    <s v="John"/>
    <x v="0"/>
    <n v="39"/>
    <x v="1"/>
    <s v="Lekki"/>
    <x v="0"/>
    <s v="Shirt"/>
    <x v="1"/>
    <n v="1"/>
    <n v="17400"/>
    <n v="5"/>
    <n v="16530"/>
    <x v="1"/>
    <x v="2"/>
    <x v="2"/>
    <x v="0"/>
  </r>
  <r>
    <s v="ORD11038"/>
    <x v="334"/>
    <s v="Aisha"/>
    <x v="0"/>
    <n v="27"/>
    <x v="5"/>
    <s v="Port Harcourt"/>
    <x v="2"/>
    <s v="Rice"/>
    <x v="3"/>
    <n v="5"/>
    <n v="43000"/>
    <n v="5"/>
    <n v="204250"/>
    <x v="1"/>
    <x v="0"/>
    <x v="0"/>
    <x v="0"/>
  </r>
  <r>
    <s v="ORD11039"/>
    <x v="312"/>
    <s v="Grace"/>
    <x v="0"/>
    <n v="61"/>
    <x v="5"/>
    <s v="Obio"/>
    <x v="2"/>
    <s v="Beans"/>
    <x v="3"/>
    <n v="10"/>
    <n v="26900"/>
    <n v="5"/>
    <n v="255550"/>
    <x v="1"/>
    <x v="5"/>
    <x v="1"/>
    <x v="1"/>
  </r>
  <r>
    <s v="ORD11040"/>
    <x v="424"/>
    <s v="Daniel"/>
    <x v="0"/>
    <n v="21"/>
    <x v="0"/>
    <s v="Enugu"/>
    <x v="1"/>
    <s v="Phone"/>
    <x v="3"/>
    <n v="8"/>
    <n v="16200"/>
    <n v="5"/>
    <n v="123120"/>
    <x v="1"/>
    <x v="0"/>
    <x v="1"/>
    <x v="1"/>
  </r>
  <r>
    <s v="ORD11041"/>
    <x v="409"/>
    <s v="Aisha"/>
    <x v="2"/>
    <n v="43"/>
    <x v="5"/>
    <s v="Port Harcourt"/>
    <x v="0"/>
    <s v="Shirt"/>
    <x v="0"/>
    <n v="7"/>
    <n v="41500"/>
    <n v="15"/>
    <n v="246925"/>
    <x v="1"/>
    <x v="3"/>
    <x v="1"/>
    <x v="1"/>
  </r>
  <r>
    <s v="ORD11043"/>
    <x v="179"/>
    <s v="Ruth"/>
    <x v="0"/>
    <n v="22"/>
    <x v="5"/>
    <s v="Port Harcourt"/>
    <x v="0"/>
    <s v="Shoes"/>
    <x v="3"/>
    <n v="1"/>
    <n v="29700"/>
    <n v="5"/>
    <n v="28215"/>
    <x v="1"/>
    <x v="3"/>
    <x v="2"/>
    <x v="0"/>
  </r>
  <r>
    <s v="ORD11044"/>
    <x v="263"/>
    <s v="Emeka"/>
    <x v="0"/>
    <n v="52"/>
    <x v="4"/>
    <s v="Ibadan"/>
    <x v="0"/>
    <s v="Shoes"/>
    <x v="1"/>
    <n v="6"/>
    <n v="28300"/>
    <n v="20"/>
    <n v="135840"/>
    <x v="2"/>
    <x v="1"/>
    <x v="1"/>
    <x v="1"/>
  </r>
  <r>
    <s v="ORD11045"/>
    <x v="226"/>
    <s v="David"/>
    <x v="2"/>
    <n v="20"/>
    <x v="0"/>
    <s v="Enugu"/>
    <x v="1"/>
    <s v="Laptop"/>
    <x v="0"/>
    <n v="9"/>
    <n v="8900"/>
    <n v="0"/>
    <n v="80100"/>
    <x v="1"/>
    <x v="2"/>
    <x v="2"/>
    <x v="0"/>
  </r>
  <r>
    <s v="ORD11046"/>
    <x v="156"/>
    <s v="Daniel"/>
    <x v="1"/>
    <n v="49"/>
    <x v="3"/>
    <s v="Kano"/>
    <x v="0"/>
    <s v="Shoes"/>
    <x v="3"/>
    <n v="5"/>
    <n v="25900"/>
    <n v="5"/>
    <n v="123025"/>
    <x v="0"/>
    <x v="4"/>
    <x v="1"/>
    <x v="1"/>
  </r>
  <r>
    <s v="ORD11049"/>
    <x v="109"/>
    <s v="Peter"/>
    <x v="2"/>
    <n v="25"/>
    <x v="3"/>
    <s v="Kano"/>
    <x v="0"/>
    <s v="Shoes"/>
    <x v="4"/>
    <n v="8"/>
    <n v="13700"/>
    <n v="20"/>
    <n v="87680"/>
    <x v="1"/>
    <x v="2"/>
    <x v="3"/>
    <x v="0"/>
  </r>
  <r>
    <s v="ORD11050"/>
    <x v="96"/>
    <s v="Daniel"/>
    <x v="1"/>
    <n v="19"/>
    <x v="5"/>
    <s v="Port Harcourt"/>
    <x v="3"/>
    <s v="Desk"/>
    <x v="3"/>
    <n v="10"/>
    <n v="40600"/>
    <n v="10"/>
    <n v="365400"/>
    <x v="2"/>
    <x v="3"/>
    <x v="1"/>
    <x v="1"/>
  </r>
  <r>
    <s v="ORD11051"/>
    <x v="217"/>
    <s v="Emeka"/>
    <x v="0"/>
    <n v="23"/>
    <x v="3"/>
    <s v="Kano"/>
    <x v="3"/>
    <s v="Chair"/>
    <x v="3"/>
    <n v="1"/>
    <n v="28500"/>
    <n v="0"/>
    <n v="28500"/>
    <x v="1"/>
    <x v="5"/>
    <x v="0"/>
    <x v="0"/>
  </r>
  <r>
    <s v="ORD11053"/>
    <x v="144"/>
    <s v="David"/>
    <x v="0"/>
    <n v="39"/>
    <x v="0"/>
    <s v="Enugu"/>
    <x v="3"/>
    <s v="Chair"/>
    <x v="0"/>
    <n v="3"/>
    <n v="32500"/>
    <n v="10"/>
    <n v="87750"/>
    <x v="1"/>
    <x v="5"/>
    <x v="1"/>
    <x v="1"/>
  </r>
  <r>
    <s v="ORD11055"/>
    <x v="350"/>
    <s v="Emeka"/>
    <x v="2"/>
    <n v="22"/>
    <x v="0"/>
    <s v="Enugu"/>
    <x v="3"/>
    <s v="Chair"/>
    <x v="5"/>
    <n v="8"/>
    <n v="6900"/>
    <n v="15"/>
    <n v="46920"/>
    <x v="1"/>
    <x v="2"/>
    <x v="1"/>
    <x v="1"/>
  </r>
  <r>
    <s v="ORD11056"/>
    <x v="326"/>
    <s v="Emeka"/>
    <x v="0"/>
    <n v="62"/>
    <x v="3"/>
    <s v="Kano"/>
    <x v="0"/>
    <s v="Shirt"/>
    <x v="4"/>
    <n v="7"/>
    <n v="16000"/>
    <n v="0"/>
    <n v="112000"/>
    <x v="0"/>
    <x v="2"/>
    <x v="3"/>
    <x v="0"/>
  </r>
  <r>
    <s v="ORD11059"/>
    <x v="384"/>
    <s v="Chioma"/>
    <x v="1"/>
    <n v="53"/>
    <x v="1"/>
    <s v="Ikeja"/>
    <x v="2"/>
    <s v="Beans"/>
    <x v="2"/>
    <n v="1"/>
    <n v="34100"/>
    <n v="5"/>
    <n v="32395"/>
    <x v="2"/>
    <x v="0"/>
    <x v="2"/>
    <x v="0"/>
  </r>
  <r>
    <s v="ORD11061"/>
    <x v="117"/>
    <s v="Daniel"/>
    <x v="2"/>
    <n v="20"/>
    <x v="0"/>
    <s v="Enugu"/>
    <x v="1"/>
    <s v="Phone"/>
    <x v="5"/>
    <n v="3"/>
    <n v="8000"/>
    <n v="15"/>
    <n v="20400"/>
    <x v="2"/>
    <x v="0"/>
    <x v="0"/>
    <x v="0"/>
  </r>
  <r>
    <s v="ORD11062"/>
    <x v="425"/>
    <s v="Peter"/>
    <x v="0"/>
    <n v="20"/>
    <x v="5"/>
    <s v="Obio"/>
    <x v="2"/>
    <s v="Rice"/>
    <x v="3"/>
    <n v="6"/>
    <n v="22400"/>
    <n v="20"/>
    <n v="107520"/>
    <x v="0"/>
    <x v="5"/>
    <x v="2"/>
    <x v="0"/>
  </r>
  <r>
    <s v="ORD11064"/>
    <x v="426"/>
    <s v="Emeka"/>
    <x v="2"/>
    <n v="30"/>
    <x v="3"/>
    <s v="Kano"/>
    <x v="1"/>
    <s v="Laptop"/>
    <x v="2"/>
    <n v="2"/>
    <n v="34100"/>
    <n v="10"/>
    <n v="61380"/>
    <x v="1"/>
    <x v="0"/>
    <x v="1"/>
    <x v="1"/>
  </r>
  <r>
    <s v="ORD11065"/>
    <x v="419"/>
    <s v="Aisha"/>
    <x v="2"/>
    <n v="65"/>
    <x v="5"/>
    <s v="Port Harcourt"/>
    <x v="3"/>
    <s v="Chair"/>
    <x v="2"/>
    <n v="4"/>
    <n v="15900"/>
    <n v="10"/>
    <n v="57240"/>
    <x v="1"/>
    <x v="2"/>
    <x v="3"/>
    <x v="0"/>
  </r>
  <r>
    <s v="ORD11067"/>
    <x v="65"/>
    <s v="Mary"/>
    <x v="2"/>
    <n v="50"/>
    <x v="1"/>
    <s v="Lekki"/>
    <x v="2"/>
    <s v="Rice"/>
    <x v="2"/>
    <n v="2"/>
    <n v="34900"/>
    <n v="20"/>
    <n v="55840"/>
    <x v="0"/>
    <x v="0"/>
    <x v="2"/>
    <x v="0"/>
  </r>
  <r>
    <s v="ORD11068"/>
    <x v="86"/>
    <s v="Daniel"/>
    <x v="0"/>
    <n v="33"/>
    <x v="4"/>
    <s v="Ogbomosho"/>
    <x v="3"/>
    <s v="Chair"/>
    <x v="1"/>
    <n v="7"/>
    <n v="28500"/>
    <n v="5"/>
    <n v="189525"/>
    <x v="0"/>
    <x v="2"/>
    <x v="1"/>
    <x v="1"/>
  </r>
  <r>
    <s v="ORD11069"/>
    <x v="284"/>
    <s v="Aisha"/>
    <x v="0"/>
    <n v="58"/>
    <x v="2"/>
    <s v="Garki"/>
    <x v="2"/>
    <s v="Rice"/>
    <x v="1"/>
    <n v="5"/>
    <n v="16300"/>
    <n v="5"/>
    <n v="77425"/>
    <x v="1"/>
    <x v="3"/>
    <x v="1"/>
    <x v="1"/>
  </r>
  <r>
    <s v="ORD11070"/>
    <x v="61"/>
    <s v="Chioma"/>
    <x v="0"/>
    <n v="25"/>
    <x v="1"/>
    <s v="Lekki"/>
    <x v="3"/>
    <s v="Chair"/>
    <x v="4"/>
    <n v="5"/>
    <n v="12900"/>
    <n v="15"/>
    <n v="54825"/>
    <x v="0"/>
    <x v="4"/>
    <x v="0"/>
    <x v="0"/>
  </r>
  <r>
    <s v="ORD11072"/>
    <x v="427"/>
    <s v="Mary"/>
    <x v="1"/>
    <n v="21"/>
    <x v="3"/>
    <s v="Kano"/>
    <x v="2"/>
    <s v="Beans"/>
    <x v="5"/>
    <n v="9"/>
    <n v="4100"/>
    <n v="0"/>
    <n v="36900"/>
    <x v="0"/>
    <x v="0"/>
    <x v="2"/>
    <x v="0"/>
  </r>
  <r>
    <s v="ORD11073"/>
    <x v="258"/>
    <s v="Chioma"/>
    <x v="0"/>
    <n v="42"/>
    <x v="3"/>
    <s v="Kano"/>
    <x v="3"/>
    <s v="Desk"/>
    <x v="3"/>
    <n v="8"/>
    <n v="45800"/>
    <n v="25"/>
    <n v="274800"/>
    <x v="1"/>
    <x v="0"/>
    <x v="1"/>
    <x v="1"/>
  </r>
  <r>
    <s v="ORD11075"/>
    <x v="281"/>
    <s v="John"/>
    <x v="0"/>
    <n v="61"/>
    <x v="2"/>
    <s v="Garki"/>
    <x v="3"/>
    <s v="Desk"/>
    <x v="1"/>
    <n v="10"/>
    <n v="2400"/>
    <n v="20"/>
    <n v="19200"/>
    <x v="0"/>
    <x v="2"/>
    <x v="0"/>
    <x v="0"/>
  </r>
  <r>
    <s v="ORD11076"/>
    <x v="26"/>
    <s v="Daniel"/>
    <x v="0"/>
    <n v="59"/>
    <x v="5"/>
    <s v="Port Harcourt"/>
    <x v="1"/>
    <s v="Laptop"/>
    <x v="4"/>
    <n v="4"/>
    <n v="39300"/>
    <n v="10"/>
    <n v="141480"/>
    <x v="0"/>
    <x v="5"/>
    <x v="1"/>
    <x v="1"/>
  </r>
  <r>
    <s v="ORD11077"/>
    <x v="118"/>
    <s v="Chioma"/>
    <x v="0"/>
    <n v="63"/>
    <x v="1"/>
    <s v="Ikeja"/>
    <x v="2"/>
    <s v="Beans"/>
    <x v="2"/>
    <n v="3"/>
    <n v="33800"/>
    <n v="20"/>
    <n v="81120"/>
    <x v="1"/>
    <x v="0"/>
    <x v="0"/>
    <x v="0"/>
  </r>
  <r>
    <s v="ORD11078"/>
    <x v="428"/>
    <s v="Ruth"/>
    <x v="0"/>
    <n v="28"/>
    <x v="5"/>
    <s v="Obio"/>
    <x v="0"/>
    <s v="Shoes"/>
    <x v="5"/>
    <n v="7"/>
    <n v="40800"/>
    <n v="0"/>
    <n v="285600"/>
    <x v="1"/>
    <x v="1"/>
    <x v="1"/>
    <x v="1"/>
  </r>
  <r>
    <s v="ORD11080"/>
    <x v="228"/>
    <s v="Aisha"/>
    <x v="0"/>
    <n v="59"/>
    <x v="4"/>
    <s v="Ibadan"/>
    <x v="0"/>
    <s v="Shoes"/>
    <x v="0"/>
    <n v="6"/>
    <n v="28900"/>
    <n v="15"/>
    <n v="147390"/>
    <x v="1"/>
    <x v="1"/>
    <x v="0"/>
    <x v="0"/>
  </r>
  <r>
    <s v="ORD11081"/>
    <x v="30"/>
    <s v="Ruth"/>
    <x v="2"/>
    <n v="64"/>
    <x v="2"/>
    <s v="Wuse"/>
    <x v="1"/>
    <s v="Laptop"/>
    <x v="5"/>
    <n v="4"/>
    <n v="11400"/>
    <n v="15"/>
    <n v="38760"/>
    <x v="3"/>
    <x v="2"/>
    <x v="3"/>
    <x v="0"/>
  </r>
  <r>
    <s v="ORD11082"/>
    <x v="266"/>
    <s v="Peter"/>
    <x v="1"/>
    <n v="19"/>
    <x v="5"/>
    <s v="Obio"/>
    <x v="1"/>
    <s v="Laptop"/>
    <x v="0"/>
    <n v="4"/>
    <n v="4000"/>
    <n v="20"/>
    <n v="12800"/>
    <x v="1"/>
    <x v="4"/>
    <x v="1"/>
    <x v="1"/>
  </r>
  <r>
    <s v="ORD11084"/>
    <x v="177"/>
    <s v="John"/>
    <x v="0"/>
    <n v="42"/>
    <x v="4"/>
    <s v="Ogbomosho"/>
    <x v="0"/>
    <s v="Shirt"/>
    <x v="1"/>
    <n v="10"/>
    <n v="41100"/>
    <n v="10"/>
    <n v="369900"/>
    <x v="1"/>
    <x v="0"/>
    <x v="0"/>
    <x v="0"/>
  </r>
  <r>
    <s v="ORD11085"/>
    <x v="429"/>
    <s v="David"/>
    <x v="2"/>
    <n v="22"/>
    <x v="2"/>
    <s v="Garki"/>
    <x v="2"/>
    <s v="Beans"/>
    <x v="0"/>
    <n v="2"/>
    <n v="44400"/>
    <n v="25"/>
    <n v="66600"/>
    <x v="2"/>
    <x v="5"/>
    <x v="3"/>
    <x v="0"/>
  </r>
  <r>
    <s v="ORD11086"/>
    <x v="305"/>
    <s v="Chioma"/>
    <x v="0"/>
    <n v="23"/>
    <x v="5"/>
    <s v="Port Harcourt"/>
    <x v="1"/>
    <s v="Phone"/>
    <x v="0"/>
    <n v="7"/>
    <n v="33200"/>
    <n v="25"/>
    <n v="174300"/>
    <x v="3"/>
    <x v="1"/>
    <x v="2"/>
    <x v="0"/>
  </r>
  <r>
    <s v="ORD11087"/>
    <x v="83"/>
    <s v="David"/>
    <x v="2"/>
    <n v="31"/>
    <x v="1"/>
    <s v="Lekki"/>
    <x v="1"/>
    <s v="Phone"/>
    <x v="0"/>
    <n v="3"/>
    <n v="31000"/>
    <n v="15"/>
    <n v="79050"/>
    <x v="2"/>
    <x v="0"/>
    <x v="0"/>
    <x v="0"/>
  </r>
  <r>
    <s v="ORD11088"/>
    <x v="169"/>
    <s v="Aisha"/>
    <x v="0"/>
    <n v="40"/>
    <x v="2"/>
    <s v="Wuse"/>
    <x v="1"/>
    <s v="Phone"/>
    <x v="0"/>
    <n v="6"/>
    <n v="40600"/>
    <n v="25"/>
    <n v="182700"/>
    <x v="1"/>
    <x v="0"/>
    <x v="1"/>
    <x v="1"/>
  </r>
  <r>
    <s v="ORD11089"/>
    <x v="86"/>
    <s v="Chioma"/>
    <x v="1"/>
    <n v="43"/>
    <x v="4"/>
    <s v="Ogbomosho"/>
    <x v="2"/>
    <s v="Beans"/>
    <x v="3"/>
    <n v="6"/>
    <n v="7400"/>
    <n v="0"/>
    <n v="44400"/>
    <x v="2"/>
    <x v="4"/>
    <x v="2"/>
    <x v="0"/>
  </r>
  <r>
    <s v="ORD11091"/>
    <x v="353"/>
    <s v="Peter"/>
    <x v="2"/>
    <n v="43"/>
    <x v="3"/>
    <s v="Kano"/>
    <x v="2"/>
    <s v="Beans"/>
    <x v="0"/>
    <n v="2"/>
    <n v="36000"/>
    <n v="0"/>
    <n v="72000"/>
    <x v="2"/>
    <x v="0"/>
    <x v="0"/>
    <x v="0"/>
  </r>
  <r>
    <s v="ORD11092"/>
    <x v="248"/>
    <s v="Aisha"/>
    <x v="2"/>
    <n v="28"/>
    <x v="0"/>
    <s v="Enugu"/>
    <x v="1"/>
    <s v="Phone"/>
    <x v="3"/>
    <n v="4"/>
    <n v="19400"/>
    <n v="10"/>
    <n v="69840"/>
    <x v="2"/>
    <x v="4"/>
    <x v="2"/>
    <x v="0"/>
  </r>
  <r>
    <s v="ORD11093"/>
    <x v="396"/>
    <s v="Ruth"/>
    <x v="0"/>
    <n v="23"/>
    <x v="4"/>
    <s v="Ibadan"/>
    <x v="3"/>
    <s v="Desk"/>
    <x v="2"/>
    <n v="9"/>
    <n v="14200"/>
    <n v="25"/>
    <n v="95850"/>
    <x v="3"/>
    <x v="2"/>
    <x v="1"/>
    <x v="1"/>
  </r>
  <r>
    <s v="ORD11094"/>
    <x v="299"/>
    <s v="Grace"/>
    <x v="1"/>
    <n v="60"/>
    <x v="0"/>
    <s v="Enugu"/>
    <x v="3"/>
    <s v="Desk"/>
    <x v="2"/>
    <n v="4"/>
    <n v="13500"/>
    <n v="0"/>
    <n v="54000"/>
    <x v="2"/>
    <x v="2"/>
    <x v="1"/>
    <x v="1"/>
  </r>
  <r>
    <s v="ORD11095"/>
    <x v="264"/>
    <s v="Mary"/>
    <x v="2"/>
    <n v="55"/>
    <x v="5"/>
    <s v="Port Harcourt"/>
    <x v="1"/>
    <s v="Phone"/>
    <x v="2"/>
    <n v="7"/>
    <n v="39600"/>
    <n v="5"/>
    <n v="263340"/>
    <x v="1"/>
    <x v="5"/>
    <x v="1"/>
    <x v="1"/>
  </r>
  <r>
    <s v="ORD11096"/>
    <x v="196"/>
    <s v="John"/>
    <x v="0"/>
    <n v="45"/>
    <x v="1"/>
    <s v="Lekki"/>
    <x v="0"/>
    <s v="Shirt"/>
    <x v="1"/>
    <n v="9"/>
    <n v="35800"/>
    <n v="20"/>
    <n v="257760"/>
    <x v="2"/>
    <x v="0"/>
    <x v="0"/>
    <x v="0"/>
  </r>
  <r>
    <s v="ORD11098"/>
    <x v="404"/>
    <s v="John"/>
    <x v="0"/>
    <n v="38"/>
    <x v="4"/>
    <s v="Ogbomosho"/>
    <x v="0"/>
    <s v="Shirt"/>
    <x v="5"/>
    <n v="4"/>
    <n v="9200"/>
    <n v="10"/>
    <n v="33120"/>
    <x v="2"/>
    <x v="0"/>
    <x v="3"/>
    <x v="0"/>
  </r>
  <r>
    <s v="ORD11099"/>
    <x v="76"/>
    <s v="Aisha"/>
    <x v="0"/>
    <n v="28"/>
    <x v="2"/>
    <s v="Wuse"/>
    <x v="3"/>
    <s v="Desk"/>
    <x v="1"/>
    <n v="6"/>
    <n v="24400"/>
    <n v="5"/>
    <n v="139080"/>
    <x v="2"/>
    <x v="0"/>
    <x v="2"/>
    <x v="0"/>
  </r>
  <r>
    <s v="ORD11100"/>
    <x v="179"/>
    <s v="Emeka"/>
    <x v="1"/>
    <n v="62"/>
    <x v="1"/>
    <s v="Lekki"/>
    <x v="1"/>
    <s v="Laptop"/>
    <x v="3"/>
    <n v="2"/>
    <n v="28100"/>
    <n v="20"/>
    <n v="44960"/>
    <x v="1"/>
    <x v="5"/>
    <x v="1"/>
    <x v="1"/>
  </r>
  <r>
    <s v="ORD11101"/>
    <x v="104"/>
    <s v="Chioma"/>
    <x v="2"/>
    <n v="31"/>
    <x v="3"/>
    <s v="Kano"/>
    <x v="2"/>
    <s v="Rice"/>
    <x v="5"/>
    <n v="2"/>
    <n v="10400"/>
    <n v="5"/>
    <n v="19760"/>
    <x v="0"/>
    <x v="4"/>
    <x v="0"/>
    <x v="0"/>
  </r>
  <r>
    <s v="ORD11102"/>
    <x v="150"/>
    <s v="Ruth"/>
    <x v="2"/>
    <n v="22"/>
    <x v="4"/>
    <s v="Ogbomosho"/>
    <x v="0"/>
    <s v="Shoes"/>
    <x v="1"/>
    <n v="6"/>
    <n v="42600"/>
    <n v="10"/>
    <n v="230040"/>
    <x v="2"/>
    <x v="3"/>
    <x v="1"/>
    <x v="1"/>
  </r>
  <r>
    <s v="ORD11103"/>
    <x v="430"/>
    <s v="Chioma"/>
    <x v="0"/>
    <n v="23"/>
    <x v="2"/>
    <s v="Wuse"/>
    <x v="2"/>
    <s v="Beans"/>
    <x v="5"/>
    <n v="10"/>
    <n v="21600"/>
    <n v="25"/>
    <n v="162000"/>
    <x v="1"/>
    <x v="4"/>
    <x v="3"/>
    <x v="0"/>
  </r>
  <r>
    <s v="ORD11104"/>
    <x v="158"/>
    <s v="John"/>
    <x v="2"/>
    <n v="20"/>
    <x v="3"/>
    <s v="Kano"/>
    <x v="0"/>
    <s v="Shirt"/>
    <x v="5"/>
    <n v="7"/>
    <n v="23600"/>
    <n v="0"/>
    <n v="165200"/>
    <x v="1"/>
    <x v="1"/>
    <x v="3"/>
    <x v="0"/>
  </r>
  <r>
    <s v="ORD11105"/>
    <x v="431"/>
    <s v="Emeka"/>
    <x v="2"/>
    <n v="51"/>
    <x v="0"/>
    <s v="Enugu"/>
    <x v="2"/>
    <s v="Beans"/>
    <x v="3"/>
    <n v="3"/>
    <n v="17500"/>
    <n v="15"/>
    <n v="44625"/>
    <x v="1"/>
    <x v="0"/>
    <x v="1"/>
    <x v="1"/>
  </r>
  <r>
    <s v="ORD11106"/>
    <x v="403"/>
    <s v="Emeka"/>
    <x v="1"/>
    <n v="46"/>
    <x v="4"/>
    <s v="Ibadan"/>
    <x v="3"/>
    <s v="Chair"/>
    <x v="4"/>
    <n v="8"/>
    <n v="35300"/>
    <n v="5"/>
    <n v="268280"/>
    <x v="2"/>
    <x v="1"/>
    <x v="1"/>
    <x v="1"/>
  </r>
  <r>
    <s v="ORD11107"/>
    <x v="241"/>
    <s v="Ruth"/>
    <x v="2"/>
    <n v="38"/>
    <x v="1"/>
    <s v="Ikeja"/>
    <x v="1"/>
    <s v="Phone"/>
    <x v="5"/>
    <n v="2"/>
    <n v="12600"/>
    <n v="0"/>
    <n v="25200"/>
    <x v="1"/>
    <x v="0"/>
    <x v="2"/>
    <x v="0"/>
  </r>
  <r>
    <s v="ORD11108"/>
    <x v="432"/>
    <s v="David"/>
    <x v="2"/>
    <n v="24"/>
    <x v="5"/>
    <s v="Port Harcourt"/>
    <x v="1"/>
    <s v="Laptop"/>
    <x v="5"/>
    <n v="5"/>
    <n v="27300"/>
    <n v="5"/>
    <n v="129675"/>
    <x v="0"/>
    <x v="1"/>
    <x v="3"/>
    <x v="0"/>
  </r>
  <r>
    <s v="ORD11110"/>
    <x v="47"/>
    <s v="David"/>
    <x v="1"/>
    <n v="38"/>
    <x v="1"/>
    <s v="Lekki"/>
    <x v="2"/>
    <s v="Rice"/>
    <x v="3"/>
    <n v="10"/>
    <n v="31100"/>
    <n v="5"/>
    <n v="295450"/>
    <x v="2"/>
    <x v="3"/>
    <x v="3"/>
    <x v="0"/>
  </r>
  <r>
    <s v="ORD11111"/>
    <x v="273"/>
    <s v="Aisha"/>
    <x v="0"/>
    <n v="54"/>
    <x v="0"/>
    <s v="Enugu"/>
    <x v="1"/>
    <s v="Phone"/>
    <x v="5"/>
    <n v="9"/>
    <n v="48400"/>
    <n v="20"/>
    <n v="348480"/>
    <x v="2"/>
    <x v="3"/>
    <x v="0"/>
    <x v="0"/>
  </r>
  <r>
    <s v="ORD11112"/>
    <x v="223"/>
    <s v="John"/>
    <x v="0"/>
    <n v="22"/>
    <x v="0"/>
    <s v="Enugu"/>
    <x v="3"/>
    <s v="Chair"/>
    <x v="3"/>
    <n v="7"/>
    <n v="47300"/>
    <n v="25"/>
    <n v="248325"/>
    <x v="2"/>
    <x v="3"/>
    <x v="2"/>
    <x v="0"/>
  </r>
  <r>
    <s v="ORD11113"/>
    <x v="48"/>
    <s v="Aisha"/>
    <x v="1"/>
    <n v="56"/>
    <x v="1"/>
    <s v="Ikeja"/>
    <x v="3"/>
    <s v="Desk"/>
    <x v="2"/>
    <n v="8"/>
    <n v="36400"/>
    <n v="5"/>
    <n v="276640"/>
    <x v="1"/>
    <x v="2"/>
    <x v="1"/>
    <x v="1"/>
  </r>
  <r>
    <s v="ORD11114"/>
    <x v="14"/>
    <s v="Emeka"/>
    <x v="2"/>
    <n v="150"/>
    <x v="5"/>
    <s v="Obio"/>
    <x v="0"/>
    <s v="Shirt"/>
    <x v="2"/>
    <n v="4"/>
    <n v="6300"/>
    <n v="0"/>
    <n v="25200"/>
    <x v="2"/>
    <x v="0"/>
    <x v="3"/>
    <x v="0"/>
  </r>
  <r>
    <s v="ORD11115"/>
    <x v="33"/>
    <s v="Mary"/>
    <x v="1"/>
    <n v="30"/>
    <x v="1"/>
    <s v="Ikeja"/>
    <x v="1"/>
    <s v="Laptop"/>
    <x v="1"/>
    <n v="10"/>
    <n v="49800"/>
    <n v="25"/>
    <n v="373500"/>
    <x v="1"/>
    <x v="1"/>
    <x v="3"/>
    <x v="0"/>
  </r>
  <r>
    <s v="ORD11116"/>
    <x v="433"/>
    <s v="Ruth"/>
    <x v="0"/>
    <n v="25"/>
    <x v="5"/>
    <s v="Port Harcourt"/>
    <x v="3"/>
    <s v="Desk"/>
    <x v="2"/>
    <n v="10"/>
    <n v="24000"/>
    <n v="20"/>
    <n v="192000"/>
    <x v="0"/>
    <x v="1"/>
    <x v="3"/>
    <x v="0"/>
  </r>
  <r>
    <s v="ORD11117"/>
    <x v="216"/>
    <s v="Emeka"/>
    <x v="0"/>
    <n v="36"/>
    <x v="1"/>
    <s v="Ikeja"/>
    <x v="0"/>
    <s v="Shoes"/>
    <x v="3"/>
    <n v="6"/>
    <n v="45600"/>
    <n v="5"/>
    <n v="259920"/>
    <x v="2"/>
    <x v="0"/>
    <x v="2"/>
    <x v="0"/>
  </r>
  <r>
    <s v="ORD11121"/>
    <x v="434"/>
    <s v="Aisha"/>
    <x v="0"/>
    <n v="46"/>
    <x v="4"/>
    <s v="Ogbomosho"/>
    <x v="2"/>
    <s v="Rice"/>
    <x v="5"/>
    <n v="6"/>
    <n v="4700"/>
    <n v="5"/>
    <n v="26790"/>
    <x v="2"/>
    <x v="4"/>
    <x v="2"/>
    <x v="0"/>
  </r>
  <r>
    <s v="ORD11122"/>
    <x v="435"/>
    <s v="Emeka"/>
    <x v="0"/>
    <n v="20"/>
    <x v="4"/>
    <s v="Ogbomosho"/>
    <x v="2"/>
    <s v="Rice"/>
    <x v="2"/>
    <n v="6"/>
    <n v="26100"/>
    <n v="0"/>
    <n v="156600"/>
    <x v="0"/>
    <x v="0"/>
    <x v="1"/>
    <x v="1"/>
  </r>
  <r>
    <s v="ORD11124"/>
    <x v="245"/>
    <s v="Mary"/>
    <x v="0"/>
    <n v="30"/>
    <x v="2"/>
    <s v="Wuse"/>
    <x v="3"/>
    <s v="Chair"/>
    <x v="3"/>
    <n v="5"/>
    <n v="49000"/>
    <n v="10"/>
    <n v="220500"/>
    <x v="0"/>
    <x v="1"/>
    <x v="2"/>
    <x v="0"/>
  </r>
  <r>
    <s v="ORD11126"/>
    <x v="32"/>
    <s v="Peter"/>
    <x v="1"/>
    <n v="55"/>
    <x v="3"/>
    <s v="Kano"/>
    <x v="3"/>
    <s v="Desk"/>
    <x v="4"/>
    <n v="1"/>
    <n v="38700"/>
    <n v="5"/>
    <n v="36765"/>
    <x v="0"/>
    <x v="5"/>
    <x v="1"/>
    <x v="1"/>
  </r>
  <r>
    <s v="ORD11128"/>
    <x v="110"/>
    <s v="Chioma"/>
    <x v="1"/>
    <n v="64"/>
    <x v="3"/>
    <s v="Kano"/>
    <x v="2"/>
    <s v="Beans"/>
    <x v="5"/>
    <n v="10"/>
    <n v="9700"/>
    <n v="0"/>
    <n v="97000"/>
    <x v="1"/>
    <x v="0"/>
    <x v="2"/>
    <x v="0"/>
  </r>
  <r>
    <s v="ORD11129"/>
    <x v="436"/>
    <s v="Emeka"/>
    <x v="2"/>
    <n v="49"/>
    <x v="4"/>
    <s v="Ogbomosho"/>
    <x v="0"/>
    <s v="Shirt"/>
    <x v="0"/>
    <n v="1"/>
    <n v="45500"/>
    <n v="20"/>
    <n v="36400"/>
    <x v="2"/>
    <x v="1"/>
    <x v="3"/>
    <x v="0"/>
  </r>
  <r>
    <s v="ORD11130"/>
    <x v="437"/>
    <s v="Peter"/>
    <x v="0"/>
    <n v="44"/>
    <x v="5"/>
    <s v="Port Harcourt"/>
    <x v="2"/>
    <s v="Rice"/>
    <x v="1"/>
    <n v="8"/>
    <n v="13300"/>
    <n v="5"/>
    <n v="101080"/>
    <x v="2"/>
    <x v="1"/>
    <x v="3"/>
    <x v="0"/>
  </r>
  <r>
    <s v="ORD11132"/>
    <x v="254"/>
    <s v="Ruth"/>
    <x v="0"/>
    <n v="59"/>
    <x v="1"/>
    <s v="Ikeja"/>
    <x v="3"/>
    <s v="Chair"/>
    <x v="0"/>
    <n v="5"/>
    <n v="25800"/>
    <n v="5"/>
    <n v="122550"/>
    <x v="0"/>
    <x v="5"/>
    <x v="2"/>
    <x v="0"/>
  </r>
  <r>
    <s v="ORD11133"/>
    <x v="356"/>
    <s v="Ruth"/>
    <x v="1"/>
    <n v="61"/>
    <x v="1"/>
    <s v="Ikeja"/>
    <x v="2"/>
    <s v="Beans"/>
    <x v="1"/>
    <n v="9"/>
    <n v="13200"/>
    <n v="0"/>
    <n v="118800"/>
    <x v="1"/>
    <x v="0"/>
    <x v="3"/>
    <x v="0"/>
  </r>
  <r>
    <s v="ORD11134"/>
    <x v="225"/>
    <s v="Grace"/>
    <x v="2"/>
    <n v="62"/>
    <x v="5"/>
    <s v="Obio"/>
    <x v="2"/>
    <s v="Beans"/>
    <x v="4"/>
    <n v="6"/>
    <n v="9300"/>
    <n v="5"/>
    <n v="53010"/>
    <x v="0"/>
    <x v="4"/>
    <x v="3"/>
    <x v="0"/>
  </r>
  <r>
    <s v="ORD11135"/>
    <x v="401"/>
    <s v="Daniel"/>
    <x v="0"/>
    <n v="32"/>
    <x v="1"/>
    <s v="Ikeja"/>
    <x v="3"/>
    <s v="Chair"/>
    <x v="3"/>
    <n v="6"/>
    <n v="31400"/>
    <n v="0"/>
    <n v="188400"/>
    <x v="0"/>
    <x v="5"/>
    <x v="0"/>
    <x v="0"/>
  </r>
  <r>
    <s v="ORD11136"/>
    <x v="403"/>
    <s v="Mary"/>
    <x v="0"/>
    <n v="58"/>
    <x v="1"/>
    <s v="Ikeja"/>
    <x v="1"/>
    <s v="Laptop"/>
    <x v="2"/>
    <n v="2"/>
    <n v="15600"/>
    <n v="5"/>
    <n v="29640"/>
    <x v="2"/>
    <x v="2"/>
    <x v="1"/>
    <x v="1"/>
  </r>
  <r>
    <s v="ORD11137"/>
    <x v="438"/>
    <s v="Grace"/>
    <x v="2"/>
    <n v="18"/>
    <x v="1"/>
    <s v="Lekki"/>
    <x v="3"/>
    <s v="Desk"/>
    <x v="4"/>
    <n v="4"/>
    <n v="7800"/>
    <n v="0"/>
    <n v="31200"/>
    <x v="3"/>
    <x v="4"/>
    <x v="0"/>
    <x v="0"/>
  </r>
  <r>
    <s v="ORD11138"/>
    <x v="6"/>
    <s v="Emeka"/>
    <x v="0"/>
    <n v="53"/>
    <x v="4"/>
    <s v="Ogbomosho"/>
    <x v="3"/>
    <s v="Desk"/>
    <x v="5"/>
    <n v="1"/>
    <n v="14300"/>
    <n v="10"/>
    <n v="12870"/>
    <x v="2"/>
    <x v="3"/>
    <x v="3"/>
    <x v="0"/>
  </r>
  <r>
    <s v="ORD11139"/>
    <x v="323"/>
    <s v="Emeka"/>
    <x v="0"/>
    <n v="40"/>
    <x v="2"/>
    <s v="Garki"/>
    <x v="0"/>
    <s v="Shoes"/>
    <x v="0"/>
    <n v="8"/>
    <n v="44500"/>
    <n v="25"/>
    <n v="267000"/>
    <x v="1"/>
    <x v="3"/>
    <x v="2"/>
    <x v="0"/>
  </r>
  <r>
    <s v="ORD11140"/>
    <x v="341"/>
    <s v="Daniel"/>
    <x v="1"/>
    <n v="32"/>
    <x v="1"/>
    <s v="Lekki"/>
    <x v="1"/>
    <s v="Phone"/>
    <x v="4"/>
    <n v="5"/>
    <n v="18400"/>
    <n v="5"/>
    <n v="87400"/>
    <x v="1"/>
    <x v="3"/>
    <x v="2"/>
    <x v="0"/>
  </r>
  <r>
    <s v="ORD11141"/>
    <x v="165"/>
    <s v="David"/>
    <x v="2"/>
    <n v="43"/>
    <x v="4"/>
    <s v="Ibadan"/>
    <x v="1"/>
    <s v="Laptop"/>
    <x v="0"/>
    <n v="3"/>
    <n v="38800"/>
    <n v="20"/>
    <n v="93120"/>
    <x v="0"/>
    <x v="3"/>
    <x v="0"/>
    <x v="0"/>
  </r>
  <r>
    <s v="ORD11142"/>
    <x v="417"/>
    <s v="Aisha"/>
    <x v="2"/>
    <n v="51"/>
    <x v="4"/>
    <s v="Ibadan"/>
    <x v="1"/>
    <s v="Laptop"/>
    <x v="3"/>
    <n v="7"/>
    <n v="49500"/>
    <n v="15"/>
    <n v="294525"/>
    <x v="0"/>
    <x v="5"/>
    <x v="1"/>
    <x v="1"/>
  </r>
  <r>
    <s v="ORD11143"/>
    <x v="191"/>
    <s v="Peter"/>
    <x v="2"/>
    <n v="54"/>
    <x v="5"/>
    <s v="Port Harcourt"/>
    <x v="3"/>
    <s v="Chair"/>
    <x v="4"/>
    <n v="1"/>
    <n v="28300"/>
    <n v="10"/>
    <n v="25470"/>
    <x v="1"/>
    <x v="5"/>
    <x v="2"/>
    <x v="0"/>
  </r>
  <r>
    <s v="ORD11144"/>
    <x v="308"/>
    <s v="Chioma"/>
    <x v="1"/>
    <n v="150"/>
    <x v="1"/>
    <s v="Ikeja"/>
    <x v="1"/>
    <s v="Laptop"/>
    <x v="2"/>
    <n v="4"/>
    <n v="8900"/>
    <n v="10"/>
    <n v="32040"/>
    <x v="0"/>
    <x v="2"/>
    <x v="3"/>
    <x v="0"/>
  </r>
  <r>
    <s v="ORD11146"/>
    <x v="386"/>
    <s v="David"/>
    <x v="0"/>
    <n v="62"/>
    <x v="3"/>
    <s v="Kano"/>
    <x v="3"/>
    <s v="Desk"/>
    <x v="5"/>
    <n v="4"/>
    <n v="49600"/>
    <n v="20"/>
    <n v="158720"/>
    <x v="0"/>
    <x v="0"/>
    <x v="2"/>
    <x v="0"/>
  </r>
  <r>
    <s v="ORD11147"/>
    <x v="157"/>
    <s v="Aisha"/>
    <x v="1"/>
    <n v="33"/>
    <x v="2"/>
    <s v="Wuse"/>
    <x v="3"/>
    <s v="Chair"/>
    <x v="2"/>
    <n v="5"/>
    <n v="11400"/>
    <n v="25"/>
    <n v="42750"/>
    <x v="2"/>
    <x v="0"/>
    <x v="1"/>
    <x v="1"/>
  </r>
  <r>
    <s v="ORD11148"/>
    <x v="293"/>
    <s v="Ruth"/>
    <x v="2"/>
    <n v="22"/>
    <x v="1"/>
    <s v="Lekki"/>
    <x v="0"/>
    <s v="Shoes"/>
    <x v="3"/>
    <n v="10"/>
    <n v="49400"/>
    <n v="10"/>
    <n v="444600"/>
    <x v="1"/>
    <x v="5"/>
    <x v="0"/>
    <x v="0"/>
  </r>
  <r>
    <s v="ORD11149"/>
    <x v="439"/>
    <s v="John"/>
    <x v="2"/>
    <n v="30"/>
    <x v="5"/>
    <s v="Port Harcourt"/>
    <x v="2"/>
    <s v="Beans"/>
    <x v="1"/>
    <n v="3"/>
    <n v="2000"/>
    <n v="25"/>
    <n v="4500"/>
    <x v="1"/>
    <x v="2"/>
    <x v="1"/>
    <x v="1"/>
  </r>
  <r>
    <s v="ORD11150"/>
    <x v="440"/>
    <s v="Mary"/>
    <x v="0"/>
    <n v="56"/>
    <x v="1"/>
    <s v="Ikeja"/>
    <x v="1"/>
    <s v="Laptop"/>
    <x v="5"/>
    <n v="5"/>
    <n v="44900"/>
    <n v="25"/>
    <n v="168375"/>
    <x v="2"/>
    <x v="5"/>
    <x v="3"/>
    <x v="0"/>
  </r>
  <r>
    <s v="ORD11152"/>
    <x v="145"/>
    <s v="Mary"/>
    <x v="0"/>
    <n v="39"/>
    <x v="5"/>
    <s v="Port Harcourt"/>
    <x v="1"/>
    <s v="Phone"/>
    <x v="3"/>
    <n v="10"/>
    <n v="41600"/>
    <n v="15"/>
    <n v="353600"/>
    <x v="0"/>
    <x v="0"/>
    <x v="3"/>
    <x v="0"/>
  </r>
  <r>
    <s v="ORD11153"/>
    <x v="376"/>
    <s v="Peter"/>
    <x v="0"/>
    <n v="20"/>
    <x v="4"/>
    <s v="Ibadan"/>
    <x v="3"/>
    <s v="Chair"/>
    <x v="2"/>
    <n v="3"/>
    <n v="11200"/>
    <n v="5"/>
    <n v="31920"/>
    <x v="1"/>
    <x v="1"/>
    <x v="0"/>
    <x v="0"/>
  </r>
  <r>
    <s v="ORD11154"/>
    <x v="32"/>
    <s v="Grace"/>
    <x v="1"/>
    <n v="36"/>
    <x v="0"/>
    <s v="Enugu"/>
    <x v="0"/>
    <s v="Shoes"/>
    <x v="2"/>
    <n v="1"/>
    <n v="7500"/>
    <n v="15"/>
    <n v="6375"/>
    <x v="1"/>
    <x v="0"/>
    <x v="1"/>
    <x v="1"/>
  </r>
  <r>
    <s v="ORD11155"/>
    <x v="24"/>
    <s v="Peter"/>
    <x v="1"/>
    <n v="61"/>
    <x v="5"/>
    <s v="Obio"/>
    <x v="3"/>
    <s v="Chair"/>
    <x v="4"/>
    <n v="1"/>
    <n v="13000"/>
    <n v="25"/>
    <n v="9750"/>
    <x v="1"/>
    <x v="0"/>
    <x v="2"/>
    <x v="0"/>
  </r>
  <r>
    <s v="ORD11156"/>
    <x v="441"/>
    <s v="Peter"/>
    <x v="2"/>
    <n v="55"/>
    <x v="5"/>
    <s v="Port Harcourt"/>
    <x v="0"/>
    <s v="Shirt"/>
    <x v="4"/>
    <n v="2"/>
    <n v="34800"/>
    <n v="10"/>
    <n v="62640"/>
    <x v="0"/>
    <x v="0"/>
    <x v="2"/>
    <x v="0"/>
  </r>
  <r>
    <s v="ORD11157"/>
    <x v="147"/>
    <s v="Aisha"/>
    <x v="2"/>
    <n v="47"/>
    <x v="0"/>
    <s v="Enugu"/>
    <x v="0"/>
    <s v="Shirt"/>
    <x v="3"/>
    <n v="3"/>
    <n v="11500"/>
    <n v="0"/>
    <n v="34500"/>
    <x v="0"/>
    <x v="5"/>
    <x v="3"/>
    <x v="0"/>
  </r>
  <r>
    <s v="ORD11158"/>
    <x v="442"/>
    <s v="Daniel"/>
    <x v="2"/>
    <n v="36"/>
    <x v="5"/>
    <s v="Port Harcourt"/>
    <x v="0"/>
    <s v="Shoes"/>
    <x v="3"/>
    <n v="2"/>
    <n v="39500"/>
    <n v="5"/>
    <n v="75050"/>
    <x v="0"/>
    <x v="4"/>
    <x v="0"/>
    <x v="0"/>
  </r>
  <r>
    <s v="ORD11159"/>
    <x v="228"/>
    <s v="Ruth"/>
    <x v="1"/>
    <n v="22"/>
    <x v="1"/>
    <s v="Lekki"/>
    <x v="0"/>
    <s v="Shoes"/>
    <x v="3"/>
    <n v="9"/>
    <n v="48700"/>
    <n v="25"/>
    <n v="328725"/>
    <x v="1"/>
    <x v="0"/>
    <x v="3"/>
    <x v="0"/>
  </r>
  <r>
    <s v="ORD11160"/>
    <x v="369"/>
    <s v="David"/>
    <x v="2"/>
    <n v="21"/>
    <x v="4"/>
    <s v="Ibadan"/>
    <x v="3"/>
    <s v="Chair"/>
    <x v="4"/>
    <n v="4"/>
    <n v="21600"/>
    <n v="0"/>
    <n v="86400"/>
    <x v="0"/>
    <x v="0"/>
    <x v="3"/>
    <x v="0"/>
  </r>
  <r>
    <s v="ORD11161"/>
    <x v="443"/>
    <s v="John"/>
    <x v="0"/>
    <n v="40"/>
    <x v="1"/>
    <s v="Ikeja"/>
    <x v="1"/>
    <s v="Phone"/>
    <x v="4"/>
    <n v="2"/>
    <n v="49100"/>
    <n v="10"/>
    <n v="88380"/>
    <x v="1"/>
    <x v="0"/>
    <x v="1"/>
    <x v="1"/>
  </r>
  <r>
    <s v="ORD11162"/>
    <x v="62"/>
    <s v="Grace"/>
    <x v="2"/>
    <n v="52"/>
    <x v="5"/>
    <s v="Obio"/>
    <x v="2"/>
    <s v="Beans"/>
    <x v="5"/>
    <n v="4"/>
    <n v="11100"/>
    <n v="10"/>
    <n v="39960"/>
    <x v="1"/>
    <x v="0"/>
    <x v="2"/>
    <x v="0"/>
  </r>
  <r>
    <s v="ORD11163"/>
    <x v="444"/>
    <s v="Grace"/>
    <x v="2"/>
    <n v="22"/>
    <x v="0"/>
    <s v="Enugu"/>
    <x v="0"/>
    <s v="Shoes"/>
    <x v="3"/>
    <n v="2"/>
    <n v="30600"/>
    <n v="0"/>
    <n v="61200"/>
    <x v="0"/>
    <x v="4"/>
    <x v="2"/>
    <x v="0"/>
  </r>
  <r>
    <s v="ORD11164"/>
    <x v="36"/>
    <s v="Mary"/>
    <x v="2"/>
    <n v="53"/>
    <x v="5"/>
    <s v="Obio"/>
    <x v="3"/>
    <s v="Chair"/>
    <x v="0"/>
    <n v="10"/>
    <n v="16400"/>
    <n v="20"/>
    <n v="131200"/>
    <x v="2"/>
    <x v="4"/>
    <x v="3"/>
    <x v="0"/>
  </r>
  <r>
    <s v="ORD11165"/>
    <x v="134"/>
    <s v="Aisha"/>
    <x v="2"/>
    <n v="30"/>
    <x v="5"/>
    <s v="Obio"/>
    <x v="3"/>
    <s v="Chair"/>
    <x v="5"/>
    <n v="2"/>
    <n v="11900"/>
    <n v="25"/>
    <n v="17850"/>
    <x v="1"/>
    <x v="0"/>
    <x v="0"/>
    <x v="0"/>
  </r>
  <r>
    <s v="ORD11167"/>
    <x v="160"/>
    <s v="Mary"/>
    <x v="1"/>
    <n v="64"/>
    <x v="3"/>
    <s v="Kano"/>
    <x v="1"/>
    <s v="Laptop"/>
    <x v="2"/>
    <n v="6"/>
    <n v="46900"/>
    <n v="10"/>
    <n v="253260"/>
    <x v="1"/>
    <x v="2"/>
    <x v="0"/>
    <x v="0"/>
  </r>
  <r>
    <s v="ORD11168"/>
    <x v="445"/>
    <s v="Aisha"/>
    <x v="2"/>
    <n v="56"/>
    <x v="4"/>
    <s v="Ogbomosho"/>
    <x v="3"/>
    <s v="Desk"/>
    <x v="3"/>
    <n v="4"/>
    <n v="30000"/>
    <n v="10"/>
    <n v="108000"/>
    <x v="2"/>
    <x v="2"/>
    <x v="0"/>
    <x v="0"/>
  </r>
  <r>
    <s v="ORD11169"/>
    <x v="340"/>
    <s v="Aisha"/>
    <x v="0"/>
    <n v="26"/>
    <x v="3"/>
    <s v="Kano"/>
    <x v="3"/>
    <s v="Desk"/>
    <x v="0"/>
    <n v="8"/>
    <n v="37100"/>
    <n v="0"/>
    <n v="296800"/>
    <x v="0"/>
    <x v="5"/>
    <x v="0"/>
    <x v="0"/>
  </r>
  <r>
    <s v="ORD11170"/>
    <x v="431"/>
    <s v="Daniel"/>
    <x v="1"/>
    <n v="47"/>
    <x v="4"/>
    <s v="Ogbomosho"/>
    <x v="2"/>
    <s v="Beans"/>
    <x v="4"/>
    <n v="10"/>
    <n v="42300"/>
    <n v="10"/>
    <n v="380700"/>
    <x v="2"/>
    <x v="4"/>
    <x v="3"/>
    <x v="0"/>
  </r>
  <r>
    <s v="ORD11171"/>
    <x v="446"/>
    <s v="Chioma"/>
    <x v="0"/>
    <n v="25"/>
    <x v="2"/>
    <s v="Wuse"/>
    <x v="0"/>
    <s v="Shoes"/>
    <x v="2"/>
    <n v="4"/>
    <n v="44500"/>
    <n v="20"/>
    <n v="142400"/>
    <x v="0"/>
    <x v="5"/>
    <x v="1"/>
    <x v="1"/>
  </r>
  <r>
    <s v="ORD11172"/>
    <x v="64"/>
    <s v="Aisha"/>
    <x v="2"/>
    <n v="48"/>
    <x v="5"/>
    <s v="Port Harcourt"/>
    <x v="2"/>
    <s v="Rice"/>
    <x v="3"/>
    <n v="10"/>
    <n v="22900"/>
    <n v="20"/>
    <n v="183200"/>
    <x v="0"/>
    <x v="2"/>
    <x v="3"/>
    <x v="0"/>
  </r>
  <r>
    <s v="ORD11174"/>
    <x v="447"/>
    <s v="Aisha"/>
    <x v="1"/>
    <n v="65"/>
    <x v="1"/>
    <s v="Lekki"/>
    <x v="1"/>
    <s v="Phone"/>
    <x v="4"/>
    <n v="10"/>
    <n v="43200"/>
    <n v="20"/>
    <n v="345600"/>
    <x v="0"/>
    <x v="3"/>
    <x v="2"/>
    <x v="0"/>
  </r>
  <r>
    <s v="ORD11175"/>
    <x v="448"/>
    <s v="Emeka"/>
    <x v="2"/>
    <n v="46"/>
    <x v="2"/>
    <s v="Garki"/>
    <x v="3"/>
    <s v="Chair"/>
    <x v="2"/>
    <n v="5"/>
    <n v="24400"/>
    <n v="10"/>
    <n v="109800"/>
    <x v="1"/>
    <x v="1"/>
    <x v="3"/>
    <x v="0"/>
  </r>
  <r>
    <s v="ORD11176"/>
    <x v="366"/>
    <s v="Peter"/>
    <x v="0"/>
    <n v="36"/>
    <x v="4"/>
    <s v="Ibadan"/>
    <x v="2"/>
    <s v="Rice"/>
    <x v="1"/>
    <n v="8"/>
    <n v="3900"/>
    <n v="20"/>
    <n v="24960"/>
    <x v="0"/>
    <x v="1"/>
    <x v="1"/>
    <x v="1"/>
  </r>
  <r>
    <s v="ORD11177"/>
    <x v="167"/>
    <s v="Ruth"/>
    <x v="0"/>
    <n v="22"/>
    <x v="0"/>
    <s v="Enugu"/>
    <x v="2"/>
    <s v="Rice"/>
    <x v="2"/>
    <n v="2"/>
    <n v="45500"/>
    <n v="20"/>
    <n v="72800"/>
    <x v="1"/>
    <x v="4"/>
    <x v="0"/>
    <x v="0"/>
  </r>
  <r>
    <s v="ORD11178"/>
    <x v="370"/>
    <s v="Ruth"/>
    <x v="0"/>
    <n v="55"/>
    <x v="4"/>
    <s v="Ibadan"/>
    <x v="2"/>
    <s v="Rice"/>
    <x v="4"/>
    <n v="1"/>
    <n v="32300"/>
    <n v="25"/>
    <n v="24225"/>
    <x v="0"/>
    <x v="2"/>
    <x v="1"/>
    <x v="1"/>
  </r>
  <r>
    <s v="ORD11180"/>
    <x v="248"/>
    <s v="Ruth"/>
    <x v="0"/>
    <n v="35"/>
    <x v="5"/>
    <s v="Port Harcourt"/>
    <x v="3"/>
    <s v="Desk"/>
    <x v="2"/>
    <n v="2"/>
    <n v="2100"/>
    <n v="0"/>
    <n v="4200"/>
    <x v="2"/>
    <x v="5"/>
    <x v="2"/>
    <x v="0"/>
  </r>
  <r>
    <s v="ORD11181"/>
    <x v="449"/>
    <s v="Peter"/>
    <x v="0"/>
    <n v="26"/>
    <x v="3"/>
    <s v="Kano"/>
    <x v="3"/>
    <s v="Desk"/>
    <x v="4"/>
    <n v="7"/>
    <n v="8400"/>
    <n v="25"/>
    <n v="44100"/>
    <x v="1"/>
    <x v="0"/>
    <x v="3"/>
    <x v="0"/>
  </r>
  <r>
    <s v="ORD11182"/>
    <x v="450"/>
    <s v="Mary"/>
    <x v="0"/>
    <n v="23"/>
    <x v="1"/>
    <s v="Ikeja"/>
    <x v="0"/>
    <s v="Shirt"/>
    <x v="3"/>
    <n v="10"/>
    <n v="16400"/>
    <n v="25"/>
    <n v="123000"/>
    <x v="0"/>
    <x v="3"/>
    <x v="1"/>
    <x v="1"/>
  </r>
  <r>
    <s v="ORD11183"/>
    <x v="451"/>
    <s v="Grace"/>
    <x v="1"/>
    <n v="36"/>
    <x v="3"/>
    <s v="Kano"/>
    <x v="3"/>
    <s v="Desk"/>
    <x v="2"/>
    <n v="6"/>
    <n v="45700"/>
    <n v="25"/>
    <n v="205650"/>
    <x v="2"/>
    <x v="4"/>
    <x v="3"/>
    <x v="0"/>
  </r>
  <r>
    <s v="ORD11184"/>
    <x v="452"/>
    <s v="John"/>
    <x v="2"/>
    <n v="20"/>
    <x v="0"/>
    <s v="Enugu"/>
    <x v="3"/>
    <s v="Chair"/>
    <x v="5"/>
    <n v="4"/>
    <n v="42300"/>
    <n v="25"/>
    <n v="126900"/>
    <x v="1"/>
    <x v="4"/>
    <x v="0"/>
    <x v="0"/>
  </r>
  <r>
    <s v="ORD11185"/>
    <x v="390"/>
    <s v="Aisha"/>
    <x v="2"/>
    <n v="59"/>
    <x v="0"/>
    <s v="Enugu"/>
    <x v="3"/>
    <s v="Desk"/>
    <x v="5"/>
    <n v="1"/>
    <n v="16700"/>
    <n v="25"/>
    <n v="12525"/>
    <x v="1"/>
    <x v="4"/>
    <x v="0"/>
    <x v="0"/>
  </r>
  <r>
    <s v="ORD11187"/>
    <x v="297"/>
    <s v="John"/>
    <x v="0"/>
    <n v="36"/>
    <x v="3"/>
    <s v="Kano"/>
    <x v="3"/>
    <s v="Chair"/>
    <x v="5"/>
    <n v="1"/>
    <n v="27200"/>
    <n v="25"/>
    <n v="20400"/>
    <x v="1"/>
    <x v="0"/>
    <x v="2"/>
    <x v="0"/>
  </r>
  <r>
    <s v="ORD11189"/>
    <x v="17"/>
    <s v="Aisha"/>
    <x v="1"/>
    <n v="60"/>
    <x v="4"/>
    <s v="Ogbomosho"/>
    <x v="3"/>
    <s v="Chair"/>
    <x v="2"/>
    <n v="5"/>
    <n v="28700"/>
    <n v="10"/>
    <n v="129150"/>
    <x v="1"/>
    <x v="2"/>
    <x v="3"/>
    <x v="0"/>
  </r>
  <r>
    <s v="ORD11190"/>
    <x v="224"/>
    <s v="David"/>
    <x v="2"/>
    <n v="49"/>
    <x v="2"/>
    <s v="Wuse"/>
    <x v="1"/>
    <s v="Laptop"/>
    <x v="0"/>
    <n v="9"/>
    <n v="18000"/>
    <n v="5"/>
    <n v="153900"/>
    <x v="1"/>
    <x v="1"/>
    <x v="3"/>
    <x v="0"/>
  </r>
  <r>
    <s v="ORD11191"/>
    <x v="205"/>
    <s v="Ruth"/>
    <x v="0"/>
    <n v="19"/>
    <x v="3"/>
    <s v="Kano"/>
    <x v="3"/>
    <s v="Chair"/>
    <x v="5"/>
    <n v="4"/>
    <n v="38100"/>
    <n v="25"/>
    <n v="114300"/>
    <x v="1"/>
    <x v="5"/>
    <x v="3"/>
    <x v="0"/>
  </r>
  <r>
    <s v="ORD11193"/>
    <x v="254"/>
    <s v="David"/>
    <x v="1"/>
    <n v="38"/>
    <x v="5"/>
    <s v="Port Harcourt"/>
    <x v="1"/>
    <s v="Laptop"/>
    <x v="5"/>
    <n v="2"/>
    <n v="45000"/>
    <n v="20"/>
    <n v="72000"/>
    <x v="2"/>
    <x v="5"/>
    <x v="1"/>
    <x v="1"/>
  </r>
  <r>
    <s v="ORD11194"/>
    <x v="73"/>
    <s v="Mary"/>
    <x v="2"/>
    <n v="38"/>
    <x v="5"/>
    <s v="Obio"/>
    <x v="2"/>
    <s v="Rice"/>
    <x v="4"/>
    <n v="8"/>
    <n v="13300"/>
    <n v="15"/>
    <n v="90440"/>
    <x v="0"/>
    <x v="2"/>
    <x v="0"/>
    <x v="0"/>
  </r>
  <r>
    <s v="ORD11195"/>
    <x v="166"/>
    <s v="Chioma"/>
    <x v="1"/>
    <n v="65"/>
    <x v="0"/>
    <s v="Enugu"/>
    <x v="1"/>
    <s v="Phone"/>
    <x v="4"/>
    <n v="3"/>
    <n v="25200"/>
    <n v="10"/>
    <n v="68040"/>
    <x v="3"/>
    <x v="1"/>
    <x v="2"/>
    <x v="0"/>
  </r>
  <r>
    <s v="ORD11196"/>
    <x v="310"/>
    <s v="John"/>
    <x v="0"/>
    <n v="61"/>
    <x v="3"/>
    <s v="Kano"/>
    <x v="1"/>
    <s v="Phone"/>
    <x v="1"/>
    <n v="9"/>
    <n v="36700"/>
    <n v="10"/>
    <n v="297270"/>
    <x v="2"/>
    <x v="4"/>
    <x v="3"/>
    <x v="0"/>
  </r>
  <r>
    <s v="ORD11197"/>
    <x v="443"/>
    <s v="Grace"/>
    <x v="2"/>
    <n v="32"/>
    <x v="2"/>
    <s v="Wuse"/>
    <x v="2"/>
    <s v="Beans"/>
    <x v="0"/>
    <n v="9"/>
    <n v="9500"/>
    <n v="15"/>
    <n v="72675"/>
    <x v="2"/>
    <x v="2"/>
    <x v="3"/>
    <x v="0"/>
  </r>
  <r>
    <s v="ORD11199"/>
    <x v="28"/>
    <s v="Aisha"/>
    <x v="0"/>
    <n v="39"/>
    <x v="5"/>
    <s v="Port Harcourt"/>
    <x v="1"/>
    <s v="Laptop"/>
    <x v="0"/>
    <n v="10"/>
    <n v="49400"/>
    <n v="0"/>
    <n v="494000"/>
    <x v="1"/>
    <x v="4"/>
    <x v="1"/>
    <x v="1"/>
  </r>
  <r>
    <s v="ORD11201"/>
    <x v="453"/>
    <s v="Daniel"/>
    <x v="0"/>
    <n v="36"/>
    <x v="4"/>
    <s v="Ogbomosho"/>
    <x v="1"/>
    <s v="Phone"/>
    <x v="2"/>
    <n v="4"/>
    <n v="11900"/>
    <n v="15"/>
    <n v="40460"/>
    <x v="0"/>
    <x v="4"/>
    <x v="2"/>
    <x v="0"/>
  </r>
  <r>
    <s v="ORD11202"/>
    <x v="454"/>
    <s v="Daniel"/>
    <x v="2"/>
    <n v="24"/>
    <x v="3"/>
    <s v="Kano"/>
    <x v="1"/>
    <s v="Laptop"/>
    <x v="2"/>
    <n v="9"/>
    <n v="28600"/>
    <n v="10"/>
    <n v="231660"/>
    <x v="0"/>
    <x v="1"/>
    <x v="2"/>
    <x v="0"/>
  </r>
  <r>
    <s v="ORD11203"/>
    <x v="327"/>
    <s v="Daniel"/>
    <x v="0"/>
    <n v="150"/>
    <x v="1"/>
    <s v="Ikeja"/>
    <x v="0"/>
    <s v="Shirt"/>
    <x v="0"/>
    <n v="5"/>
    <n v="15400"/>
    <n v="5"/>
    <n v="73150"/>
    <x v="2"/>
    <x v="1"/>
    <x v="0"/>
    <x v="0"/>
  </r>
  <r>
    <s v="ORD11204"/>
    <x v="260"/>
    <s v="Chioma"/>
    <x v="0"/>
    <n v="43"/>
    <x v="2"/>
    <s v="Garki"/>
    <x v="1"/>
    <s v="Laptop"/>
    <x v="2"/>
    <n v="10"/>
    <n v="35300"/>
    <n v="25"/>
    <n v="264750"/>
    <x v="2"/>
    <x v="0"/>
    <x v="1"/>
    <x v="1"/>
  </r>
  <r>
    <s v="ORD11206"/>
    <x v="140"/>
    <s v="John"/>
    <x v="2"/>
    <n v="46"/>
    <x v="4"/>
    <s v="Ibadan"/>
    <x v="0"/>
    <s v="Shirt"/>
    <x v="4"/>
    <n v="4"/>
    <n v="4100"/>
    <n v="10"/>
    <n v="14760"/>
    <x v="0"/>
    <x v="0"/>
    <x v="3"/>
    <x v="0"/>
  </r>
  <r>
    <s v="ORD11207"/>
    <x v="203"/>
    <s v="Mary"/>
    <x v="1"/>
    <n v="55"/>
    <x v="3"/>
    <s v="Kano"/>
    <x v="3"/>
    <s v="Desk"/>
    <x v="1"/>
    <n v="1"/>
    <n v="45100"/>
    <n v="10"/>
    <n v="40590"/>
    <x v="0"/>
    <x v="3"/>
    <x v="3"/>
    <x v="0"/>
  </r>
  <r>
    <s v="ORD11208"/>
    <x v="197"/>
    <s v="Aisha"/>
    <x v="0"/>
    <n v="29"/>
    <x v="5"/>
    <s v="Obio"/>
    <x v="2"/>
    <s v="Rice"/>
    <x v="1"/>
    <n v="8"/>
    <n v="15100"/>
    <n v="25"/>
    <n v="90600"/>
    <x v="2"/>
    <x v="1"/>
    <x v="3"/>
    <x v="0"/>
  </r>
  <r>
    <s v="ORD11209"/>
    <x v="455"/>
    <s v="David"/>
    <x v="0"/>
    <n v="50"/>
    <x v="3"/>
    <s v="Kano"/>
    <x v="1"/>
    <s v="Phone"/>
    <x v="3"/>
    <n v="8"/>
    <n v="5600"/>
    <n v="15"/>
    <n v="38080"/>
    <x v="2"/>
    <x v="0"/>
    <x v="1"/>
    <x v="1"/>
  </r>
  <r>
    <s v="ORD11210"/>
    <x v="12"/>
    <s v="John"/>
    <x v="0"/>
    <n v="23"/>
    <x v="3"/>
    <s v="Kano"/>
    <x v="2"/>
    <s v="Beans"/>
    <x v="2"/>
    <n v="1"/>
    <n v="24300"/>
    <n v="25"/>
    <n v="18225"/>
    <x v="3"/>
    <x v="0"/>
    <x v="2"/>
    <x v="0"/>
  </r>
  <r>
    <s v="ORD11211"/>
    <x v="323"/>
    <s v="Peter"/>
    <x v="2"/>
    <n v="48"/>
    <x v="5"/>
    <s v="Port Harcourt"/>
    <x v="2"/>
    <s v="Beans"/>
    <x v="2"/>
    <n v="5"/>
    <n v="20700"/>
    <n v="25"/>
    <n v="77625"/>
    <x v="0"/>
    <x v="4"/>
    <x v="3"/>
    <x v="0"/>
  </r>
  <r>
    <s v="ORD11212"/>
    <x v="456"/>
    <s v="John"/>
    <x v="1"/>
    <n v="56"/>
    <x v="3"/>
    <s v="Kano"/>
    <x v="3"/>
    <s v="Chair"/>
    <x v="1"/>
    <n v="4"/>
    <n v="7000"/>
    <n v="25"/>
    <n v="21000"/>
    <x v="0"/>
    <x v="0"/>
    <x v="0"/>
    <x v="0"/>
  </r>
  <r>
    <s v="ORD11213"/>
    <x v="292"/>
    <s v="Grace"/>
    <x v="0"/>
    <n v="28"/>
    <x v="4"/>
    <s v="Ogbomosho"/>
    <x v="2"/>
    <s v="Beans"/>
    <x v="1"/>
    <n v="3"/>
    <n v="3600"/>
    <n v="15"/>
    <n v="9180"/>
    <x v="1"/>
    <x v="3"/>
    <x v="3"/>
    <x v="0"/>
  </r>
  <r>
    <s v="ORD11214"/>
    <x v="64"/>
    <s v="Chioma"/>
    <x v="1"/>
    <n v="50"/>
    <x v="4"/>
    <s v="Ogbomosho"/>
    <x v="2"/>
    <s v="Rice"/>
    <x v="4"/>
    <n v="6"/>
    <n v="35000"/>
    <n v="5"/>
    <n v="199500"/>
    <x v="2"/>
    <x v="0"/>
    <x v="2"/>
    <x v="0"/>
  </r>
  <r>
    <s v="ORD11215"/>
    <x v="359"/>
    <s v="Aisha"/>
    <x v="0"/>
    <n v="25"/>
    <x v="0"/>
    <s v="Enugu"/>
    <x v="0"/>
    <s v="Shoes"/>
    <x v="3"/>
    <n v="4"/>
    <n v="44000"/>
    <n v="10"/>
    <n v="158400"/>
    <x v="1"/>
    <x v="4"/>
    <x v="1"/>
    <x v="1"/>
  </r>
  <r>
    <s v="ORD11217"/>
    <x v="46"/>
    <s v="David"/>
    <x v="0"/>
    <n v="44"/>
    <x v="0"/>
    <s v="Enugu"/>
    <x v="2"/>
    <s v="Beans"/>
    <x v="5"/>
    <n v="10"/>
    <n v="9300"/>
    <n v="15"/>
    <n v="79050"/>
    <x v="0"/>
    <x v="1"/>
    <x v="0"/>
    <x v="0"/>
  </r>
  <r>
    <s v="ORD11218"/>
    <x v="457"/>
    <s v="Ruth"/>
    <x v="1"/>
    <n v="36"/>
    <x v="1"/>
    <s v="Lekki"/>
    <x v="0"/>
    <s v="Shirt"/>
    <x v="3"/>
    <n v="8"/>
    <n v="11300"/>
    <n v="15"/>
    <n v="76840"/>
    <x v="0"/>
    <x v="1"/>
    <x v="1"/>
    <x v="1"/>
  </r>
  <r>
    <s v="ORD11219"/>
    <x v="261"/>
    <s v="Ruth"/>
    <x v="0"/>
    <n v="61"/>
    <x v="2"/>
    <s v="Garki"/>
    <x v="2"/>
    <s v="Rice"/>
    <x v="0"/>
    <n v="8"/>
    <n v="25900"/>
    <n v="0"/>
    <n v="207200"/>
    <x v="2"/>
    <x v="5"/>
    <x v="3"/>
    <x v="0"/>
  </r>
  <r>
    <s v="ORD11220"/>
    <x v="458"/>
    <s v="David"/>
    <x v="1"/>
    <n v="51"/>
    <x v="4"/>
    <s v="Ogbomosho"/>
    <x v="1"/>
    <s v="Laptop"/>
    <x v="3"/>
    <n v="1"/>
    <n v="3600"/>
    <n v="20"/>
    <n v="2880"/>
    <x v="2"/>
    <x v="1"/>
    <x v="0"/>
    <x v="0"/>
  </r>
  <r>
    <s v="ORD11221"/>
    <x v="120"/>
    <s v="Daniel"/>
    <x v="2"/>
    <n v="27"/>
    <x v="1"/>
    <s v="Lekki"/>
    <x v="3"/>
    <s v="Desk"/>
    <x v="2"/>
    <n v="3"/>
    <n v="4900"/>
    <n v="20"/>
    <n v="11760"/>
    <x v="2"/>
    <x v="5"/>
    <x v="2"/>
    <x v="0"/>
  </r>
  <r>
    <s v="ORD11222"/>
    <x v="85"/>
    <s v="Mary"/>
    <x v="2"/>
    <n v="65"/>
    <x v="5"/>
    <s v="Obio"/>
    <x v="1"/>
    <s v="Laptop"/>
    <x v="5"/>
    <n v="8"/>
    <n v="14200"/>
    <n v="5"/>
    <n v="107920"/>
    <x v="2"/>
    <x v="5"/>
    <x v="3"/>
    <x v="0"/>
  </r>
  <r>
    <s v="ORD11224"/>
    <x v="459"/>
    <s v="Ruth"/>
    <x v="0"/>
    <n v="21"/>
    <x v="0"/>
    <s v="Enugu"/>
    <x v="1"/>
    <s v="Phone"/>
    <x v="2"/>
    <n v="6"/>
    <n v="8800"/>
    <n v="0"/>
    <n v="52800"/>
    <x v="1"/>
    <x v="0"/>
    <x v="1"/>
    <x v="1"/>
  </r>
  <r>
    <s v="ORD11225"/>
    <x v="460"/>
    <s v="Mary"/>
    <x v="1"/>
    <n v="52"/>
    <x v="4"/>
    <s v="Ibadan"/>
    <x v="2"/>
    <s v="Beans"/>
    <x v="2"/>
    <n v="5"/>
    <n v="40000"/>
    <n v="0"/>
    <n v="200000"/>
    <x v="2"/>
    <x v="3"/>
    <x v="1"/>
    <x v="1"/>
  </r>
  <r>
    <s v="ORD11227"/>
    <x v="248"/>
    <s v="Emeka"/>
    <x v="0"/>
    <n v="64"/>
    <x v="2"/>
    <s v="Garki"/>
    <x v="3"/>
    <s v="Chair"/>
    <x v="4"/>
    <n v="9"/>
    <n v="3900"/>
    <n v="10"/>
    <n v="31590"/>
    <x v="0"/>
    <x v="1"/>
    <x v="0"/>
    <x v="0"/>
  </r>
  <r>
    <s v="ORD11228"/>
    <x v="46"/>
    <s v="Chioma"/>
    <x v="2"/>
    <n v="41"/>
    <x v="1"/>
    <s v="Lekki"/>
    <x v="1"/>
    <s v="Phone"/>
    <x v="2"/>
    <n v="8"/>
    <n v="48900"/>
    <n v="20"/>
    <n v="312960"/>
    <x v="1"/>
    <x v="0"/>
    <x v="3"/>
    <x v="0"/>
  </r>
  <r>
    <s v="ORD11229"/>
    <x v="271"/>
    <s v="Grace"/>
    <x v="2"/>
    <n v="51"/>
    <x v="2"/>
    <s v="Wuse"/>
    <x v="3"/>
    <s v="Chair"/>
    <x v="2"/>
    <n v="9"/>
    <n v="43700"/>
    <n v="10"/>
    <n v="353970"/>
    <x v="3"/>
    <x v="1"/>
    <x v="0"/>
    <x v="0"/>
  </r>
  <r>
    <s v="ORD11231"/>
    <x v="173"/>
    <s v="Aisha"/>
    <x v="0"/>
    <n v="65"/>
    <x v="3"/>
    <s v="Kano"/>
    <x v="0"/>
    <s v="Shirt"/>
    <x v="0"/>
    <n v="2"/>
    <n v="47100"/>
    <n v="5"/>
    <n v="89490"/>
    <x v="2"/>
    <x v="0"/>
    <x v="2"/>
    <x v="0"/>
  </r>
  <r>
    <s v="ORD11233"/>
    <x v="461"/>
    <s v="Chioma"/>
    <x v="2"/>
    <n v="46"/>
    <x v="0"/>
    <s v="Enugu"/>
    <x v="2"/>
    <s v="Beans"/>
    <x v="5"/>
    <n v="9"/>
    <n v="40400"/>
    <n v="20"/>
    <n v="290880"/>
    <x v="1"/>
    <x v="0"/>
    <x v="1"/>
    <x v="1"/>
  </r>
  <r>
    <s v="ORD11235"/>
    <x v="202"/>
    <s v="Chioma"/>
    <x v="2"/>
    <n v="35"/>
    <x v="2"/>
    <s v="Wuse"/>
    <x v="0"/>
    <s v="Shirt"/>
    <x v="2"/>
    <n v="5"/>
    <n v="45000"/>
    <n v="15"/>
    <n v="191250"/>
    <x v="1"/>
    <x v="2"/>
    <x v="0"/>
    <x v="0"/>
  </r>
  <r>
    <s v="ORD11236"/>
    <x v="462"/>
    <s v="Daniel"/>
    <x v="2"/>
    <n v="33"/>
    <x v="0"/>
    <s v="Enugu"/>
    <x v="2"/>
    <s v="Rice"/>
    <x v="5"/>
    <n v="9"/>
    <n v="30200"/>
    <n v="10"/>
    <n v="244620"/>
    <x v="0"/>
    <x v="0"/>
    <x v="1"/>
    <x v="1"/>
  </r>
  <r>
    <s v="ORD11238"/>
    <x v="392"/>
    <s v="Grace"/>
    <x v="1"/>
    <n v="34"/>
    <x v="1"/>
    <s v="Ikeja"/>
    <x v="1"/>
    <s v="Phone"/>
    <x v="2"/>
    <n v="7"/>
    <n v="24700"/>
    <n v="0"/>
    <n v="172900"/>
    <x v="1"/>
    <x v="3"/>
    <x v="0"/>
    <x v="0"/>
  </r>
  <r>
    <s v="ORD11240"/>
    <x v="387"/>
    <s v="David"/>
    <x v="2"/>
    <n v="48"/>
    <x v="3"/>
    <s v="Kano"/>
    <x v="1"/>
    <s v="Laptop"/>
    <x v="4"/>
    <n v="8"/>
    <n v="15500"/>
    <n v="25"/>
    <n v="93000"/>
    <x v="1"/>
    <x v="0"/>
    <x v="1"/>
    <x v="1"/>
  </r>
  <r>
    <s v="ORD11242"/>
    <x v="443"/>
    <s v="Chioma"/>
    <x v="0"/>
    <n v="30"/>
    <x v="0"/>
    <s v="Enugu"/>
    <x v="0"/>
    <s v="Shoes"/>
    <x v="2"/>
    <n v="3"/>
    <n v="37200"/>
    <n v="15"/>
    <n v="94860"/>
    <x v="2"/>
    <x v="0"/>
    <x v="3"/>
    <x v="0"/>
  </r>
  <r>
    <s v="ORD11243"/>
    <x v="463"/>
    <s v="John"/>
    <x v="2"/>
    <n v="23"/>
    <x v="4"/>
    <s v="Ogbomosho"/>
    <x v="1"/>
    <s v="Laptop"/>
    <x v="3"/>
    <n v="6"/>
    <n v="26200"/>
    <n v="25"/>
    <n v="117900"/>
    <x v="1"/>
    <x v="4"/>
    <x v="3"/>
    <x v="0"/>
  </r>
  <r>
    <s v="ORD11244"/>
    <x v="67"/>
    <s v="Daniel"/>
    <x v="0"/>
    <n v="38"/>
    <x v="0"/>
    <s v="Enugu"/>
    <x v="3"/>
    <s v="Desk"/>
    <x v="1"/>
    <n v="9"/>
    <n v="34000"/>
    <n v="15"/>
    <n v="260100"/>
    <x v="2"/>
    <x v="1"/>
    <x v="2"/>
    <x v="0"/>
  </r>
  <r>
    <s v="ORD11245"/>
    <x v="70"/>
    <s v="Ruth"/>
    <x v="2"/>
    <n v="45"/>
    <x v="2"/>
    <s v="Wuse"/>
    <x v="2"/>
    <s v="Rice"/>
    <x v="3"/>
    <n v="4"/>
    <n v="23000"/>
    <n v="15"/>
    <n v="78200"/>
    <x v="2"/>
    <x v="4"/>
    <x v="2"/>
    <x v="0"/>
  </r>
  <r>
    <s v="ORD11246"/>
    <x v="161"/>
    <s v="Aisha"/>
    <x v="0"/>
    <n v="55"/>
    <x v="3"/>
    <s v="Kano"/>
    <x v="2"/>
    <s v="Rice"/>
    <x v="1"/>
    <n v="6"/>
    <n v="46100"/>
    <n v="0"/>
    <n v="276600"/>
    <x v="1"/>
    <x v="0"/>
    <x v="2"/>
    <x v="0"/>
  </r>
  <r>
    <s v="ORD11247"/>
    <x v="464"/>
    <s v="John"/>
    <x v="1"/>
    <n v="40"/>
    <x v="3"/>
    <s v="Kano"/>
    <x v="2"/>
    <s v="Beans"/>
    <x v="5"/>
    <n v="4"/>
    <n v="28200"/>
    <n v="5"/>
    <n v="107160"/>
    <x v="1"/>
    <x v="0"/>
    <x v="2"/>
    <x v="0"/>
  </r>
  <r>
    <s v="ORD11248"/>
    <x v="392"/>
    <s v="Daniel"/>
    <x v="1"/>
    <n v="32"/>
    <x v="0"/>
    <s v="Enugu"/>
    <x v="0"/>
    <s v="Shirt"/>
    <x v="5"/>
    <n v="8"/>
    <n v="20800"/>
    <n v="5"/>
    <n v="158080"/>
    <x v="2"/>
    <x v="4"/>
    <x v="2"/>
    <x v="0"/>
  </r>
  <r>
    <s v="ORD11249"/>
    <x v="463"/>
    <s v="Ruth"/>
    <x v="0"/>
    <n v="54"/>
    <x v="3"/>
    <s v="Kano"/>
    <x v="2"/>
    <s v="Rice"/>
    <x v="4"/>
    <n v="9"/>
    <n v="18200"/>
    <n v="5"/>
    <n v="155610"/>
    <x v="1"/>
    <x v="1"/>
    <x v="1"/>
    <x v="1"/>
  </r>
  <r>
    <s v="ORD11252"/>
    <x v="310"/>
    <s v="Daniel"/>
    <x v="2"/>
    <n v="32"/>
    <x v="2"/>
    <s v="Garki"/>
    <x v="3"/>
    <s v="Desk"/>
    <x v="2"/>
    <n v="9"/>
    <n v="46900"/>
    <n v="10"/>
    <n v="379890"/>
    <x v="1"/>
    <x v="2"/>
    <x v="1"/>
    <x v="1"/>
  </r>
  <r>
    <s v="ORD11253"/>
    <x v="465"/>
    <s v="Chioma"/>
    <x v="2"/>
    <n v="34"/>
    <x v="0"/>
    <s v="Enugu"/>
    <x v="2"/>
    <s v="Rice"/>
    <x v="2"/>
    <n v="1"/>
    <n v="43800"/>
    <n v="15"/>
    <n v="37230"/>
    <x v="1"/>
    <x v="0"/>
    <x v="1"/>
    <x v="1"/>
  </r>
  <r>
    <s v="ORD11254"/>
    <x v="150"/>
    <s v="Grace"/>
    <x v="2"/>
    <n v="56"/>
    <x v="5"/>
    <s v="Obio"/>
    <x v="3"/>
    <s v="Desk"/>
    <x v="5"/>
    <n v="9"/>
    <n v="10100"/>
    <n v="20"/>
    <n v="72720"/>
    <x v="1"/>
    <x v="4"/>
    <x v="3"/>
    <x v="0"/>
  </r>
  <r>
    <s v="ORD11255"/>
    <x v="429"/>
    <s v="Daniel"/>
    <x v="2"/>
    <n v="64"/>
    <x v="0"/>
    <s v="Enugu"/>
    <x v="1"/>
    <s v="Laptop"/>
    <x v="1"/>
    <n v="7"/>
    <n v="12100"/>
    <n v="25"/>
    <n v="63525"/>
    <x v="2"/>
    <x v="3"/>
    <x v="2"/>
    <x v="0"/>
  </r>
  <r>
    <s v="ORD11256"/>
    <x v="67"/>
    <s v="Aisha"/>
    <x v="2"/>
    <n v="25"/>
    <x v="1"/>
    <s v="Ikeja"/>
    <x v="0"/>
    <s v="Shirt"/>
    <x v="4"/>
    <n v="10"/>
    <n v="29100"/>
    <n v="25"/>
    <n v="218250"/>
    <x v="1"/>
    <x v="0"/>
    <x v="2"/>
    <x v="0"/>
  </r>
  <r>
    <s v="ORD11257"/>
    <x v="260"/>
    <s v="Ruth"/>
    <x v="2"/>
    <n v="39"/>
    <x v="5"/>
    <s v="Obio"/>
    <x v="1"/>
    <s v="Laptop"/>
    <x v="1"/>
    <n v="8"/>
    <n v="44400"/>
    <n v="15"/>
    <n v="301920"/>
    <x v="1"/>
    <x v="1"/>
    <x v="2"/>
    <x v="0"/>
  </r>
  <r>
    <s v="ORD11258"/>
    <x v="275"/>
    <s v="Peter"/>
    <x v="0"/>
    <n v="62"/>
    <x v="0"/>
    <s v="Enugu"/>
    <x v="3"/>
    <s v="Desk"/>
    <x v="1"/>
    <n v="5"/>
    <n v="20600"/>
    <n v="25"/>
    <n v="77250"/>
    <x v="3"/>
    <x v="5"/>
    <x v="0"/>
    <x v="0"/>
  </r>
  <r>
    <s v="ORD11259"/>
    <x v="133"/>
    <s v="David"/>
    <x v="0"/>
    <n v="46"/>
    <x v="0"/>
    <s v="Enugu"/>
    <x v="0"/>
    <s v="Shirt"/>
    <x v="2"/>
    <n v="7"/>
    <n v="4300"/>
    <n v="0"/>
    <n v="30100"/>
    <x v="2"/>
    <x v="2"/>
    <x v="1"/>
    <x v="1"/>
  </r>
  <r>
    <s v="ORD11261"/>
    <x v="466"/>
    <s v="Chioma"/>
    <x v="1"/>
    <n v="42"/>
    <x v="0"/>
    <s v="Enugu"/>
    <x v="2"/>
    <s v="Rice"/>
    <x v="3"/>
    <n v="1"/>
    <n v="15400"/>
    <n v="15"/>
    <n v="13090"/>
    <x v="2"/>
    <x v="4"/>
    <x v="1"/>
    <x v="1"/>
  </r>
  <r>
    <s v="ORD11262"/>
    <x v="452"/>
    <s v="Mary"/>
    <x v="0"/>
    <n v="49"/>
    <x v="2"/>
    <s v="Garki"/>
    <x v="1"/>
    <s v="Laptop"/>
    <x v="4"/>
    <n v="7"/>
    <n v="23300"/>
    <n v="10"/>
    <n v="146790"/>
    <x v="1"/>
    <x v="0"/>
    <x v="2"/>
    <x v="0"/>
  </r>
  <r>
    <s v="ORD11263"/>
    <x v="161"/>
    <s v="Ruth"/>
    <x v="2"/>
    <n v="58"/>
    <x v="3"/>
    <s v="Kano"/>
    <x v="2"/>
    <s v="Beans"/>
    <x v="4"/>
    <n v="5"/>
    <n v="2800"/>
    <n v="10"/>
    <n v="12600"/>
    <x v="1"/>
    <x v="5"/>
    <x v="1"/>
    <x v="1"/>
  </r>
  <r>
    <s v="ORD11266"/>
    <x v="279"/>
    <s v="John"/>
    <x v="0"/>
    <n v="24"/>
    <x v="5"/>
    <s v="Port Harcourt"/>
    <x v="2"/>
    <s v="Beans"/>
    <x v="0"/>
    <n v="6"/>
    <n v="46300"/>
    <n v="15"/>
    <n v="236130"/>
    <x v="0"/>
    <x v="0"/>
    <x v="3"/>
    <x v="0"/>
  </r>
  <r>
    <s v="ORD11267"/>
    <x v="467"/>
    <s v="Aisha"/>
    <x v="2"/>
    <n v="27"/>
    <x v="2"/>
    <s v="Wuse"/>
    <x v="0"/>
    <s v="Shoes"/>
    <x v="0"/>
    <n v="10"/>
    <n v="19200"/>
    <n v="15"/>
    <n v="163200"/>
    <x v="2"/>
    <x v="2"/>
    <x v="2"/>
    <x v="0"/>
  </r>
  <r>
    <s v="ORD11268"/>
    <x v="397"/>
    <s v="Ruth"/>
    <x v="0"/>
    <n v="59"/>
    <x v="5"/>
    <s v="Port Harcourt"/>
    <x v="1"/>
    <s v="Laptop"/>
    <x v="5"/>
    <n v="7"/>
    <n v="37400"/>
    <n v="20"/>
    <n v="209440"/>
    <x v="2"/>
    <x v="3"/>
    <x v="0"/>
    <x v="0"/>
  </r>
  <r>
    <s v="ORD11269"/>
    <x v="263"/>
    <s v="Peter"/>
    <x v="0"/>
    <n v="150"/>
    <x v="4"/>
    <s v="Ogbomosho"/>
    <x v="3"/>
    <s v="Chair"/>
    <x v="1"/>
    <n v="10"/>
    <n v="46000"/>
    <n v="5"/>
    <n v="437000"/>
    <x v="2"/>
    <x v="5"/>
    <x v="0"/>
    <x v="0"/>
  </r>
  <r>
    <s v="ORD11270"/>
    <x v="67"/>
    <s v="Ruth"/>
    <x v="2"/>
    <n v="19"/>
    <x v="5"/>
    <s v="Obio"/>
    <x v="3"/>
    <s v="Desk"/>
    <x v="3"/>
    <n v="10"/>
    <n v="38200"/>
    <n v="20"/>
    <n v="305600"/>
    <x v="1"/>
    <x v="1"/>
    <x v="0"/>
    <x v="0"/>
  </r>
  <r>
    <s v="ORD11272"/>
    <x v="275"/>
    <s v="Peter"/>
    <x v="2"/>
    <n v="49"/>
    <x v="5"/>
    <s v="Port Harcourt"/>
    <x v="3"/>
    <s v="Desk"/>
    <x v="3"/>
    <n v="7"/>
    <n v="22100"/>
    <n v="15"/>
    <n v="131495"/>
    <x v="0"/>
    <x v="3"/>
    <x v="2"/>
    <x v="0"/>
  </r>
  <r>
    <s v="ORD11273"/>
    <x v="468"/>
    <s v="Chioma"/>
    <x v="0"/>
    <n v="21"/>
    <x v="0"/>
    <s v="Enugu"/>
    <x v="1"/>
    <s v="Laptop"/>
    <x v="4"/>
    <n v="7"/>
    <n v="45100"/>
    <n v="20"/>
    <n v="252560"/>
    <x v="2"/>
    <x v="2"/>
    <x v="3"/>
    <x v="0"/>
  </r>
  <r>
    <s v="ORD11274"/>
    <x v="445"/>
    <s v="Aisha"/>
    <x v="1"/>
    <n v="55"/>
    <x v="3"/>
    <s v="Kano"/>
    <x v="3"/>
    <s v="Chair"/>
    <x v="1"/>
    <n v="2"/>
    <n v="41400"/>
    <n v="10"/>
    <n v="74520"/>
    <x v="1"/>
    <x v="3"/>
    <x v="2"/>
    <x v="0"/>
  </r>
  <r>
    <s v="ORD11275"/>
    <x v="271"/>
    <s v="John"/>
    <x v="0"/>
    <n v="25"/>
    <x v="3"/>
    <s v="Kano"/>
    <x v="2"/>
    <s v="Rice"/>
    <x v="4"/>
    <n v="8"/>
    <n v="3300"/>
    <n v="25"/>
    <n v="19800"/>
    <x v="2"/>
    <x v="4"/>
    <x v="2"/>
    <x v="0"/>
  </r>
  <r>
    <s v="ORD11276"/>
    <x v="420"/>
    <s v="Emeka"/>
    <x v="2"/>
    <n v="64"/>
    <x v="5"/>
    <s v="Obio"/>
    <x v="0"/>
    <s v="Shirt"/>
    <x v="3"/>
    <n v="9"/>
    <n v="36800"/>
    <n v="10"/>
    <n v="298080"/>
    <x v="2"/>
    <x v="3"/>
    <x v="2"/>
    <x v="0"/>
  </r>
  <r>
    <s v="ORD11277"/>
    <x v="318"/>
    <s v="Grace"/>
    <x v="2"/>
    <n v="63"/>
    <x v="0"/>
    <s v="Enugu"/>
    <x v="1"/>
    <s v="Laptop"/>
    <x v="3"/>
    <n v="10"/>
    <n v="12400"/>
    <n v="20"/>
    <n v="99200"/>
    <x v="2"/>
    <x v="4"/>
    <x v="3"/>
    <x v="0"/>
  </r>
  <r>
    <s v="ORD11278"/>
    <x v="256"/>
    <s v="Daniel"/>
    <x v="2"/>
    <n v="33"/>
    <x v="3"/>
    <s v="Kano"/>
    <x v="1"/>
    <s v="Laptop"/>
    <x v="1"/>
    <n v="6"/>
    <n v="11900"/>
    <n v="0"/>
    <n v="71400"/>
    <x v="3"/>
    <x v="1"/>
    <x v="3"/>
    <x v="0"/>
  </r>
  <r>
    <s v="ORD11279"/>
    <x v="469"/>
    <s v="Aisha"/>
    <x v="2"/>
    <n v="57"/>
    <x v="3"/>
    <s v="Kano"/>
    <x v="1"/>
    <s v="Phone"/>
    <x v="5"/>
    <n v="3"/>
    <n v="18200"/>
    <n v="25"/>
    <n v="40950"/>
    <x v="1"/>
    <x v="5"/>
    <x v="2"/>
    <x v="0"/>
  </r>
  <r>
    <s v="ORD11280"/>
    <x v="470"/>
    <s v="Grace"/>
    <x v="0"/>
    <n v="55"/>
    <x v="4"/>
    <s v="Ibadan"/>
    <x v="3"/>
    <s v="Desk"/>
    <x v="1"/>
    <n v="10"/>
    <n v="26300"/>
    <n v="10"/>
    <n v="236700"/>
    <x v="2"/>
    <x v="3"/>
    <x v="1"/>
    <x v="1"/>
  </r>
  <r>
    <s v="ORD11284"/>
    <x v="359"/>
    <s v="Emeka"/>
    <x v="2"/>
    <n v="35"/>
    <x v="1"/>
    <s v="Lekki"/>
    <x v="1"/>
    <s v="Laptop"/>
    <x v="4"/>
    <n v="8"/>
    <n v="28900"/>
    <n v="10"/>
    <n v="208080"/>
    <x v="0"/>
    <x v="3"/>
    <x v="1"/>
    <x v="1"/>
  </r>
  <r>
    <s v="ORD11285"/>
    <x v="471"/>
    <s v="Grace"/>
    <x v="1"/>
    <n v="29"/>
    <x v="5"/>
    <s v="Obio"/>
    <x v="1"/>
    <s v="Phone"/>
    <x v="5"/>
    <n v="4"/>
    <n v="49400"/>
    <n v="25"/>
    <n v="148200"/>
    <x v="2"/>
    <x v="0"/>
    <x v="1"/>
    <x v="1"/>
  </r>
  <r>
    <s v="ORD11287"/>
    <x v="215"/>
    <s v="John"/>
    <x v="1"/>
    <n v="42"/>
    <x v="0"/>
    <s v="Enugu"/>
    <x v="0"/>
    <s v="Shirt"/>
    <x v="5"/>
    <n v="7"/>
    <n v="35800"/>
    <n v="15"/>
    <n v="213010"/>
    <x v="1"/>
    <x v="0"/>
    <x v="1"/>
    <x v="1"/>
  </r>
  <r>
    <s v="ORD11288"/>
    <x v="472"/>
    <s v="Daniel"/>
    <x v="0"/>
    <n v="57"/>
    <x v="4"/>
    <s v="Ogbomosho"/>
    <x v="2"/>
    <s v="Beans"/>
    <x v="0"/>
    <n v="4"/>
    <n v="2100"/>
    <n v="15"/>
    <n v="7140"/>
    <x v="2"/>
    <x v="1"/>
    <x v="3"/>
    <x v="0"/>
  </r>
  <r>
    <s v="ORD11290"/>
    <x v="286"/>
    <s v="Emeka"/>
    <x v="1"/>
    <n v="55"/>
    <x v="5"/>
    <s v="Obio"/>
    <x v="2"/>
    <s v="Beans"/>
    <x v="0"/>
    <n v="1"/>
    <n v="19900"/>
    <n v="0"/>
    <n v="19900"/>
    <x v="2"/>
    <x v="5"/>
    <x v="3"/>
    <x v="0"/>
  </r>
  <r>
    <s v="ORD11291"/>
    <x v="345"/>
    <s v="David"/>
    <x v="0"/>
    <n v="39"/>
    <x v="3"/>
    <s v="Kano"/>
    <x v="3"/>
    <s v="Desk"/>
    <x v="2"/>
    <n v="9"/>
    <n v="44800"/>
    <n v="0"/>
    <n v="403200"/>
    <x v="1"/>
    <x v="0"/>
    <x v="2"/>
    <x v="0"/>
  </r>
  <r>
    <s v="ORD11292"/>
    <x v="473"/>
    <s v="Grace"/>
    <x v="2"/>
    <n v="54"/>
    <x v="2"/>
    <s v="Garki"/>
    <x v="1"/>
    <s v="Laptop"/>
    <x v="2"/>
    <n v="6"/>
    <n v="5900"/>
    <n v="15"/>
    <n v="30090"/>
    <x v="0"/>
    <x v="4"/>
    <x v="0"/>
    <x v="0"/>
  </r>
  <r>
    <s v="ORD11293"/>
    <x v="113"/>
    <s v="Daniel"/>
    <x v="2"/>
    <n v="43"/>
    <x v="2"/>
    <s v="Wuse"/>
    <x v="3"/>
    <s v="Chair"/>
    <x v="2"/>
    <n v="5"/>
    <n v="44900"/>
    <n v="20"/>
    <n v="179600"/>
    <x v="2"/>
    <x v="1"/>
    <x v="0"/>
    <x v="0"/>
  </r>
  <r>
    <s v="ORD11294"/>
    <x v="230"/>
    <s v="Emeka"/>
    <x v="0"/>
    <n v="52"/>
    <x v="2"/>
    <s v="Garki"/>
    <x v="3"/>
    <s v="Chair"/>
    <x v="1"/>
    <n v="2"/>
    <n v="32500"/>
    <n v="25"/>
    <n v="48750"/>
    <x v="2"/>
    <x v="2"/>
    <x v="1"/>
    <x v="1"/>
  </r>
  <r>
    <s v="ORD11295"/>
    <x v="244"/>
    <s v="Emeka"/>
    <x v="1"/>
    <n v="60"/>
    <x v="1"/>
    <s v="Ikeja"/>
    <x v="0"/>
    <s v="Shoes"/>
    <x v="4"/>
    <n v="5"/>
    <n v="31600"/>
    <n v="0"/>
    <n v="158000"/>
    <x v="1"/>
    <x v="5"/>
    <x v="3"/>
    <x v="0"/>
  </r>
  <r>
    <s v="ORD11296"/>
    <x v="287"/>
    <s v="Daniel"/>
    <x v="0"/>
    <n v="32"/>
    <x v="5"/>
    <s v="Obio"/>
    <x v="2"/>
    <s v="Beans"/>
    <x v="0"/>
    <n v="2"/>
    <n v="49800"/>
    <n v="20"/>
    <n v="79680"/>
    <x v="1"/>
    <x v="5"/>
    <x v="0"/>
    <x v="0"/>
  </r>
  <r>
    <s v="ORD11297"/>
    <x v="458"/>
    <s v="David"/>
    <x v="2"/>
    <n v="37"/>
    <x v="4"/>
    <s v="Ogbomosho"/>
    <x v="0"/>
    <s v="Shirt"/>
    <x v="4"/>
    <n v="10"/>
    <n v="18800"/>
    <n v="25"/>
    <n v="141000"/>
    <x v="1"/>
    <x v="3"/>
    <x v="2"/>
    <x v="0"/>
  </r>
  <r>
    <s v="ORD11298"/>
    <x v="396"/>
    <s v="John"/>
    <x v="0"/>
    <n v="60"/>
    <x v="1"/>
    <s v="Lekki"/>
    <x v="2"/>
    <s v="Beans"/>
    <x v="2"/>
    <n v="7"/>
    <n v="13900"/>
    <n v="20"/>
    <n v="77840"/>
    <x v="1"/>
    <x v="5"/>
    <x v="1"/>
    <x v="1"/>
  </r>
  <r>
    <s v="ORD11299"/>
    <x v="354"/>
    <s v="Chioma"/>
    <x v="1"/>
    <n v="63"/>
    <x v="5"/>
    <s v="Port Harcourt"/>
    <x v="1"/>
    <s v="Laptop"/>
    <x v="0"/>
    <n v="1"/>
    <n v="22400"/>
    <n v="5"/>
    <n v="21280"/>
    <x v="2"/>
    <x v="1"/>
    <x v="3"/>
    <x v="0"/>
  </r>
  <r>
    <s v="ORD11300"/>
    <x v="71"/>
    <s v="Daniel"/>
    <x v="2"/>
    <n v="34"/>
    <x v="1"/>
    <s v="Ikeja"/>
    <x v="1"/>
    <s v="Laptop"/>
    <x v="0"/>
    <n v="2"/>
    <n v="20100"/>
    <n v="5"/>
    <n v="38190"/>
    <x v="2"/>
    <x v="2"/>
    <x v="1"/>
    <x v="1"/>
  </r>
  <r>
    <s v="ORD11301"/>
    <x v="16"/>
    <s v="David"/>
    <x v="0"/>
    <n v="46"/>
    <x v="3"/>
    <s v="Kano"/>
    <x v="2"/>
    <s v="Rice"/>
    <x v="2"/>
    <n v="1"/>
    <n v="45500"/>
    <n v="15"/>
    <n v="38675"/>
    <x v="0"/>
    <x v="0"/>
    <x v="3"/>
    <x v="0"/>
  </r>
  <r>
    <s v="ORD11303"/>
    <x v="306"/>
    <s v="Ruth"/>
    <x v="0"/>
    <n v="55"/>
    <x v="1"/>
    <s v="Ikeja"/>
    <x v="0"/>
    <s v="Shirt"/>
    <x v="2"/>
    <n v="3"/>
    <n v="19700"/>
    <n v="5"/>
    <n v="56145"/>
    <x v="2"/>
    <x v="2"/>
    <x v="3"/>
    <x v="0"/>
  </r>
  <r>
    <s v="ORD11304"/>
    <x v="463"/>
    <s v="Ruth"/>
    <x v="0"/>
    <n v="54"/>
    <x v="2"/>
    <s v="Wuse"/>
    <x v="3"/>
    <s v="Chair"/>
    <x v="5"/>
    <n v="8"/>
    <n v="26600"/>
    <n v="20"/>
    <n v="170240"/>
    <x v="0"/>
    <x v="0"/>
    <x v="2"/>
    <x v="0"/>
  </r>
  <r>
    <s v="ORD11306"/>
    <x v="68"/>
    <s v="David"/>
    <x v="0"/>
    <n v="60"/>
    <x v="1"/>
    <s v="Ikeja"/>
    <x v="1"/>
    <s v="Laptop"/>
    <x v="2"/>
    <n v="8"/>
    <n v="29700"/>
    <n v="20"/>
    <n v="190080"/>
    <x v="1"/>
    <x v="5"/>
    <x v="2"/>
    <x v="0"/>
  </r>
  <r>
    <s v="ORD11307"/>
    <x v="165"/>
    <s v="Ruth"/>
    <x v="2"/>
    <n v="37"/>
    <x v="5"/>
    <s v="Obio"/>
    <x v="3"/>
    <s v="Chair"/>
    <x v="2"/>
    <n v="9"/>
    <n v="24400"/>
    <n v="15"/>
    <n v="186660"/>
    <x v="1"/>
    <x v="4"/>
    <x v="2"/>
    <x v="0"/>
  </r>
  <r>
    <s v="ORD11308"/>
    <x v="474"/>
    <s v="Emeka"/>
    <x v="2"/>
    <n v="63"/>
    <x v="5"/>
    <s v="Obio"/>
    <x v="2"/>
    <s v="Rice"/>
    <x v="4"/>
    <n v="7"/>
    <n v="47500"/>
    <n v="15"/>
    <n v="282625"/>
    <x v="2"/>
    <x v="0"/>
    <x v="1"/>
    <x v="1"/>
  </r>
  <r>
    <s v="ORD11310"/>
    <x v="193"/>
    <s v="Chioma"/>
    <x v="1"/>
    <n v="53"/>
    <x v="1"/>
    <s v="Ikeja"/>
    <x v="3"/>
    <s v="Chair"/>
    <x v="4"/>
    <n v="8"/>
    <n v="4800"/>
    <n v="0"/>
    <n v="38400"/>
    <x v="2"/>
    <x v="0"/>
    <x v="1"/>
    <x v="1"/>
  </r>
  <r>
    <s v="ORD11312"/>
    <x v="303"/>
    <s v="Grace"/>
    <x v="2"/>
    <n v="19"/>
    <x v="1"/>
    <s v="Ikeja"/>
    <x v="3"/>
    <s v="Desk"/>
    <x v="4"/>
    <n v="1"/>
    <n v="6100"/>
    <n v="5"/>
    <n v="5795"/>
    <x v="2"/>
    <x v="5"/>
    <x v="3"/>
    <x v="0"/>
  </r>
  <r>
    <s v="ORD11313"/>
    <x v="206"/>
    <s v="Mary"/>
    <x v="2"/>
    <n v="46"/>
    <x v="2"/>
    <s v="Garki"/>
    <x v="2"/>
    <s v="Rice"/>
    <x v="1"/>
    <n v="4"/>
    <n v="3100"/>
    <n v="15"/>
    <n v="10540"/>
    <x v="1"/>
    <x v="5"/>
    <x v="2"/>
    <x v="0"/>
  </r>
  <r>
    <s v="ORD11314"/>
    <x v="411"/>
    <s v="Grace"/>
    <x v="1"/>
    <n v="150"/>
    <x v="3"/>
    <s v="Kano"/>
    <x v="1"/>
    <s v="Phone"/>
    <x v="0"/>
    <n v="10"/>
    <n v="45400"/>
    <n v="5"/>
    <n v="431300"/>
    <x v="0"/>
    <x v="0"/>
    <x v="0"/>
    <x v="0"/>
  </r>
  <r>
    <s v="ORD11315"/>
    <x v="111"/>
    <s v="Chioma"/>
    <x v="2"/>
    <n v="23"/>
    <x v="1"/>
    <s v="Lekki"/>
    <x v="2"/>
    <s v="Beans"/>
    <x v="5"/>
    <n v="5"/>
    <n v="30600"/>
    <n v="25"/>
    <n v="114750"/>
    <x v="1"/>
    <x v="2"/>
    <x v="2"/>
    <x v="0"/>
  </r>
  <r>
    <s v="ORD11316"/>
    <x v="119"/>
    <s v="Ruth"/>
    <x v="2"/>
    <n v="37"/>
    <x v="4"/>
    <s v="Ogbomosho"/>
    <x v="3"/>
    <s v="Chair"/>
    <x v="3"/>
    <n v="2"/>
    <n v="2100"/>
    <n v="25"/>
    <n v="3150"/>
    <x v="1"/>
    <x v="5"/>
    <x v="3"/>
    <x v="0"/>
  </r>
  <r>
    <s v="ORD11317"/>
    <x v="292"/>
    <s v="Daniel"/>
    <x v="1"/>
    <n v="23"/>
    <x v="2"/>
    <s v="Wuse"/>
    <x v="1"/>
    <s v="Laptop"/>
    <x v="1"/>
    <n v="8"/>
    <n v="10800"/>
    <n v="5"/>
    <n v="82080"/>
    <x v="2"/>
    <x v="0"/>
    <x v="3"/>
    <x v="0"/>
  </r>
  <r>
    <s v="ORD11318"/>
    <x v="158"/>
    <s v="Peter"/>
    <x v="1"/>
    <n v="32"/>
    <x v="0"/>
    <s v="Enugu"/>
    <x v="3"/>
    <s v="Chair"/>
    <x v="5"/>
    <n v="7"/>
    <n v="25300"/>
    <n v="25"/>
    <n v="132825"/>
    <x v="1"/>
    <x v="2"/>
    <x v="1"/>
    <x v="1"/>
  </r>
  <r>
    <s v="ORD11320"/>
    <x v="132"/>
    <s v="John"/>
    <x v="1"/>
    <n v="35"/>
    <x v="3"/>
    <s v="Kano"/>
    <x v="3"/>
    <s v="Desk"/>
    <x v="3"/>
    <n v="5"/>
    <n v="18700"/>
    <n v="15"/>
    <n v="79475"/>
    <x v="2"/>
    <x v="1"/>
    <x v="0"/>
    <x v="0"/>
  </r>
  <r>
    <s v="ORD11321"/>
    <x v="87"/>
    <s v="Daniel"/>
    <x v="0"/>
    <n v="34"/>
    <x v="4"/>
    <s v="Ogbomosho"/>
    <x v="0"/>
    <s v="Shoes"/>
    <x v="5"/>
    <n v="5"/>
    <n v="19600"/>
    <n v="5"/>
    <n v="93100"/>
    <x v="2"/>
    <x v="0"/>
    <x v="2"/>
    <x v="0"/>
  </r>
  <r>
    <s v="ORD11322"/>
    <x v="475"/>
    <s v="David"/>
    <x v="0"/>
    <n v="21"/>
    <x v="4"/>
    <s v="Ibadan"/>
    <x v="3"/>
    <s v="Chair"/>
    <x v="5"/>
    <n v="1"/>
    <n v="37700"/>
    <n v="5"/>
    <n v="35815"/>
    <x v="0"/>
    <x v="1"/>
    <x v="3"/>
    <x v="0"/>
  </r>
  <r>
    <s v="ORD11323"/>
    <x v="231"/>
    <s v="Aisha"/>
    <x v="2"/>
    <n v="29"/>
    <x v="3"/>
    <s v="Kano"/>
    <x v="1"/>
    <s v="Phone"/>
    <x v="5"/>
    <n v="4"/>
    <n v="20400"/>
    <n v="5"/>
    <n v="77520"/>
    <x v="0"/>
    <x v="0"/>
    <x v="2"/>
    <x v="0"/>
  </r>
  <r>
    <s v="ORD11324"/>
    <x v="325"/>
    <s v="Chioma"/>
    <x v="1"/>
    <n v="59"/>
    <x v="3"/>
    <s v="Kano"/>
    <x v="1"/>
    <s v="Phone"/>
    <x v="0"/>
    <n v="6"/>
    <n v="8700"/>
    <n v="0"/>
    <n v="52200"/>
    <x v="1"/>
    <x v="1"/>
    <x v="2"/>
    <x v="0"/>
  </r>
  <r>
    <s v="ORD11325"/>
    <x v="171"/>
    <s v="Peter"/>
    <x v="1"/>
    <n v="55"/>
    <x v="1"/>
    <s v="Lekki"/>
    <x v="2"/>
    <s v="Rice"/>
    <x v="1"/>
    <n v="6"/>
    <n v="39700"/>
    <n v="5"/>
    <n v="226290"/>
    <x v="1"/>
    <x v="0"/>
    <x v="3"/>
    <x v="0"/>
  </r>
  <r>
    <s v="ORD11326"/>
    <x v="39"/>
    <s v="Daniel"/>
    <x v="2"/>
    <n v="35"/>
    <x v="0"/>
    <s v="Enugu"/>
    <x v="0"/>
    <s v="Shirt"/>
    <x v="2"/>
    <n v="3"/>
    <n v="4400"/>
    <n v="25"/>
    <n v="9900"/>
    <x v="0"/>
    <x v="0"/>
    <x v="3"/>
    <x v="0"/>
  </r>
  <r>
    <s v="ORD11327"/>
    <x v="464"/>
    <s v="Mary"/>
    <x v="2"/>
    <n v="60"/>
    <x v="0"/>
    <s v="Enugu"/>
    <x v="2"/>
    <s v="Rice"/>
    <x v="4"/>
    <n v="3"/>
    <n v="23300"/>
    <n v="0"/>
    <n v="69900"/>
    <x v="0"/>
    <x v="4"/>
    <x v="0"/>
    <x v="0"/>
  </r>
  <r>
    <s v="ORD11328"/>
    <x v="1"/>
    <s v="Grace"/>
    <x v="0"/>
    <n v="57"/>
    <x v="0"/>
    <s v="Enugu"/>
    <x v="2"/>
    <s v="Beans"/>
    <x v="1"/>
    <n v="6"/>
    <n v="31100"/>
    <n v="15"/>
    <n v="158610"/>
    <x v="2"/>
    <x v="5"/>
    <x v="2"/>
    <x v="0"/>
  </r>
  <r>
    <s v="ORD11329"/>
    <x v="144"/>
    <s v="Emeka"/>
    <x v="1"/>
    <n v="44"/>
    <x v="1"/>
    <s v="Lekki"/>
    <x v="1"/>
    <s v="Laptop"/>
    <x v="5"/>
    <n v="8"/>
    <n v="25300"/>
    <n v="5"/>
    <n v="192280"/>
    <x v="1"/>
    <x v="0"/>
    <x v="1"/>
    <x v="1"/>
  </r>
  <r>
    <s v="ORD11330"/>
    <x v="317"/>
    <s v="Ruth"/>
    <x v="1"/>
    <n v="21"/>
    <x v="2"/>
    <s v="Garki"/>
    <x v="1"/>
    <s v="Phone"/>
    <x v="4"/>
    <n v="6"/>
    <n v="12200"/>
    <n v="0"/>
    <n v="73200"/>
    <x v="1"/>
    <x v="1"/>
    <x v="3"/>
    <x v="0"/>
  </r>
  <r>
    <s v="ORD11331"/>
    <x v="476"/>
    <s v="Aisha"/>
    <x v="2"/>
    <n v="25"/>
    <x v="2"/>
    <s v="Wuse"/>
    <x v="1"/>
    <s v="Phone"/>
    <x v="5"/>
    <n v="3"/>
    <n v="8100"/>
    <n v="10"/>
    <n v="21870"/>
    <x v="1"/>
    <x v="1"/>
    <x v="2"/>
    <x v="0"/>
  </r>
  <r>
    <s v="ORD11333"/>
    <x v="2"/>
    <s v="John"/>
    <x v="0"/>
    <n v="50"/>
    <x v="5"/>
    <s v="Obio"/>
    <x v="1"/>
    <s v="Laptop"/>
    <x v="3"/>
    <n v="3"/>
    <n v="39600"/>
    <n v="0"/>
    <n v="118800"/>
    <x v="2"/>
    <x v="4"/>
    <x v="3"/>
    <x v="0"/>
  </r>
  <r>
    <s v="ORD11338"/>
    <x v="458"/>
    <s v="Chioma"/>
    <x v="1"/>
    <n v="42"/>
    <x v="0"/>
    <s v="Enugu"/>
    <x v="1"/>
    <s v="Phone"/>
    <x v="3"/>
    <n v="2"/>
    <n v="26800"/>
    <n v="0"/>
    <n v="53600"/>
    <x v="0"/>
    <x v="4"/>
    <x v="2"/>
    <x v="0"/>
  </r>
  <r>
    <s v="ORD11339"/>
    <x v="406"/>
    <s v="David"/>
    <x v="2"/>
    <n v="50"/>
    <x v="5"/>
    <s v="Port Harcourt"/>
    <x v="3"/>
    <s v="Chair"/>
    <x v="5"/>
    <n v="9"/>
    <n v="48700"/>
    <n v="0"/>
    <n v="438300"/>
    <x v="1"/>
    <x v="3"/>
    <x v="2"/>
    <x v="0"/>
  </r>
  <r>
    <s v="ORD11341"/>
    <x v="245"/>
    <s v="Ruth"/>
    <x v="2"/>
    <n v="32"/>
    <x v="0"/>
    <s v="Enugu"/>
    <x v="1"/>
    <s v="Phone"/>
    <x v="1"/>
    <n v="4"/>
    <n v="10000"/>
    <n v="15"/>
    <n v="34000"/>
    <x v="0"/>
    <x v="0"/>
    <x v="3"/>
    <x v="0"/>
  </r>
  <r>
    <s v="ORD11343"/>
    <x v="85"/>
    <s v="Ruth"/>
    <x v="0"/>
    <n v="40"/>
    <x v="1"/>
    <s v="Lekki"/>
    <x v="0"/>
    <s v="Shirt"/>
    <x v="3"/>
    <n v="6"/>
    <n v="23200"/>
    <n v="5"/>
    <n v="132240"/>
    <x v="1"/>
    <x v="4"/>
    <x v="2"/>
    <x v="0"/>
  </r>
  <r>
    <s v="ORD11344"/>
    <x v="190"/>
    <s v="Mary"/>
    <x v="2"/>
    <n v="30"/>
    <x v="1"/>
    <s v="Lekki"/>
    <x v="2"/>
    <s v="Rice"/>
    <x v="0"/>
    <n v="6"/>
    <n v="31300"/>
    <n v="10"/>
    <n v="169020"/>
    <x v="0"/>
    <x v="3"/>
    <x v="0"/>
    <x v="0"/>
  </r>
  <r>
    <s v="ORD11345"/>
    <x v="356"/>
    <s v="Emeka"/>
    <x v="2"/>
    <n v="62"/>
    <x v="4"/>
    <s v="Ogbomosho"/>
    <x v="0"/>
    <s v="Shoes"/>
    <x v="5"/>
    <n v="10"/>
    <n v="16000"/>
    <n v="15"/>
    <n v="136000"/>
    <x v="1"/>
    <x v="0"/>
    <x v="1"/>
    <x v="1"/>
  </r>
  <r>
    <s v="ORD11346"/>
    <x v="440"/>
    <s v="Aisha"/>
    <x v="0"/>
    <n v="32"/>
    <x v="1"/>
    <s v="Lekki"/>
    <x v="3"/>
    <s v="Chair"/>
    <x v="3"/>
    <n v="5"/>
    <n v="43800"/>
    <n v="20"/>
    <n v="175200"/>
    <x v="0"/>
    <x v="5"/>
    <x v="1"/>
    <x v="1"/>
  </r>
  <r>
    <s v="ORD11347"/>
    <x v="97"/>
    <s v="Aisha"/>
    <x v="0"/>
    <n v="28"/>
    <x v="1"/>
    <s v="Lekki"/>
    <x v="2"/>
    <s v="Beans"/>
    <x v="3"/>
    <n v="8"/>
    <n v="31900"/>
    <n v="25"/>
    <n v="191400"/>
    <x v="2"/>
    <x v="1"/>
    <x v="0"/>
    <x v="0"/>
  </r>
  <r>
    <s v="ORD11348"/>
    <x v="132"/>
    <s v="Peter"/>
    <x v="2"/>
    <n v="18"/>
    <x v="1"/>
    <s v="Ikeja"/>
    <x v="3"/>
    <s v="Chair"/>
    <x v="5"/>
    <n v="3"/>
    <n v="45500"/>
    <n v="0"/>
    <n v="136500"/>
    <x v="1"/>
    <x v="5"/>
    <x v="1"/>
    <x v="1"/>
  </r>
  <r>
    <s v="ORD11350"/>
    <x v="68"/>
    <s v="David"/>
    <x v="2"/>
    <n v="42"/>
    <x v="1"/>
    <s v="Lekki"/>
    <x v="0"/>
    <s v="Shirt"/>
    <x v="3"/>
    <n v="10"/>
    <n v="21300"/>
    <n v="10"/>
    <n v="191700"/>
    <x v="1"/>
    <x v="2"/>
    <x v="1"/>
    <x v="1"/>
  </r>
  <r>
    <s v="ORD11351"/>
    <x v="409"/>
    <s v="Chioma"/>
    <x v="1"/>
    <n v="65"/>
    <x v="2"/>
    <s v="Wuse"/>
    <x v="1"/>
    <s v="Laptop"/>
    <x v="1"/>
    <n v="5"/>
    <n v="47700"/>
    <n v="5"/>
    <n v="226575"/>
    <x v="2"/>
    <x v="0"/>
    <x v="0"/>
    <x v="0"/>
  </r>
  <r>
    <s v="ORD11352"/>
    <x v="352"/>
    <s v="David"/>
    <x v="0"/>
    <n v="35"/>
    <x v="2"/>
    <s v="Wuse"/>
    <x v="2"/>
    <s v="Beans"/>
    <x v="2"/>
    <n v="6"/>
    <n v="45700"/>
    <n v="5"/>
    <n v="260490"/>
    <x v="0"/>
    <x v="4"/>
    <x v="1"/>
    <x v="1"/>
  </r>
  <r>
    <s v="ORD11353"/>
    <x v="380"/>
    <s v="John"/>
    <x v="2"/>
    <n v="58"/>
    <x v="2"/>
    <s v="Garki"/>
    <x v="2"/>
    <s v="Rice"/>
    <x v="1"/>
    <n v="6"/>
    <n v="18600"/>
    <n v="0"/>
    <n v="111600"/>
    <x v="2"/>
    <x v="1"/>
    <x v="3"/>
    <x v="0"/>
  </r>
  <r>
    <s v="ORD11355"/>
    <x v="184"/>
    <s v="Ruth"/>
    <x v="0"/>
    <n v="64"/>
    <x v="0"/>
    <s v="Enugu"/>
    <x v="3"/>
    <s v="Desk"/>
    <x v="0"/>
    <n v="6"/>
    <n v="47600"/>
    <n v="5"/>
    <n v="271320"/>
    <x v="0"/>
    <x v="0"/>
    <x v="3"/>
    <x v="0"/>
  </r>
  <r>
    <s v="ORD11356"/>
    <x v="152"/>
    <s v="Daniel"/>
    <x v="1"/>
    <n v="52"/>
    <x v="2"/>
    <s v="Wuse"/>
    <x v="2"/>
    <s v="Beans"/>
    <x v="0"/>
    <n v="6"/>
    <n v="40100"/>
    <n v="25"/>
    <n v="180450"/>
    <x v="0"/>
    <x v="0"/>
    <x v="3"/>
    <x v="0"/>
  </r>
  <r>
    <s v="ORD11357"/>
    <x v="462"/>
    <s v="Mary"/>
    <x v="2"/>
    <n v="39"/>
    <x v="5"/>
    <s v="Port Harcourt"/>
    <x v="2"/>
    <s v="Rice"/>
    <x v="3"/>
    <n v="9"/>
    <n v="36400"/>
    <n v="15"/>
    <n v="278460"/>
    <x v="2"/>
    <x v="0"/>
    <x v="0"/>
    <x v="0"/>
  </r>
  <r>
    <s v="ORD11358"/>
    <x v="140"/>
    <s v="Peter"/>
    <x v="2"/>
    <n v="36"/>
    <x v="5"/>
    <s v="Port Harcourt"/>
    <x v="1"/>
    <s v="Phone"/>
    <x v="5"/>
    <n v="8"/>
    <n v="40300"/>
    <n v="10"/>
    <n v="290160"/>
    <x v="0"/>
    <x v="2"/>
    <x v="3"/>
    <x v="0"/>
  </r>
  <r>
    <s v="ORD11359"/>
    <x v="477"/>
    <s v="Daniel"/>
    <x v="0"/>
    <n v="50"/>
    <x v="1"/>
    <s v="Ikeja"/>
    <x v="1"/>
    <s v="Laptop"/>
    <x v="2"/>
    <n v="6"/>
    <n v="27400"/>
    <n v="0"/>
    <n v="164400"/>
    <x v="0"/>
    <x v="0"/>
    <x v="2"/>
    <x v="0"/>
  </r>
  <r>
    <s v="ORD11361"/>
    <x v="368"/>
    <s v="Aisha"/>
    <x v="2"/>
    <n v="35"/>
    <x v="5"/>
    <s v="Port Harcourt"/>
    <x v="2"/>
    <s v="Rice"/>
    <x v="1"/>
    <n v="4"/>
    <n v="2300"/>
    <n v="5"/>
    <n v="8740"/>
    <x v="1"/>
    <x v="3"/>
    <x v="1"/>
    <x v="1"/>
  </r>
  <r>
    <s v="ORD11362"/>
    <x v="249"/>
    <s v="Chioma"/>
    <x v="1"/>
    <n v="34"/>
    <x v="5"/>
    <s v="Obio"/>
    <x v="1"/>
    <s v="Phone"/>
    <x v="4"/>
    <n v="5"/>
    <n v="43600"/>
    <n v="0"/>
    <n v="218000"/>
    <x v="1"/>
    <x v="0"/>
    <x v="3"/>
    <x v="0"/>
  </r>
  <r>
    <s v="ORD11365"/>
    <x v="478"/>
    <s v="Daniel"/>
    <x v="1"/>
    <n v="58"/>
    <x v="2"/>
    <s v="Wuse"/>
    <x v="1"/>
    <s v="Phone"/>
    <x v="0"/>
    <n v="7"/>
    <n v="29800"/>
    <n v="10"/>
    <n v="187740"/>
    <x v="0"/>
    <x v="4"/>
    <x v="3"/>
    <x v="0"/>
  </r>
  <r>
    <s v="ORD11366"/>
    <x v="457"/>
    <s v="Aisha"/>
    <x v="0"/>
    <n v="59"/>
    <x v="5"/>
    <s v="Port Harcourt"/>
    <x v="1"/>
    <s v="Phone"/>
    <x v="4"/>
    <n v="2"/>
    <n v="37200"/>
    <n v="20"/>
    <n v="59520"/>
    <x v="1"/>
    <x v="3"/>
    <x v="3"/>
    <x v="0"/>
  </r>
  <r>
    <s v="ORD11367"/>
    <x v="44"/>
    <s v="Grace"/>
    <x v="1"/>
    <n v="46"/>
    <x v="0"/>
    <s v="Enugu"/>
    <x v="1"/>
    <s v="Laptop"/>
    <x v="0"/>
    <n v="6"/>
    <n v="45000"/>
    <n v="25"/>
    <n v="202500"/>
    <x v="1"/>
    <x v="1"/>
    <x v="0"/>
    <x v="0"/>
  </r>
  <r>
    <s v="ORD11368"/>
    <x v="204"/>
    <s v="Daniel"/>
    <x v="0"/>
    <n v="43"/>
    <x v="0"/>
    <s v="Enugu"/>
    <x v="1"/>
    <s v="Laptop"/>
    <x v="2"/>
    <n v="4"/>
    <n v="7800"/>
    <n v="10"/>
    <n v="28080"/>
    <x v="1"/>
    <x v="3"/>
    <x v="1"/>
    <x v="1"/>
  </r>
  <r>
    <s v="ORD11369"/>
    <x v="5"/>
    <s v="Peter"/>
    <x v="1"/>
    <n v="57"/>
    <x v="0"/>
    <s v="Enugu"/>
    <x v="0"/>
    <s v="Shoes"/>
    <x v="4"/>
    <n v="4"/>
    <n v="41200"/>
    <n v="15"/>
    <n v="140080"/>
    <x v="0"/>
    <x v="5"/>
    <x v="0"/>
    <x v="0"/>
  </r>
  <r>
    <s v="ORD11370"/>
    <x v="326"/>
    <s v="David"/>
    <x v="2"/>
    <n v="55"/>
    <x v="0"/>
    <s v="Enugu"/>
    <x v="3"/>
    <s v="Chair"/>
    <x v="0"/>
    <n v="4"/>
    <n v="8300"/>
    <n v="15"/>
    <n v="28220"/>
    <x v="0"/>
    <x v="3"/>
    <x v="2"/>
    <x v="0"/>
  </r>
  <r>
    <s v="ORD11372"/>
    <x v="337"/>
    <s v="Aisha"/>
    <x v="0"/>
    <n v="52"/>
    <x v="0"/>
    <s v="Enugu"/>
    <x v="3"/>
    <s v="Chair"/>
    <x v="1"/>
    <n v="4"/>
    <n v="45600"/>
    <n v="15"/>
    <n v="155040"/>
    <x v="1"/>
    <x v="2"/>
    <x v="1"/>
    <x v="1"/>
  </r>
  <r>
    <s v="ORD11373"/>
    <x v="87"/>
    <s v="Aisha"/>
    <x v="0"/>
    <n v="26"/>
    <x v="1"/>
    <s v="Lekki"/>
    <x v="3"/>
    <s v="Desk"/>
    <x v="1"/>
    <n v="5"/>
    <n v="9700"/>
    <n v="5"/>
    <n v="46075"/>
    <x v="0"/>
    <x v="2"/>
    <x v="1"/>
    <x v="1"/>
  </r>
  <r>
    <s v="ORD11374"/>
    <x v="203"/>
    <s v="Grace"/>
    <x v="1"/>
    <n v="56"/>
    <x v="5"/>
    <s v="Obio"/>
    <x v="3"/>
    <s v="Chair"/>
    <x v="2"/>
    <n v="9"/>
    <n v="35000"/>
    <n v="10"/>
    <n v="283500"/>
    <x v="1"/>
    <x v="1"/>
    <x v="1"/>
    <x v="1"/>
  </r>
  <r>
    <s v="ORD11375"/>
    <x v="329"/>
    <s v="Peter"/>
    <x v="2"/>
    <n v="50"/>
    <x v="2"/>
    <s v="Garki"/>
    <x v="3"/>
    <s v="Desk"/>
    <x v="5"/>
    <n v="5"/>
    <n v="37900"/>
    <n v="10"/>
    <n v="170550"/>
    <x v="0"/>
    <x v="5"/>
    <x v="3"/>
    <x v="0"/>
  </r>
  <r>
    <s v="ORD11376"/>
    <x v="383"/>
    <s v="John"/>
    <x v="2"/>
    <n v="56"/>
    <x v="0"/>
    <s v="Enugu"/>
    <x v="1"/>
    <s v="Laptop"/>
    <x v="1"/>
    <n v="9"/>
    <n v="39100"/>
    <n v="10"/>
    <n v="316710"/>
    <x v="2"/>
    <x v="2"/>
    <x v="1"/>
    <x v="1"/>
  </r>
  <r>
    <s v="ORD11377"/>
    <x v="364"/>
    <s v="Mary"/>
    <x v="0"/>
    <n v="62"/>
    <x v="5"/>
    <s v="Obio"/>
    <x v="1"/>
    <s v="Phone"/>
    <x v="4"/>
    <n v="9"/>
    <n v="48000"/>
    <n v="25"/>
    <n v="324000"/>
    <x v="0"/>
    <x v="5"/>
    <x v="3"/>
    <x v="0"/>
  </r>
  <r>
    <s v="ORD11379"/>
    <x v="479"/>
    <s v="John"/>
    <x v="0"/>
    <n v="57"/>
    <x v="2"/>
    <s v="Wuse"/>
    <x v="2"/>
    <s v="Beans"/>
    <x v="1"/>
    <n v="9"/>
    <n v="10300"/>
    <n v="15"/>
    <n v="78795"/>
    <x v="0"/>
    <x v="1"/>
    <x v="1"/>
    <x v="1"/>
  </r>
  <r>
    <s v="ORD11381"/>
    <x v="165"/>
    <s v="Grace"/>
    <x v="0"/>
    <n v="30"/>
    <x v="4"/>
    <s v="Ogbomosho"/>
    <x v="0"/>
    <s v="Shirt"/>
    <x v="1"/>
    <n v="7"/>
    <n v="4100"/>
    <n v="25"/>
    <n v="21525"/>
    <x v="1"/>
    <x v="0"/>
    <x v="2"/>
    <x v="0"/>
  </r>
  <r>
    <s v="ORD11382"/>
    <x v="438"/>
    <s v="Peter"/>
    <x v="1"/>
    <n v="35"/>
    <x v="4"/>
    <s v="Ibadan"/>
    <x v="1"/>
    <s v="Phone"/>
    <x v="1"/>
    <n v="1"/>
    <n v="6100"/>
    <n v="0"/>
    <n v="6100"/>
    <x v="1"/>
    <x v="0"/>
    <x v="3"/>
    <x v="0"/>
  </r>
  <r>
    <s v="ORD11383"/>
    <x v="89"/>
    <s v="Ruth"/>
    <x v="2"/>
    <n v="52"/>
    <x v="5"/>
    <s v="Port Harcourt"/>
    <x v="0"/>
    <s v="Shirt"/>
    <x v="3"/>
    <n v="7"/>
    <n v="48800"/>
    <n v="0"/>
    <n v="341600"/>
    <x v="1"/>
    <x v="4"/>
    <x v="3"/>
    <x v="0"/>
  </r>
  <r>
    <s v="ORD11384"/>
    <x v="135"/>
    <s v="Peter"/>
    <x v="1"/>
    <n v="62"/>
    <x v="2"/>
    <s v="Wuse"/>
    <x v="2"/>
    <s v="Beans"/>
    <x v="0"/>
    <n v="6"/>
    <n v="46600"/>
    <n v="25"/>
    <n v="209700"/>
    <x v="2"/>
    <x v="1"/>
    <x v="1"/>
    <x v="1"/>
  </r>
  <r>
    <s v="ORD11385"/>
    <x v="167"/>
    <s v="Mary"/>
    <x v="0"/>
    <n v="25"/>
    <x v="0"/>
    <s v="Enugu"/>
    <x v="1"/>
    <s v="Phone"/>
    <x v="3"/>
    <n v="10"/>
    <n v="38600"/>
    <n v="5"/>
    <n v="366700"/>
    <x v="1"/>
    <x v="5"/>
    <x v="3"/>
    <x v="0"/>
  </r>
  <r>
    <s v="ORD11387"/>
    <x v="36"/>
    <s v="Ruth"/>
    <x v="2"/>
    <n v="62"/>
    <x v="0"/>
    <s v="Enugu"/>
    <x v="3"/>
    <s v="Desk"/>
    <x v="4"/>
    <n v="3"/>
    <n v="8400"/>
    <n v="5"/>
    <n v="23940"/>
    <x v="0"/>
    <x v="4"/>
    <x v="0"/>
    <x v="0"/>
  </r>
  <r>
    <s v="ORD11388"/>
    <x v="431"/>
    <s v="Daniel"/>
    <x v="0"/>
    <n v="43"/>
    <x v="4"/>
    <s v="Ogbomosho"/>
    <x v="3"/>
    <s v="Chair"/>
    <x v="1"/>
    <n v="7"/>
    <n v="49600"/>
    <n v="20"/>
    <n v="277760"/>
    <x v="1"/>
    <x v="0"/>
    <x v="1"/>
    <x v="1"/>
  </r>
  <r>
    <s v="ORD11389"/>
    <x v="277"/>
    <s v="Daniel"/>
    <x v="1"/>
    <n v="39"/>
    <x v="5"/>
    <s v="Obio"/>
    <x v="3"/>
    <s v="Desk"/>
    <x v="4"/>
    <n v="10"/>
    <n v="9000"/>
    <n v="5"/>
    <n v="85500"/>
    <x v="1"/>
    <x v="1"/>
    <x v="2"/>
    <x v="0"/>
  </r>
  <r>
    <s v="ORD11390"/>
    <x v="39"/>
    <s v="Ruth"/>
    <x v="0"/>
    <n v="53"/>
    <x v="3"/>
    <s v="Kano"/>
    <x v="1"/>
    <s v="Phone"/>
    <x v="2"/>
    <n v="1"/>
    <n v="42500"/>
    <n v="20"/>
    <n v="34000"/>
    <x v="2"/>
    <x v="3"/>
    <x v="1"/>
    <x v="1"/>
  </r>
  <r>
    <s v="ORD11391"/>
    <x v="284"/>
    <s v="Daniel"/>
    <x v="1"/>
    <n v="31"/>
    <x v="1"/>
    <s v="Lekki"/>
    <x v="2"/>
    <s v="Rice"/>
    <x v="5"/>
    <n v="5"/>
    <n v="22800"/>
    <n v="15"/>
    <n v="96900"/>
    <x v="2"/>
    <x v="2"/>
    <x v="2"/>
    <x v="0"/>
  </r>
  <r>
    <s v="ORD11392"/>
    <x v="217"/>
    <s v="Grace"/>
    <x v="2"/>
    <n v="63"/>
    <x v="4"/>
    <s v="Ogbomosho"/>
    <x v="1"/>
    <s v="Phone"/>
    <x v="5"/>
    <n v="5"/>
    <n v="37200"/>
    <n v="10"/>
    <n v="167400"/>
    <x v="1"/>
    <x v="0"/>
    <x v="2"/>
    <x v="0"/>
  </r>
  <r>
    <s v="ORD11393"/>
    <x v="65"/>
    <s v="Grace"/>
    <x v="2"/>
    <n v="61"/>
    <x v="0"/>
    <s v="Enugu"/>
    <x v="2"/>
    <s v="Beans"/>
    <x v="5"/>
    <n v="3"/>
    <n v="21700"/>
    <n v="10"/>
    <n v="58590"/>
    <x v="2"/>
    <x v="0"/>
    <x v="0"/>
    <x v="0"/>
  </r>
  <r>
    <s v="ORD11394"/>
    <x v="448"/>
    <s v="Aisha"/>
    <x v="0"/>
    <n v="33"/>
    <x v="2"/>
    <s v="Garki"/>
    <x v="3"/>
    <s v="Chair"/>
    <x v="2"/>
    <n v="9"/>
    <n v="45500"/>
    <n v="10"/>
    <n v="368550"/>
    <x v="0"/>
    <x v="2"/>
    <x v="3"/>
    <x v="0"/>
  </r>
  <r>
    <s v="ORD11395"/>
    <x v="141"/>
    <s v="Peter"/>
    <x v="2"/>
    <n v="48"/>
    <x v="2"/>
    <s v="Wuse"/>
    <x v="2"/>
    <s v="Beans"/>
    <x v="4"/>
    <n v="5"/>
    <n v="9400"/>
    <n v="5"/>
    <n v="44650"/>
    <x v="2"/>
    <x v="0"/>
    <x v="1"/>
    <x v="1"/>
  </r>
  <r>
    <s v="ORD11396"/>
    <x v="480"/>
    <s v="Peter"/>
    <x v="0"/>
    <n v="51"/>
    <x v="0"/>
    <s v="Enugu"/>
    <x v="1"/>
    <s v="Phone"/>
    <x v="3"/>
    <n v="8"/>
    <n v="16000"/>
    <n v="20"/>
    <n v="102400"/>
    <x v="0"/>
    <x v="2"/>
    <x v="1"/>
    <x v="1"/>
  </r>
  <r>
    <s v="ORD11397"/>
    <x v="130"/>
    <s v="David"/>
    <x v="2"/>
    <n v="30"/>
    <x v="1"/>
    <s v="Ikeja"/>
    <x v="1"/>
    <s v="Laptop"/>
    <x v="3"/>
    <n v="9"/>
    <n v="47700"/>
    <n v="25"/>
    <n v="321975"/>
    <x v="2"/>
    <x v="4"/>
    <x v="0"/>
    <x v="0"/>
  </r>
  <r>
    <s v="ORD11398"/>
    <x v="236"/>
    <s v="Daniel"/>
    <x v="1"/>
    <n v="21"/>
    <x v="2"/>
    <s v="Wuse"/>
    <x v="3"/>
    <s v="Chair"/>
    <x v="4"/>
    <n v="7"/>
    <n v="36900"/>
    <n v="5"/>
    <n v="245385"/>
    <x v="2"/>
    <x v="2"/>
    <x v="1"/>
    <x v="1"/>
  </r>
  <r>
    <s v="ORD11399"/>
    <x v="126"/>
    <s v="John"/>
    <x v="1"/>
    <n v="29"/>
    <x v="5"/>
    <s v="Obio"/>
    <x v="2"/>
    <s v="Beans"/>
    <x v="5"/>
    <n v="2"/>
    <n v="7900"/>
    <n v="25"/>
    <n v="11850"/>
    <x v="1"/>
    <x v="3"/>
    <x v="2"/>
    <x v="0"/>
  </r>
  <r>
    <s v="ORD11400"/>
    <x v="254"/>
    <s v="Aisha"/>
    <x v="0"/>
    <n v="61"/>
    <x v="1"/>
    <s v="Ikeja"/>
    <x v="1"/>
    <s v="Phone"/>
    <x v="0"/>
    <n v="7"/>
    <n v="49300"/>
    <n v="25"/>
    <n v="258825"/>
    <x v="2"/>
    <x v="0"/>
    <x v="1"/>
    <x v="1"/>
  </r>
  <r>
    <s v="ORD11401"/>
    <x v="196"/>
    <s v="Aisha"/>
    <x v="1"/>
    <n v="52"/>
    <x v="0"/>
    <s v="Enugu"/>
    <x v="0"/>
    <s v="Shirt"/>
    <x v="1"/>
    <n v="6"/>
    <n v="6500"/>
    <n v="5"/>
    <n v="37050"/>
    <x v="0"/>
    <x v="5"/>
    <x v="0"/>
    <x v="0"/>
  </r>
  <r>
    <s v="ORD11402"/>
    <x v="372"/>
    <s v="Aisha"/>
    <x v="0"/>
    <n v="48"/>
    <x v="3"/>
    <s v="Kano"/>
    <x v="1"/>
    <s v="Laptop"/>
    <x v="3"/>
    <n v="8"/>
    <n v="36200"/>
    <n v="15"/>
    <n v="246160"/>
    <x v="1"/>
    <x v="4"/>
    <x v="2"/>
    <x v="0"/>
  </r>
  <r>
    <s v="ORD11403"/>
    <x v="36"/>
    <s v="Peter"/>
    <x v="0"/>
    <n v="44"/>
    <x v="1"/>
    <s v="Lekki"/>
    <x v="3"/>
    <s v="Chair"/>
    <x v="3"/>
    <n v="5"/>
    <n v="2900"/>
    <n v="5"/>
    <n v="13775"/>
    <x v="1"/>
    <x v="2"/>
    <x v="2"/>
    <x v="0"/>
  </r>
  <r>
    <s v="ORD11404"/>
    <x v="140"/>
    <s v="Peter"/>
    <x v="1"/>
    <n v="23"/>
    <x v="2"/>
    <s v="Garki"/>
    <x v="3"/>
    <s v="Desk"/>
    <x v="3"/>
    <n v="6"/>
    <n v="11600"/>
    <n v="20"/>
    <n v="55680"/>
    <x v="1"/>
    <x v="0"/>
    <x v="2"/>
    <x v="0"/>
  </r>
  <r>
    <s v="ORD11406"/>
    <x v="481"/>
    <s v="Daniel"/>
    <x v="2"/>
    <n v="48"/>
    <x v="3"/>
    <s v="Kano"/>
    <x v="0"/>
    <s v="Shoes"/>
    <x v="5"/>
    <n v="9"/>
    <n v="34600"/>
    <n v="10"/>
    <n v="280260"/>
    <x v="0"/>
    <x v="5"/>
    <x v="0"/>
    <x v="0"/>
  </r>
  <r>
    <s v="ORD11408"/>
    <x v="232"/>
    <s v="Mary"/>
    <x v="0"/>
    <n v="24"/>
    <x v="2"/>
    <s v="Garki"/>
    <x v="1"/>
    <s v="Phone"/>
    <x v="0"/>
    <n v="9"/>
    <n v="27100"/>
    <n v="10"/>
    <n v="219510"/>
    <x v="1"/>
    <x v="0"/>
    <x v="2"/>
    <x v="0"/>
  </r>
  <r>
    <s v="ORD11411"/>
    <x v="407"/>
    <s v="David"/>
    <x v="0"/>
    <n v="22"/>
    <x v="0"/>
    <s v="Enugu"/>
    <x v="1"/>
    <s v="Phone"/>
    <x v="1"/>
    <n v="2"/>
    <n v="2400"/>
    <n v="20"/>
    <n v="3840"/>
    <x v="1"/>
    <x v="0"/>
    <x v="2"/>
    <x v="0"/>
  </r>
  <r>
    <s v="ORD11413"/>
    <x v="240"/>
    <s v="Peter"/>
    <x v="0"/>
    <n v="52"/>
    <x v="1"/>
    <s v="Ikeja"/>
    <x v="1"/>
    <s v="Phone"/>
    <x v="0"/>
    <n v="2"/>
    <n v="30000"/>
    <n v="20"/>
    <n v="48000"/>
    <x v="1"/>
    <x v="1"/>
    <x v="3"/>
    <x v="0"/>
  </r>
  <r>
    <s v="ORD11414"/>
    <x v="322"/>
    <s v="Daniel"/>
    <x v="2"/>
    <n v="57"/>
    <x v="3"/>
    <s v="Kano"/>
    <x v="0"/>
    <s v="Shoes"/>
    <x v="1"/>
    <n v="7"/>
    <n v="28900"/>
    <n v="15"/>
    <n v="171955"/>
    <x v="2"/>
    <x v="2"/>
    <x v="3"/>
    <x v="0"/>
  </r>
  <r>
    <s v="ORD11415"/>
    <x v="422"/>
    <s v="Aisha"/>
    <x v="0"/>
    <n v="31"/>
    <x v="4"/>
    <s v="Ibadan"/>
    <x v="3"/>
    <s v="Chair"/>
    <x v="3"/>
    <n v="9"/>
    <n v="21200"/>
    <n v="25"/>
    <n v="143100"/>
    <x v="1"/>
    <x v="0"/>
    <x v="3"/>
    <x v="0"/>
  </r>
  <r>
    <s v="ORD11416"/>
    <x v="34"/>
    <s v="Mary"/>
    <x v="2"/>
    <n v="28"/>
    <x v="1"/>
    <s v="Lekki"/>
    <x v="0"/>
    <s v="Shoes"/>
    <x v="3"/>
    <n v="4"/>
    <n v="36100"/>
    <n v="5"/>
    <n v="137180"/>
    <x v="1"/>
    <x v="5"/>
    <x v="1"/>
    <x v="1"/>
  </r>
  <r>
    <s v="ORD11417"/>
    <x v="452"/>
    <s v="Chioma"/>
    <x v="1"/>
    <n v="64"/>
    <x v="0"/>
    <s v="Enugu"/>
    <x v="3"/>
    <s v="Chair"/>
    <x v="1"/>
    <n v="1"/>
    <n v="7000"/>
    <n v="10"/>
    <n v="6300"/>
    <x v="2"/>
    <x v="2"/>
    <x v="2"/>
    <x v="0"/>
  </r>
  <r>
    <s v="ORD11418"/>
    <x v="482"/>
    <s v="Daniel"/>
    <x v="0"/>
    <n v="29"/>
    <x v="4"/>
    <s v="Ogbomosho"/>
    <x v="3"/>
    <s v="Chair"/>
    <x v="0"/>
    <n v="10"/>
    <n v="48100"/>
    <n v="0"/>
    <n v="481000"/>
    <x v="2"/>
    <x v="2"/>
    <x v="0"/>
    <x v="0"/>
  </r>
  <r>
    <s v="ORD11419"/>
    <x v="353"/>
    <s v="Ruth"/>
    <x v="2"/>
    <n v="37"/>
    <x v="5"/>
    <s v="Port Harcourt"/>
    <x v="1"/>
    <s v="Phone"/>
    <x v="0"/>
    <n v="2"/>
    <n v="25700"/>
    <n v="0"/>
    <n v="51400"/>
    <x v="1"/>
    <x v="1"/>
    <x v="3"/>
    <x v="0"/>
  </r>
  <r>
    <s v="ORD11421"/>
    <x v="454"/>
    <s v="Mary"/>
    <x v="1"/>
    <n v="18"/>
    <x v="4"/>
    <s v="Ogbomosho"/>
    <x v="3"/>
    <s v="Chair"/>
    <x v="2"/>
    <n v="7"/>
    <n v="26600"/>
    <n v="15"/>
    <n v="158270"/>
    <x v="2"/>
    <x v="3"/>
    <x v="2"/>
    <x v="0"/>
  </r>
  <r>
    <s v="ORD11422"/>
    <x v="142"/>
    <s v="Peter"/>
    <x v="2"/>
    <n v="55"/>
    <x v="2"/>
    <s v="Garki"/>
    <x v="3"/>
    <s v="Desk"/>
    <x v="3"/>
    <n v="1"/>
    <n v="28800"/>
    <n v="10"/>
    <n v="25920"/>
    <x v="3"/>
    <x v="5"/>
    <x v="0"/>
    <x v="0"/>
  </r>
  <r>
    <s v="ORD11423"/>
    <x v="168"/>
    <s v="Chioma"/>
    <x v="0"/>
    <n v="35"/>
    <x v="0"/>
    <s v="Enugu"/>
    <x v="1"/>
    <s v="Laptop"/>
    <x v="4"/>
    <n v="9"/>
    <n v="47600"/>
    <n v="25"/>
    <n v="321300"/>
    <x v="0"/>
    <x v="5"/>
    <x v="0"/>
    <x v="0"/>
  </r>
  <r>
    <s v="ORD11426"/>
    <x v="79"/>
    <s v="Daniel"/>
    <x v="2"/>
    <n v="38"/>
    <x v="5"/>
    <s v="Obio"/>
    <x v="0"/>
    <s v="Shoes"/>
    <x v="3"/>
    <n v="5"/>
    <n v="24400"/>
    <n v="20"/>
    <n v="97600"/>
    <x v="0"/>
    <x v="4"/>
    <x v="3"/>
    <x v="0"/>
  </r>
  <r>
    <s v="ORD11427"/>
    <x v="483"/>
    <s v="Emeka"/>
    <x v="2"/>
    <n v="20"/>
    <x v="4"/>
    <s v="Ibadan"/>
    <x v="2"/>
    <s v="Rice"/>
    <x v="5"/>
    <n v="1"/>
    <n v="12300"/>
    <n v="15"/>
    <n v="10455"/>
    <x v="1"/>
    <x v="5"/>
    <x v="1"/>
    <x v="1"/>
  </r>
  <r>
    <s v="ORD11428"/>
    <x v="53"/>
    <s v="Mary"/>
    <x v="1"/>
    <n v="35"/>
    <x v="3"/>
    <s v="Kano"/>
    <x v="0"/>
    <s v="Shirt"/>
    <x v="1"/>
    <n v="1"/>
    <n v="49700"/>
    <n v="25"/>
    <n v="37275"/>
    <x v="0"/>
    <x v="2"/>
    <x v="1"/>
    <x v="1"/>
  </r>
  <r>
    <s v="ORD11429"/>
    <x v="484"/>
    <s v="David"/>
    <x v="1"/>
    <n v="35"/>
    <x v="1"/>
    <s v="Lekki"/>
    <x v="1"/>
    <s v="Phone"/>
    <x v="5"/>
    <n v="5"/>
    <n v="46200"/>
    <n v="25"/>
    <n v="173250"/>
    <x v="1"/>
    <x v="5"/>
    <x v="0"/>
    <x v="0"/>
  </r>
  <r>
    <s v="ORD11430"/>
    <x v="436"/>
    <s v="Daniel"/>
    <x v="0"/>
    <n v="59"/>
    <x v="2"/>
    <s v="Wuse"/>
    <x v="3"/>
    <s v="Chair"/>
    <x v="5"/>
    <n v="5"/>
    <n v="4600"/>
    <n v="5"/>
    <n v="21850"/>
    <x v="0"/>
    <x v="0"/>
    <x v="0"/>
    <x v="0"/>
  </r>
  <r>
    <s v="ORD11432"/>
    <x v="8"/>
    <s v="Aisha"/>
    <x v="1"/>
    <n v="31"/>
    <x v="0"/>
    <s v="Enugu"/>
    <x v="0"/>
    <s v="Shirt"/>
    <x v="0"/>
    <n v="5"/>
    <n v="18700"/>
    <n v="25"/>
    <n v="70125"/>
    <x v="0"/>
    <x v="2"/>
    <x v="2"/>
    <x v="0"/>
  </r>
  <r>
    <s v="ORD11433"/>
    <x v="381"/>
    <s v="Daniel"/>
    <x v="0"/>
    <n v="59"/>
    <x v="2"/>
    <s v="Garki"/>
    <x v="2"/>
    <s v="Rice"/>
    <x v="2"/>
    <n v="1"/>
    <n v="37400"/>
    <n v="0"/>
    <n v="37400"/>
    <x v="2"/>
    <x v="0"/>
    <x v="1"/>
    <x v="1"/>
  </r>
  <r>
    <s v="ORD11434"/>
    <x v="184"/>
    <s v="Daniel"/>
    <x v="1"/>
    <n v="52"/>
    <x v="3"/>
    <s v="Kano"/>
    <x v="1"/>
    <s v="Laptop"/>
    <x v="0"/>
    <n v="1"/>
    <n v="5300"/>
    <n v="15"/>
    <n v="4505"/>
    <x v="0"/>
    <x v="5"/>
    <x v="3"/>
    <x v="0"/>
  </r>
  <r>
    <s v="ORD11435"/>
    <x v="438"/>
    <s v="Chioma"/>
    <x v="2"/>
    <n v="65"/>
    <x v="4"/>
    <s v="Ibadan"/>
    <x v="1"/>
    <s v="Laptop"/>
    <x v="5"/>
    <n v="3"/>
    <n v="24600"/>
    <n v="10"/>
    <n v="66420"/>
    <x v="2"/>
    <x v="5"/>
    <x v="2"/>
    <x v="0"/>
  </r>
  <r>
    <s v="ORD11436"/>
    <x v="397"/>
    <s v="John"/>
    <x v="2"/>
    <n v="43"/>
    <x v="5"/>
    <s v="Obio"/>
    <x v="1"/>
    <s v="Phone"/>
    <x v="3"/>
    <n v="4"/>
    <n v="2200"/>
    <n v="10"/>
    <n v="7920"/>
    <x v="2"/>
    <x v="1"/>
    <x v="1"/>
    <x v="1"/>
  </r>
  <r>
    <s v="ORD11437"/>
    <x v="338"/>
    <s v="Grace"/>
    <x v="0"/>
    <n v="24"/>
    <x v="4"/>
    <s v="Ogbomosho"/>
    <x v="0"/>
    <s v="Shirt"/>
    <x v="2"/>
    <n v="1"/>
    <n v="42800"/>
    <n v="0"/>
    <n v="42800"/>
    <x v="2"/>
    <x v="2"/>
    <x v="2"/>
    <x v="0"/>
  </r>
  <r>
    <s v="ORD11438"/>
    <x v="40"/>
    <s v="Aisha"/>
    <x v="0"/>
    <n v="50"/>
    <x v="0"/>
    <s v="Enugu"/>
    <x v="3"/>
    <s v="Chair"/>
    <x v="4"/>
    <n v="1"/>
    <n v="3800"/>
    <n v="10"/>
    <n v="3420"/>
    <x v="1"/>
    <x v="0"/>
    <x v="3"/>
    <x v="0"/>
  </r>
  <r>
    <s v="ORD11440"/>
    <x v="485"/>
    <s v="John"/>
    <x v="0"/>
    <n v="18"/>
    <x v="0"/>
    <s v="Enugu"/>
    <x v="2"/>
    <s v="Rice"/>
    <x v="5"/>
    <n v="7"/>
    <n v="23800"/>
    <n v="25"/>
    <n v="124950"/>
    <x v="2"/>
    <x v="4"/>
    <x v="3"/>
    <x v="0"/>
  </r>
  <r>
    <s v="ORD11442"/>
    <x v="312"/>
    <s v="Aisha"/>
    <x v="0"/>
    <n v="45"/>
    <x v="0"/>
    <s v="Enugu"/>
    <x v="1"/>
    <s v="Laptop"/>
    <x v="5"/>
    <n v="5"/>
    <n v="45500"/>
    <n v="10"/>
    <n v="204750"/>
    <x v="0"/>
    <x v="0"/>
    <x v="3"/>
    <x v="0"/>
  </r>
  <r>
    <s v="ORD11443"/>
    <x v="482"/>
    <s v="Grace"/>
    <x v="1"/>
    <n v="23"/>
    <x v="1"/>
    <s v="Ikeja"/>
    <x v="2"/>
    <s v="Rice"/>
    <x v="5"/>
    <n v="6"/>
    <n v="19100"/>
    <n v="25"/>
    <n v="85950"/>
    <x v="0"/>
    <x v="0"/>
    <x v="1"/>
    <x v="1"/>
  </r>
  <r>
    <s v="ORD11444"/>
    <x v="364"/>
    <s v="David"/>
    <x v="2"/>
    <n v="42"/>
    <x v="1"/>
    <s v="Lekki"/>
    <x v="1"/>
    <s v="Laptop"/>
    <x v="1"/>
    <n v="7"/>
    <n v="18500"/>
    <n v="25"/>
    <n v="97125"/>
    <x v="1"/>
    <x v="4"/>
    <x v="0"/>
    <x v="0"/>
  </r>
  <r>
    <s v="ORD11446"/>
    <x v="70"/>
    <s v="Mary"/>
    <x v="0"/>
    <n v="18"/>
    <x v="2"/>
    <s v="Garki"/>
    <x v="1"/>
    <s v="Laptop"/>
    <x v="4"/>
    <n v="9"/>
    <n v="15900"/>
    <n v="15"/>
    <n v="121635"/>
    <x v="1"/>
    <x v="4"/>
    <x v="1"/>
    <x v="1"/>
  </r>
  <r>
    <s v="ORD11449"/>
    <x v="126"/>
    <s v="Chioma"/>
    <x v="0"/>
    <n v="44"/>
    <x v="2"/>
    <s v="Wuse"/>
    <x v="3"/>
    <s v="Chair"/>
    <x v="3"/>
    <n v="9"/>
    <n v="43900"/>
    <n v="20"/>
    <n v="316080"/>
    <x v="1"/>
    <x v="2"/>
    <x v="1"/>
    <x v="1"/>
  </r>
  <r>
    <s v="ORD11450"/>
    <x v="267"/>
    <s v="John"/>
    <x v="0"/>
    <n v="27"/>
    <x v="5"/>
    <s v="Obio"/>
    <x v="1"/>
    <s v="Laptop"/>
    <x v="3"/>
    <n v="2"/>
    <n v="38100"/>
    <n v="15"/>
    <n v="64770"/>
    <x v="2"/>
    <x v="2"/>
    <x v="3"/>
    <x v="0"/>
  </r>
  <r>
    <s v="ORD11451"/>
    <x v="298"/>
    <s v="David"/>
    <x v="2"/>
    <n v="24"/>
    <x v="2"/>
    <s v="Garki"/>
    <x v="3"/>
    <s v="Chair"/>
    <x v="3"/>
    <n v="5"/>
    <n v="43100"/>
    <n v="10"/>
    <n v="193950"/>
    <x v="0"/>
    <x v="2"/>
    <x v="1"/>
    <x v="1"/>
  </r>
  <r>
    <s v="ORD11453"/>
    <x v="42"/>
    <s v="Grace"/>
    <x v="1"/>
    <n v="58"/>
    <x v="5"/>
    <s v="Port Harcourt"/>
    <x v="3"/>
    <s v="Desk"/>
    <x v="4"/>
    <n v="10"/>
    <n v="6800"/>
    <n v="5"/>
    <n v="64600"/>
    <x v="1"/>
    <x v="4"/>
    <x v="3"/>
    <x v="0"/>
  </r>
  <r>
    <s v="ORD11454"/>
    <x v="15"/>
    <s v="Chioma"/>
    <x v="2"/>
    <n v="45"/>
    <x v="2"/>
    <s v="Garki"/>
    <x v="0"/>
    <s v="Shoes"/>
    <x v="2"/>
    <n v="9"/>
    <n v="42600"/>
    <n v="10"/>
    <n v="345060"/>
    <x v="1"/>
    <x v="0"/>
    <x v="1"/>
    <x v="1"/>
  </r>
  <r>
    <s v="ORD11457"/>
    <x v="406"/>
    <s v="John"/>
    <x v="1"/>
    <n v="48"/>
    <x v="2"/>
    <s v="Garki"/>
    <x v="2"/>
    <s v="Rice"/>
    <x v="2"/>
    <n v="5"/>
    <n v="29900"/>
    <n v="10"/>
    <n v="134550"/>
    <x v="1"/>
    <x v="4"/>
    <x v="1"/>
    <x v="1"/>
  </r>
  <r>
    <s v="ORD11458"/>
    <x v="226"/>
    <s v="Ruth"/>
    <x v="2"/>
    <n v="56"/>
    <x v="4"/>
    <s v="Ibadan"/>
    <x v="2"/>
    <s v="Beans"/>
    <x v="0"/>
    <n v="1"/>
    <n v="37700"/>
    <n v="15"/>
    <n v="32045"/>
    <x v="1"/>
    <x v="5"/>
    <x v="1"/>
    <x v="1"/>
  </r>
  <r>
    <s v="ORD11459"/>
    <x v="14"/>
    <s v="Emeka"/>
    <x v="2"/>
    <n v="22"/>
    <x v="2"/>
    <s v="Garki"/>
    <x v="3"/>
    <s v="Chair"/>
    <x v="2"/>
    <n v="9"/>
    <n v="13500"/>
    <n v="15"/>
    <n v="103275"/>
    <x v="1"/>
    <x v="0"/>
    <x v="1"/>
    <x v="1"/>
  </r>
  <r>
    <s v="ORD11460"/>
    <x v="57"/>
    <s v="Mary"/>
    <x v="0"/>
    <n v="22"/>
    <x v="4"/>
    <s v="Ogbomosho"/>
    <x v="3"/>
    <s v="Desk"/>
    <x v="4"/>
    <n v="8"/>
    <n v="37700"/>
    <n v="0"/>
    <n v="301600"/>
    <x v="2"/>
    <x v="0"/>
    <x v="3"/>
    <x v="0"/>
  </r>
  <r>
    <s v="ORD11461"/>
    <x v="168"/>
    <s v="Emeka"/>
    <x v="0"/>
    <n v="22"/>
    <x v="4"/>
    <s v="Ogbomosho"/>
    <x v="0"/>
    <s v="Shirt"/>
    <x v="2"/>
    <n v="1"/>
    <n v="10700"/>
    <n v="10"/>
    <n v="9630"/>
    <x v="0"/>
    <x v="2"/>
    <x v="3"/>
    <x v="0"/>
  </r>
  <r>
    <s v="ORD11462"/>
    <x v="258"/>
    <s v="Grace"/>
    <x v="2"/>
    <n v="37"/>
    <x v="3"/>
    <s v="Kano"/>
    <x v="3"/>
    <s v="Desk"/>
    <x v="0"/>
    <n v="5"/>
    <n v="39700"/>
    <n v="15"/>
    <n v="168725"/>
    <x v="1"/>
    <x v="1"/>
    <x v="0"/>
    <x v="0"/>
  </r>
  <r>
    <s v="ORD11463"/>
    <x v="261"/>
    <s v="Emeka"/>
    <x v="0"/>
    <n v="40"/>
    <x v="1"/>
    <s v="Ikeja"/>
    <x v="1"/>
    <s v="Laptop"/>
    <x v="5"/>
    <n v="2"/>
    <n v="2000"/>
    <n v="5"/>
    <n v="3800"/>
    <x v="3"/>
    <x v="1"/>
    <x v="2"/>
    <x v="0"/>
  </r>
  <r>
    <s v="ORD11465"/>
    <x v="429"/>
    <s v="Chioma"/>
    <x v="1"/>
    <n v="45"/>
    <x v="1"/>
    <s v="Ikeja"/>
    <x v="0"/>
    <s v="Shirt"/>
    <x v="2"/>
    <n v="4"/>
    <n v="3800"/>
    <n v="20"/>
    <n v="12160"/>
    <x v="1"/>
    <x v="0"/>
    <x v="3"/>
    <x v="0"/>
  </r>
  <r>
    <s v="ORD11466"/>
    <x v="486"/>
    <s v="Emeka"/>
    <x v="2"/>
    <n v="23"/>
    <x v="1"/>
    <s v="Lekki"/>
    <x v="3"/>
    <s v="Chair"/>
    <x v="5"/>
    <n v="7"/>
    <n v="36100"/>
    <n v="5"/>
    <n v="240065"/>
    <x v="1"/>
    <x v="0"/>
    <x v="1"/>
    <x v="1"/>
  </r>
  <r>
    <s v="ORD11467"/>
    <x v="22"/>
    <s v="Emeka"/>
    <x v="2"/>
    <n v="42"/>
    <x v="1"/>
    <s v="Ikeja"/>
    <x v="1"/>
    <s v="Laptop"/>
    <x v="2"/>
    <n v="4"/>
    <n v="23000"/>
    <n v="20"/>
    <n v="73600"/>
    <x v="0"/>
    <x v="3"/>
    <x v="0"/>
    <x v="0"/>
  </r>
  <r>
    <s v="ORD11468"/>
    <x v="140"/>
    <s v="Ruth"/>
    <x v="0"/>
    <n v="22"/>
    <x v="2"/>
    <s v="Garki"/>
    <x v="2"/>
    <s v="Beans"/>
    <x v="0"/>
    <n v="10"/>
    <n v="39800"/>
    <n v="20"/>
    <n v="318400"/>
    <x v="0"/>
    <x v="3"/>
    <x v="2"/>
    <x v="0"/>
  </r>
  <r>
    <s v="ORD11469"/>
    <x v="104"/>
    <s v="Emeka"/>
    <x v="0"/>
    <n v="40"/>
    <x v="4"/>
    <s v="Ogbomosho"/>
    <x v="3"/>
    <s v="Chair"/>
    <x v="5"/>
    <n v="6"/>
    <n v="23700"/>
    <n v="20"/>
    <n v="113760"/>
    <x v="2"/>
    <x v="0"/>
    <x v="0"/>
    <x v="0"/>
  </r>
  <r>
    <s v="ORD11470"/>
    <x v="161"/>
    <s v="Peter"/>
    <x v="2"/>
    <n v="61"/>
    <x v="0"/>
    <s v="Enugu"/>
    <x v="0"/>
    <s v="Shoes"/>
    <x v="0"/>
    <n v="1"/>
    <n v="28500"/>
    <n v="5"/>
    <n v="27075"/>
    <x v="2"/>
    <x v="2"/>
    <x v="2"/>
    <x v="0"/>
  </r>
  <r>
    <s v="ORD11471"/>
    <x v="329"/>
    <s v="John"/>
    <x v="2"/>
    <n v="19"/>
    <x v="5"/>
    <s v="Port Harcourt"/>
    <x v="1"/>
    <s v="Phone"/>
    <x v="1"/>
    <n v="2"/>
    <n v="12000"/>
    <n v="15"/>
    <n v="20400"/>
    <x v="2"/>
    <x v="4"/>
    <x v="0"/>
    <x v="0"/>
  </r>
  <r>
    <s v="ORD11472"/>
    <x v="487"/>
    <s v="John"/>
    <x v="2"/>
    <n v="21"/>
    <x v="5"/>
    <s v="Port Harcourt"/>
    <x v="2"/>
    <s v="Rice"/>
    <x v="4"/>
    <n v="2"/>
    <n v="13600"/>
    <n v="20"/>
    <n v="21760"/>
    <x v="2"/>
    <x v="1"/>
    <x v="1"/>
    <x v="1"/>
  </r>
  <r>
    <s v="ORD11474"/>
    <x v="488"/>
    <s v="Peter"/>
    <x v="0"/>
    <n v="24"/>
    <x v="1"/>
    <s v="Ikeja"/>
    <x v="2"/>
    <s v="Beans"/>
    <x v="4"/>
    <n v="1"/>
    <n v="7600"/>
    <n v="15"/>
    <n v="6460"/>
    <x v="2"/>
    <x v="0"/>
    <x v="2"/>
    <x v="0"/>
  </r>
  <r>
    <s v="ORD11475"/>
    <x v="224"/>
    <s v="Chioma"/>
    <x v="2"/>
    <n v="52"/>
    <x v="2"/>
    <s v="Garki"/>
    <x v="0"/>
    <s v="Shirt"/>
    <x v="5"/>
    <n v="6"/>
    <n v="17900"/>
    <n v="5"/>
    <n v="102030"/>
    <x v="1"/>
    <x v="2"/>
    <x v="0"/>
    <x v="0"/>
  </r>
  <r>
    <s v="ORD11476"/>
    <x v="15"/>
    <s v="Chioma"/>
    <x v="2"/>
    <n v="37"/>
    <x v="4"/>
    <s v="Ibadan"/>
    <x v="3"/>
    <s v="Chair"/>
    <x v="2"/>
    <n v="5"/>
    <n v="6300"/>
    <n v="10"/>
    <n v="28350"/>
    <x v="2"/>
    <x v="1"/>
    <x v="1"/>
    <x v="1"/>
  </r>
  <r>
    <s v="ORD11477"/>
    <x v="184"/>
    <s v="Ruth"/>
    <x v="1"/>
    <n v="29"/>
    <x v="0"/>
    <s v="Enugu"/>
    <x v="0"/>
    <s v="Shoes"/>
    <x v="4"/>
    <n v="8"/>
    <n v="3800"/>
    <n v="15"/>
    <n v="25840"/>
    <x v="0"/>
    <x v="0"/>
    <x v="2"/>
    <x v="0"/>
  </r>
  <r>
    <s v="ORD11478"/>
    <x v="413"/>
    <s v="Ruth"/>
    <x v="2"/>
    <n v="27"/>
    <x v="2"/>
    <s v="Garki"/>
    <x v="3"/>
    <s v="Chair"/>
    <x v="5"/>
    <n v="1"/>
    <n v="41000"/>
    <n v="20"/>
    <n v="32800"/>
    <x v="2"/>
    <x v="2"/>
    <x v="2"/>
    <x v="0"/>
  </r>
  <r>
    <s v="ORD11479"/>
    <x v="404"/>
    <s v="Ruth"/>
    <x v="0"/>
    <n v="36"/>
    <x v="2"/>
    <s v="Garki"/>
    <x v="2"/>
    <s v="Beans"/>
    <x v="0"/>
    <n v="2"/>
    <n v="20200"/>
    <n v="15"/>
    <n v="34340"/>
    <x v="0"/>
    <x v="3"/>
    <x v="1"/>
    <x v="1"/>
  </r>
  <r>
    <s v="ORD11480"/>
    <x v="359"/>
    <s v="Mary"/>
    <x v="2"/>
    <n v="18"/>
    <x v="4"/>
    <s v="Ogbomosho"/>
    <x v="3"/>
    <s v="Chair"/>
    <x v="0"/>
    <n v="10"/>
    <n v="43200"/>
    <n v="15"/>
    <n v="367200"/>
    <x v="0"/>
    <x v="1"/>
    <x v="0"/>
    <x v="0"/>
  </r>
  <r>
    <s v="ORD11481"/>
    <x v="29"/>
    <s v="John"/>
    <x v="0"/>
    <n v="64"/>
    <x v="5"/>
    <s v="Obio"/>
    <x v="0"/>
    <s v="Shirt"/>
    <x v="2"/>
    <n v="10"/>
    <n v="16400"/>
    <n v="15"/>
    <n v="139400"/>
    <x v="1"/>
    <x v="0"/>
    <x v="0"/>
    <x v="0"/>
  </r>
  <r>
    <s v="ORD11482"/>
    <x v="366"/>
    <s v="Peter"/>
    <x v="2"/>
    <n v="20"/>
    <x v="3"/>
    <s v="Kano"/>
    <x v="0"/>
    <s v="Shirt"/>
    <x v="4"/>
    <n v="5"/>
    <n v="40000"/>
    <n v="0"/>
    <n v="200000"/>
    <x v="0"/>
    <x v="4"/>
    <x v="1"/>
    <x v="1"/>
  </r>
  <r>
    <s v="ORD11483"/>
    <x v="87"/>
    <s v="Mary"/>
    <x v="2"/>
    <n v="20"/>
    <x v="4"/>
    <s v="Ibadan"/>
    <x v="1"/>
    <s v="Phone"/>
    <x v="5"/>
    <n v="7"/>
    <n v="41800"/>
    <n v="10"/>
    <n v="263340"/>
    <x v="2"/>
    <x v="0"/>
    <x v="0"/>
    <x v="0"/>
  </r>
  <r>
    <s v="ORD11485"/>
    <x v="90"/>
    <s v="Peter"/>
    <x v="1"/>
    <n v="47"/>
    <x v="3"/>
    <s v="Kano"/>
    <x v="3"/>
    <s v="Chair"/>
    <x v="3"/>
    <n v="7"/>
    <n v="44500"/>
    <n v="20"/>
    <n v="249200"/>
    <x v="0"/>
    <x v="0"/>
    <x v="0"/>
    <x v="0"/>
  </r>
  <r>
    <s v="ORD11486"/>
    <x v="421"/>
    <s v="Peter"/>
    <x v="0"/>
    <n v="21"/>
    <x v="4"/>
    <s v="Ibadan"/>
    <x v="2"/>
    <s v="Beans"/>
    <x v="5"/>
    <n v="6"/>
    <n v="12100"/>
    <n v="10"/>
    <n v="65340"/>
    <x v="3"/>
    <x v="0"/>
    <x v="2"/>
    <x v="0"/>
  </r>
  <r>
    <s v="ORD11487"/>
    <x v="137"/>
    <s v="Grace"/>
    <x v="2"/>
    <n v="45"/>
    <x v="5"/>
    <s v="Obio"/>
    <x v="2"/>
    <s v="Beans"/>
    <x v="2"/>
    <n v="10"/>
    <n v="44500"/>
    <n v="5"/>
    <n v="422750"/>
    <x v="1"/>
    <x v="4"/>
    <x v="0"/>
    <x v="0"/>
  </r>
  <r>
    <s v="ORD11488"/>
    <x v="489"/>
    <s v="Peter"/>
    <x v="2"/>
    <n v="49"/>
    <x v="0"/>
    <s v="Enugu"/>
    <x v="1"/>
    <s v="Phone"/>
    <x v="2"/>
    <n v="9"/>
    <n v="43400"/>
    <n v="0"/>
    <n v="390600"/>
    <x v="1"/>
    <x v="3"/>
    <x v="0"/>
    <x v="0"/>
  </r>
  <r>
    <s v="ORD11489"/>
    <x v="362"/>
    <s v="Emeka"/>
    <x v="0"/>
    <n v="21"/>
    <x v="3"/>
    <s v="Kano"/>
    <x v="2"/>
    <s v="Beans"/>
    <x v="2"/>
    <n v="10"/>
    <n v="35000"/>
    <n v="20"/>
    <n v="280000"/>
    <x v="1"/>
    <x v="4"/>
    <x v="1"/>
    <x v="1"/>
  </r>
  <r>
    <s v="ORD11490"/>
    <x v="157"/>
    <s v="John"/>
    <x v="2"/>
    <n v="50"/>
    <x v="1"/>
    <s v="Ikeja"/>
    <x v="1"/>
    <s v="Phone"/>
    <x v="3"/>
    <n v="6"/>
    <n v="19500"/>
    <n v="0"/>
    <n v="117000"/>
    <x v="0"/>
    <x v="0"/>
    <x v="3"/>
    <x v="0"/>
  </r>
  <r>
    <s v="ORD11491"/>
    <x v="22"/>
    <s v="Aisha"/>
    <x v="2"/>
    <n v="47"/>
    <x v="4"/>
    <s v="Ibadan"/>
    <x v="1"/>
    <s v="Phone"/>
    <x v="1"/>
    <n v="9"/>
    <n v="30100"/>
    <n v="20"/>
    <n v="216720"/>
    <x v="0"/>
    <x v="4"/>
    <x v="2"/>
    <x v="0"/>
  </r>
  <r>
    <s v="ORD11492"/>
    <x v="490"/>
    <s v="Aisha"/>
    <x v="0"/>
    <n v="49"/>
    <x v="1"/>
    <s v="Ikeja"/>
    <x v="0"/>
    <s v="Shirt"/>
    <x v="0"/>
    <n v="10"/>
    <n v="9600"/>
    <n v="0"/>
    <n v="96000"/>
    <x v="0"/>
    <x v="4"/>
    <x v="0"/>
    <x v="0"/>
  </r>
  <r>
    <s v="ORD11494"/>
    <x v="136"/>
    <s v="Emeka"/>
    <x v="0"/>
    <n v="49"/>
    <x v="4"/>
    <s v="Ogbomosho"/>
    <x v="0"/>
    <s v="Shoes"/>
    <x v="3"/>
    <n v="8"/>
    <n v="14200"/>
    <n v="5"/>
    <n v="107920"/>
    <x v="0"/>
    <x v="0"/>
    <x v="0"/>
    <x v="0"/>
  </r>
  <r>
    <s v="ORD11495"/>
    <x v="188"/>
    <s v="Grace"/>
    <x v="0"/>
    <n v="58"/>
    <x v="4"/>
    <s v="Ogbomosho"/>
    <x v="2"/>
    <s v="Rice"/>
    <x v="2"/>
    <n v="6"/>
    <n v="20400"/>
    <n v="15"/>
    <n v="104040"/>
    <x v="2"/>
    <x v="4"/>
    <x v="1"/>
    <x v="1"/>
  </r>
  <r>
    <s v="ORD11496"/>
    <x v="491"/>
    <s v="Emeka"/>
    <x v="0"/>
    <n v="40"/>
    <x v="1"/>
    <s v="Lekki"/>
    <x v="3"/>
    <s v="Desk"/>
    <x v="3"/>
    <n v="3"/>
    <n v="32400"/>
    <n v="5"/>
    <n v="92340"/>
    <x v="1"/>
    <x v="2"/>
    <x v="0"/>
    <x v="0"/>
  </r>
  <r>
    <s v="ORD11497"/>
    <x v="492"/>
    <s v="Aisha"/>
    <x v="1"/>
    <n v="42"/>
    <x v="2"/>
    <s v="Wuse"/>
    <x v="0"/>
    <s v="Shirt"/>
    <x v="5"/>
    <n v="5"/>
    <n v="16700"/>
    <n v="0"/>
    <n v="83500"/>
    <x v="2"/>
    <x v="1"/>
    <x v="3"/>
    <x v="0"/>
  </r>
  <r>
    <s v="ORD11498"/>
    <x v="493"/>
    <s v="Aisha"/>
    <x v="0"/>
    <n v="27"/>
    <x v="4"/>
    <s v="Ogbomosho"/>
    <x v="2"/>
    <s v="Beans"/>
    <x v="1"/>
    <n v="6"/>
    <n v="7600"/>
    <n v="0"/>
    <n v="45600"/>
    <x v="2"/>
    <x v="4"/>
    <x v="2"/>
    <x v="0"/>
  </r>
  <r>
    <s v="ORD11499"/>
    <x v="299"/>
    <s v="David"/>
    <x v="0"/>
    <n v="52"/>
    <x v="4"/>
    <s v="Ibadan"/>
    <x v="3"/>
    <s v="Desk"/>
    <x v="3"/>
    <n v="7"/>
    <n v="37100"/>
    <n v="5"/>
    <n v="246715"/>
    <x v="2"/>
    <x v="3"/>
    <x v="2"/>
    <x v="0"/>
  </r>
  <r>
    <s v="ORD11500"/>
    <x v="494"/>
    <s v="Peter"/>
    <x v="0"/>
    <n v="37"/>
    <x v="3"/>
    <s v="Kano"/>
    <x v="1"/>
    <s v="Phone"/>
    <x v="1"/>
    <n v="10"/>
    <n v="8000"/>
    <n v="20"/>
    <n v="64000"/>
    <x v="2"/>
    <x v="2"/>
    <x v="2"/>
    <x v="0"/>
  </r>
  <r>
    <s v="ORD11502"/>
    <x v="495"/>
    <s v="Ruth"/>
    <x v="0"/>
    <n v="46"/>
    <x v="4"/>
    <s v="Ogbomosho"/>
    <x v="3"/>
    <s v="Chair"/>
    <x v="2"/>
    <n v="6"/>
    <n v="17700"/>
    <n v="5"/>
    <n v="100890"/>
    <x v="2"/>
    <x v="4"/>
    <x v="2"/>
    <x v="0"/>
  </r>
  <r>
    <s v="ORD11504"/>
    <x v="316"/>
    <s v="Daniel"/>
    <x v="1"/>
    <n v="36"/>
    <x v="2"/>
    <s v="Garki"/>
    <x v="2"/>
    <s v="Rice"/>
    <x v="0"/>
    <n v="7"/>
    <n v="31400"/>
    <n v="20"/>
    <n v="175840"/>
    <x v="2"/>
    <x v="0"/>
    <x v="1"/>
    <x v="1"/>
  </r>
  <r>
    <s v="ORD11505"/>
    <x v="335"/>
    <s v="Aisha"/>
    <x v="0"/>
    <n v="59"/>
    <x v="0"/>
    <s v="Enugu"/>
    <x v="3"/>
    <s v="Desk"/>
    <x v="0"/>
    <n v="8"/>
    <n v="14000"/>
    <n v="5"/>
    <n v="106400"/>
    <x v="2"/>
    <x v="1"/>
    <x v="0"/>
    <x v="0"/>
  </r>
  <r>
    <s v="ORD11507"/>
    <x v="241"/>
    <s v="Ruth"/>
    <x v="1"/>
    <n v="24"/>
    <x v="1"/>
    <s v="Lekki"/>
    <x v="0"/>
    <s v="Shirt"/>
    <x v="2"/>
    <n v="5"/>
    <n v="16100"/>
    <n v="0"/>
    <n v="80500"/>
    <x v="1"/>
    <x v="0"/>
    <x v="0"/>
    <x v="0"/>
  </r>
  <r>
    <s v="ORD11508"/>
    <x v="23"/>
    <s v="Chioma"/>
    <x v="1"/>
    <n v="43"/>
    <x v="5"/>
    <s v="Obio"/>
    <x v="0"/>
    <s v="Shirt"/>
    <x v="0"/>
    <n v="3"/>
    <n v="28900"/>
    <n v="15"/>
    <n v="73695"/>
    <x v="2"/>
    <x v="5"/>
    <x v="3"/>
    <x v="0"/>
  </r>
  <r>
    <s v="ORD11509"/>
    <x v="71"/>
    <s v="Chioma"/>
    <x v="0"/>
    <n v="42"/>
    <x v="5"/>
    <s v="Port Harcourt"/>
    <x v="3"/>
    <s v="Chair"/>
    <x v="2"/>
    <n v="8"/>
    <n v="44500"/>
    <n v="0"/>
    <n v="356000"/>
    <x v="1"/>
    <x v="3"/>
    <x v="1"/>
    <x v="1"/>
  </r>
  <r>
    <s v="ORD11512"/>
    <x v="406"/>
    <s v="John"/>
    <x v="0"/>
    <n v="36"/>
    <x v="5"/>
    <s v="Port Harcourt"/>
    <x v="2"/>
    <s v="Rice"/>
    <x v="5"/>
    <n v="10"/>
    <n v="47100"/>
    <n v="5"/>
    <n v="447450"/>
    <x v="0"/>
    <x v="4"/>
    <x v="0"/>
    <x v="0"/>
  </r>
  <r>
    <s v="ORD11514"/>
    <x v="426"/>
    <s v="Emeka"/>
    <x v="0"/>
    <n v="27"/>
    <x v="4"/>
    <s v="Ogbomosho"/>
    <x v="0"/>
    <s v="Shoes"/>
    <x v="3"/>
    <n v="6"/>
    <n v="24600"/>
    <n v="10"/>
    <n v="132840"/>
    <x v="0"/>
    <x v="5"/>
    <x v="2"/>
    <x v="0"/>
  </r>
  <r>
    <s v="ORD11515"/>
    <x v="282"/>
    <s v="David"/>
    <x v="0"/>
    <n v="60"/>
    <x v="4"/>
    <s v="Ogbomosho"/>
    <x v="2"/>
    <s v="Beans"/>
    <x v="3"/>
    <n v="10"/>
    <n v="37800"/>
    <n v="10"/>
    <n v="340200"/>
    <x v="1"/>
    <x v="1"/>
    <x v="0"/>
    <x v="0"/>
  </r>
  <r>
    <s v="ORD11516"/>
    <x v="476"/>
    <s v="Emeka"/>
    <x v="2"/>
    <n v="20"/>
    <x v="4"/>
    <s v="Ibadan"/>
    <x v="0"/>
    <s v="Shirt"/>
    <x v="4"/>
    <n v="3"/>
    <n v="17300"/>
    <n v="10"/>
    <n v="46710"/>
    <x v="0"/>
    <x v="3"/>
    <x v="2"/>
    <x v="0"/>
  </r>
  <r>
    <s v="ORD11517"/>
    <x v="421"/>
    <s v="Ruth"/>
    <x v="2"/>
    <n v="53"/>
    <x v="4"/>
    <s v="Ogbomosho"/>
    <x v="2"/>
    <s v="Rice"/>
    <x v="2"/>
    <n v="9"/>
    <n v="26400"/>
    <n v="0"/>
    <n v="237600"/>
    <x v="1"/>
    <x v="0"/>
    <x v="0"/>
    <x v="0"/>
  </r>
  <r>
    <s v="ORD11518"/>
    <x v="84"/>
    <s v="Daniel"/>
    <x v="0"/>
    <n v="19"/>
    <x v="4"/>
    <s v="Ogbomosho"/>
    <x v="0"/>
    <s v="Shirt"/>
    <x v="0"/>
    <n v="10"/>
    <n v="23200"/>
    <n v="15"/>
    <n v="197200"/>
    <x v="1"/>
    <x v="4"/>
    <x v="1"/>
    <x v="1"/>
  </r>
  <r>
    <s v="ORD11519"/>
    <x v="109"/>
    <s v="Chioma"/>
    <x v="2"/>
    <n v="50"/>
    <x v="2"/>
    <s v="Garki"/>
    <x v="3"/>
    <s v="Desk"/>
    <x v="0"/>
    <n v="1"/>
    <n v="9300"/>
    <n v="25"/>
    <n v="6975"/>
    <x v="2"/>
    <x v="5"/>
    <x v="1"/>
    <x v="1"/>
  </r>
  <r>
    <s v="ORD11520"/>
    <x v="207"/>
    <s v="David"/>
    <x v="0"/>
    <n v="42"/>
    <x v="0"/>
    <s v="Enugu"/>
    <x v="3"/>
    <s v="Chair"/>
    <x v="4"/>
    <n v="6"/>
    <n v="13000"/>
    <n v="15"/>
    <n v="66300"/>
    <x v="2"/>
    <x v="2"/>
    <x v="0"/>
    <x v="0"/>
  </r>
  <r>
    <s v="ORD11521"/>
    <x v="318"/>
    <s v="David"/>
    <x v="1"/>
    <n v="23"/>
    <x v="5"/>
    <s v="Port Harcourt"/>
    <x v="1"/>
    <s v="Laptop"/>
    <x v="0"/>
    <n v="3"/>
    <n v="6700"/>
    <n v="5"/>
    <n v="19095"/>
    <x v="1"/>
    <x v="2"/>
    <x v="0"/>
    <x v="0"/>
  </r>
  <r>
    <s v="ORD11522"/>
    <x v="191"/>
    <s v="Peter"/>
    <x v="1"/>
    <n v="44"/>
    <x v="4"/>
    <s v="Ibadan"/>
    <x v="0"/>
    <s v="Shirt"/>
    <x v="5"/>
    <n v="8"/>
    <n v="15800"/>
    <n v="25"/>
    <n v="94800"/>
    <x v="2"/>
    <x v="0"/>
    <x v="3"/>
    <x v="0"/>
  </r>
  <r>
    <s v="ORD11523"/>
    <x v="219"/>
    <s v="Daniel"/>
    <x v="2"/>
    <n v="49"/>
    <x v="0"/>
    <s v="Enugu"/>
    <x v="1"/>
    <s v="Phone"/>
    <x v="1"/>
    <n v="2"/>
    <n v="34800"/>
    <n v="10"/>
    <n v="62640"/>
    <x v="2"/>
    <x v="1"/>
    <x v="2"/>
    <x v="0"/>
  </r>
  <r>
    <s v="ORD11524"/>
    <x v="311"/>
    <s v="Grace"/>
    <x v="0"/>
    <n v="44"/>
    <x v="2"/>
    <s v="Wuse"/>
    <x v="2"/>
    <s v="Beans"/>
    <x v="0"/>
    <n v="9"/>
    <n v="20600"/>
    <n v="15"/>
    <n v="157590"/>
    <x v="1"/>
    <x v="3"/>
    <x v="2"/>
    <x v="0"/>
  </r>
  <r>
    <s v="ORD11525"/>
    <x v="337"/>
    <s v="Grace"/>
    <x v="1"/>
    <n v="45"/>
    <x v="3"/>
    <s v="Kano"/>
    <x v="3"/>
    <s v="Chair"/>
    <x v="3"/>
    <n v="2"/>
    <n v="13400"/>
    <n v="0"/>
    <n v="26800"/>
    <x v="0"/>
    <x v="2"/>
    <x v="0"/>
    <x v="0"/>
  </r>
  <r>
    <s v="ORD11526"/>
    <x v="228"/>
    <s v="Daniel"/>
    <x v="0"/>
    <n v="31"/>
    <x v="2"/>
    <s v="Wuse"/>
    <x v="0"/>
    <s v="Shoes"/>
    <x v="5"/>
    <n v="4"/>
    <n v="25100"/>
    <n v="20"/>
    <n v="80320"/>
    <x v="2"/>
    <x v="3"/>
    <x v="0"/>
    <x v="0"/>
  </r>
  <r>
    <s v="ORD11527"/>
    <x v="467"/>
    <s v="Aisha"/>
    <x v="0"/>
    <n v="46"/>
    <x v="5"/>
    <s v="Obio"/>
    <x v="0"/>
    <s v="Shirt"/>
    <x v="4"/>
    <n v="10"/>
    <n v="10700"/>
    <n v="15"/>
    <n v="90950"/>
    <x v="2"/>
    <x v="4"/>
    <x v="1"/>
    <x v="1"/>
  </r>
  <r>
    <s v="ORD11528"/>
    <x v="257"/>
    <s v="Daniel"/>
    <x v="2"/>
    <n v="46"/>
    <x v="5"/>
    <s v="Obio"/>
    <x v="3"/>
    <s v="Desk"/>
    <x v="1"/>
    <n v="2"/>
    <n v="12200"/>
    <n v="25"/>
    <n v="18300"/>
    <x v="0"/>
    <x v="2"/>
    <x v="2"/>
    <x v="0"/>
  </r>
  <r>
    <s v="ORD11529"/>
    <x v="435"/>
    <s v="Daniel"/>
    <x v="2"/>
    <n v="55"/>
    <x v="4"/>
    <s v="Ibadan"/>
    <x v="3"/>
    <s v="Desk"/>
    <x v="1"/>
    <n v="8"/>
    <n v="48900"/>
    <n v="20"/>
    <n v="312960"/>
    <x v="2"/>
    <x v="1"/>
    <x v="3"/>
    <x v="0"/>
  </r>
  <r>
    <s v="ORD11530"/>
    <x v="199"/>
    <s v="Daniel"/>
    <x v="0"/>
    <n v="39"/>
    <x v="0"/>
    <s v="Enugu"/>
    <x v="0"/>
    <s v="Shoes"/>
    <x v="3"/>
    <n v="4"/>
    <n v="5500"/>
    <n v="10"/>
    <n v="19800"/>
    <x v="2"/>
    <x v="0"/>
    <x v="1"/>
    <x v="1"/>
  </r>
  <r>
    <s v="ORD11531"/>
    <x v="29"/>
    <s v="Grace"/>
    <x v="2"/>
    <n v="34"/>
    <x v="4"/>
    <s v="Ogbomosho"/>
    <x v="2"/>
    <s v="Rice"/>
    <x v="2"/>
    <n v="10"/>
    <n v="33500"/>
    <n v="20"/>
    <n v="268000"/>
    <x v="0"/>
    <x v="5"/>
    <x v="3"/>
    <x v="0"/>
  </r>
  <r>
    <s v="ORD11533"/>
    <x v="379"/>
    <s v="Peter"/>
    <x v="0"/>
    <n v="49"/>
    <x v="0"/>
    <s v="Enugu"/>
    <x v="0"/>
    <s v="Shirt"/>
    <x v="0"/>
    <n v="7"/>
    <n v="41700"/>
    <n v="10"/>
    <n v="262710"/>
    <x v="0"/>
    <x v="1"/>
    <x v="0"/>
    <x v="0"/>
  </r>
  <r>
    <s v="ORD11534"/>
    <x v="427"/>
    <s v="Mary"/>
    <x v="0"/>
    <n v="30"/>
    <x v="1"/>
    <s v="Lekki"/>
    <x v="0"/>
    <s v="Shoes"/>
    <x v="3"/>
    <n v="2"/>
    <n v="9200"/>
    <n v="15"/>
    <n v="15640"/>
    <x v="2"/>
    <x v="5"/>
    <x v="0"/>
    <x v="0"/>
  </r>
  <r>
    <s v="ORD11535"/>
    <x v="49"/>
    <s v="Peter"/>
    <x v="0"/>
    <n v="46"/>
    <x v="2"/>
    <s v="Garki"/>
    <x v="2"/>
    <s v="Beans"/>
    <x v="1"/>
    <n v="5"/>
    <n v="11700"/>
    <n v="5"/>
    <n v="55575"/>
    <x v="1"/>
    <x v="1"/>
    <x v="0"/>
    <x v="0"/>
  </r>
  <r>
    <s v="ORD11536"/>
    <x v="307"/>
    <s v="Emeka"/>
    <x v="2"/>
    <n v="29"/>
    <x v="0"/>
    <s v="Enugu"/>
    <x v="3"/>
    <s v="Desk"/>
    <x v="2"/>
    <n v="6"/>
    <n v="41000"/>
    <n v="20"/>
    <n v="196800"/>
    <x v="0"/>
    <x v="5"/>
    <x v="2"/>
    <x v="0"/>
  </r>
  <r>
    <s v="ORD11537"/>
    <x v="336"/>
    <s v="Emeka"/>
    <x v="2"/>
    <n v="61"/>
    <x v="0"/>
    <s v="Enugu"/>
    <x v="3"/>
    <s v="Desk"/>
    <x v="3"/>
    <n v="1"/>
    <n v="47400"/>
    <n v="10"/>
    <n v="42660"/>
    <x v="0"/>
    <x v="2"/>
    <x v="2"/>
    <x v="0"/>
  </r>
  <r>
    <s v="ORD11538"/>
    <x v="496"/>
    <s v="Chioma"/>
    <x v="0"/>
    <n v="65"/>
    <x v="0"/>
    <s v="Enugu"/>
    <x v="3"/>
    <s v="Desk"/>
    <x v="2"/>
    <n v="8"/>
    <n v="10100"/>
    <n v="25"/>
    <n v="60600"/>
    <x v="0"/>
    <x v="1"/>
    <x v="1"/>
    <x v="1"/>
  </r>
  <r>
    <s v="ORD11539"/>
    <x v="244"/>
    <s v="John"/>
    <x v="2"/>
    <n v="53"/>
    <x v="1"/>
    <s v="Ikeja"/>
    <x v="1"/>
    <s v="Phone"/>
    <x v="5"/>
    <n v="8"/>
    <n v="47300"/>
    <n v="10"/>
    <n v="340560"/>
    <x v="0"/>
    <x v="5"/>
    <x v="0"/>
    <x v="0"/>
  </r>
  <r>
    <s v="ORD11540"/>
    <x v="37"/>
    <s v="Emeka"/>
    <x v="0"/>
    <n v="24"/>
    <x v="0"/>
    <s v="Enugu"/>
    <x v="0"/>
    <s v="Shirt"/>
    <x v="1"/>
    <n v="5"/>
    <n v="47100"/>
    <n v="0"/>
    <n v="235500"/>
    <x v="2"/>
    <x v="2"/>
    <x v="3"/>
    <x v="0"/>
  </r>
  <r>
    <s v="ORD11541"/>
    <x v="144"/>
    <s v="David"/>
    <x v="0"/>
    <n v="21"/>
    <x v="5"/>
    <s v="Port Harcourt"/>
    <x v="1"/>
    <s v="Phone"/>
    <x v="0"/>
    <n v="6"/>
    <n v="2100"/>
    <n v="5"/>
    <n v="11970"/>
    <x v="1"/>
    <x v="0"/>
    <x v="2"/>
    <x v="0"/>
  </r>
  <r>
    <s v="ORD11542"/>
    <x v="497"/>
    <s v="Peter"/>
    <x v="0"/>
    <n v="50"/>
    <x v="4"/>
    <s v="Ogbomosho"/>
    <x v="0"/>
    <s v="Shoes"/>
    <x v="5"/>
    <n v="6"/>
    <n v="19400"/>
    <n v="0"/>
    <n v="116400"/>
    <x v="2"/>
    <x v="3"/>
    <x v="3"/>
    <x v="0"/>
  </r>
  <r>
    <s v="ORD11543"/>
    <x v="498"/>
    <s v="Ruth"/>
    <x v="0"/>
    <n v="25"/>
    <x v="3"/>
    <s v="Kano"/>
    <x v="1"/>
    <s v="Laptop"/>
    <x v="4"/>
    <n v="9"/>
    <n v="49200"/>
    <n v="15"/>
    <n v="376380"/>
    <x v="1"/>
    <x v="0"/>
    <x v="3"/>
    <x v="0"/>
  </r>
  <r>
    <s v="ORD11544"/>
    <x v="249"/>
    <s v="Aisha"/>
    <x v="2"/>
    <n v="24"/>
    <x v="4"/>
    <s v="Ogbomosho"/>
    <x v="1"/>
    <s v="Laptop"/>
    <x v="4"/>
    <n v="3"/>
    <n v="29000"/>
    <n v="25"/>
    <n v="65250"/>
    <x v="1"/>
    <x v="0"/>
    <x v="0"/>
    <x v="0"/>
  </r>
  <r>
    <s v="ORD11545"/>
    <x v="482"/>
    <s v="Grace"/>
    <x v="2"/>
    <n v="29"/>
    <x v="2"/>
    <s v="Garki"/>
    <x v="3"/>
    <s v="Chair"/>
    <x v="4"/>
    <n v="4"/>
    <n v="5500"/>
    <n v="5"/>
    <n v="20900"/>
    <x v="2"/>
    <x v="3"/>
    <x v="2"/>
    <x v="0"/>
  </r>
  <r>
    <s v="ORD11547"/>
    <x v="415"/>
    <s v="David"/>
    <x v="2"/>
    <n v="38"/>
    <x v="5"/>
    <s v="Port Harcourt"/>
    <x v="1"/>
    <s v="Laptop"/>
    <x v="2"/>
    <n v="10"/>
    <n v="40200"/>
    <n v="15"/>
    <n v="341700"/>
    <x v="1"/>
    <x v="0"/>
    <x v="2"/>
    <x v="0"/>
  </r>
  <r>
    <s v="ORD11548"/>
    <x v="443"/>
    <s v="David"/>
    <x v="0"/>
    <n v="28"/>
    <x v="4"/>
    <s v="Ogbomosho"/>
    <x v="2"/>
    <s v="Rice"/>
    <x v="5"/>
    <n v="7"/>
    <n v="48300"/>
    <n v="20"/>
    <n v="270480"/>
    <x v="2"/>
    <x v="5"/>
    <x v="0"/>
    <x v="0"/>
  </r>
  <r>
    <s v="ORD11549"/>
    <x v="284"/>
    <s v="Mary"/>
    <x v="0"/>
    <n v="43"/>
    <x v="0"/>
    <s v="Enugu"/>
    <x v="1"/>
    <s v="Laptop"/>
    <x v="0"/>
    <n v="6"/>
    <n v="19200"/>
    <n v="20"/>
    <n v="92160"/>
    <x v="1"/>
    <x v="0"/>
    <x v="0"/>
    <x v="0"/>
  </r>
  <r>
    <s v="ORD11552"/>
    <x v="499"/>
    <s v="Daniel"/>
    <x v="0"/>
    <n v="58"/>
    <x v="5"/>
    <s v="Obio"/>
    <x v="2"/>
    <s v="Beans"/>
    <x v="4"/>
    <n v="9"/>
    <n v="17400"/>
    <n v="25"/>
    <n v="117450"/>
    <x v="0"/>
    <x v="4"/>
    <x v="0"/>
    <x v="0"/>
  </r>
  <r>
    <s v="ORD11553"/>
    <x v="324"/>
    <s v="Aisha"/>
    <x v="2"/>
    <n v="20"/>
    <x v="4"/>
    <s v="Ogbomosho"/>
    <x v="0"/>
    <s v="Shoes"/>
    <x v="4"/>
    <n v="1"/>
    <n v="5700"/>
    <n v="0"/>
    <n v="5700"/>
    <x v="1"/>
    <x v="4"/>
    <x v="2"/>
    <x v="0"/>
  </r>
  <r>
    <s v="ORD11554"/>
    <x v="500"/>
    <s v="Grace"/>
    <x v="1"/>
    <n v="18"/>
    <x v="1"/>
    <s v="Ikeja"/>
    <x v="1"/>
    <s v="Phone"/>
    <x v="2"/>
    <n v="5"/>
    <n v="19200"/>
    <n v="5"/>
    <n v="91200"/>
    <x v="1"/>
    <x v="1"/>
    <x v="3"/>
    <x v="0"/>
  </r>
  <r>
    <s v="ORD11555"/>
    <x v="501"/>
    <s v="Emeka"/>
    <x v="0"/>
    <n v="20"/>
    <x v="1"/>
    <s v="Ikeja"/>
    <x v="3"/>
    <s v="Desk"/>
    <x v="3"/>
    <n v="4"/>
    <n v="45500"/>
    <n v="0"/>
    <n v="182000"/>
    <x v="1"/>
    <x v="5"/>
    <x v="2"/>
    <x v="0"/>
  </r>
  <r>
    <s v="ORD11556"/>
    <x v="261"/>
    <s v="Emeka"/>
    <x v="2"/>
    <n v="53"/>
    <x v="4"/>
    <s v="Ibadan"/>
    <x v="3"/>
    <s v="Desk"/>
    <x v="4"/>
    <n v="8"/>
    <n v="15000"/>
    <n v="5"/>
    <n v="114000"/>
    <x v="1"/>
    <x v="4"/>
    <x v="0"/>
    <x v="0"/>
  </r>
  <r>
    <s v="ORD11557"/>
    <x v="481"/>
    <s v="Peter"/>
    <x v="2"/>
    <n v="63"/>
    <x v="4"/>
    <s v="Ogbomosho"/>
    <x v="3"/>
    <s v="Desk"/>
    <x v="0"/>
    <n v="3"/>
    <n v="6000"/>
    <n v="25"/>
    <n v="13500"/>
    <x v="2"/>
    <x v="2"/>
    <x v="1"/>
    <x v="1"/>
  </r>
  <r>
    <s v="ORD11558"/>
    <x v="353"/>
    <s v="Emeka"/>
    <x v="1"/>
    <n v="43"/>
    <x v="0"/>
    <s v="Enugu"/>
    <x v="0"/>
    <s v="Shoes"/>
    <x v="3"/>
    <n v="1"/>
    <n v="39800"/>
    <n v="5"/>
    <n v="37810"/>
    <x v="1"/>
    <x v="3"/>
    <x v="1"/>
    <x v="1"/>
  </r>
  <r>
    <s v="ORD11561"/>
    <x v="67"/>
    <s v="Ruth"/>
    <x v="2"/>
    <n v="61"/>
    <x v="2"/>
    <s v="Wuse"/>
    <x v="0"/>
    <s v="Shirt"/>
    <x v="5"/>
    <n v="5"/>
    <n v="48400"/>
    <n v="25"/>
    <n v="181500"/>
    <x v="2"/>
    <x v="0"/>
    <x v="0"/>
    <x v="0"/>
  </r>
  <r>
    <s v="ORD11562"/>
    <x v="193"/>
    <s v="Emeka"/>
    <x v="2"/>
    <n v="45"/>
    <x v="3"/>
    <s v="Kano"/>
    <x v="3"/>
    <s v="Desk"/>
    <x v="4"/>
    <n v="10"/>
    <n v="33900"/>
    <n v="15"/>
    <n v="288150"/>
    <x v="1"/>
    <x v="2"/>
    <x v="2"/>
    <x v="0"/>
  </r>
  <r>
    <s v="ORD11563"/>
    <x v="285"/>
    <s v="Emeka"/>
    <x v="2"/>
    <n v="54"/>
    <x v="5"/>
    <s v="Obio"/>
    <x v="0"/>
    <s v="Shoes"/>
    <x v="5"/>
    <n v="5"/>
    <n v="48600"/>
    <n v="5"/>
    <n v="230850"/>
    <x v="1"/>
    <x v="3"/>
    <x v="2"/>
    <x v="0"/>
  </r>
  <r>
    <s v="ORD11564"/>
    <x v="18"/>
    <s v="David"/>
    <x v="0"/>
    <n v="62"/>
    <x v="5"/>
    <s v="Port Harcourt"/>
    <x v="1"/>
    <s v="Laptop"/>
    <x v="3"/>
    <n v="9"/>
    <n v="24800"/>
    <n v="0"/>
    <n v="223200"/>
    <x v="2"/>
    <x v="0"/>
    <x v="2"/>
    <x v="0"/>
  </r>
  <r>
    <s v="ORD11567"/>
    <x v="36"/>
    <s v="Ruth"/>
    <x v="2"/>
    <n v="23"/>
    <x v="1"/>
    <s v="Lekki"/>
    <x v="2"/>
    <s v="Rice"/>
    <x v="5"/>
    <n v="6"/>
    <n v="9000"/>
    <n v="15"/>
    <n v="45900"/>
    <x v="1"/>
    <x v="4"/>
    <x v="2"/>
    <x v="0"/>
  </r>
  <r>
    <s v="ORD11568"/>
    <x v="292"/>
    <s v="Grace"/>
    <x v="1"/>
    <n v="46"/>
    <x v="1"/>
    <s v="Lekki"/>
    <x v="3"/>
    <s v="Desk"/>
    <x v="4"/>
    <n v="6"/>
    <n v="39100"/>
    <n v="25"/>
    <n v="175950"/>
    <x v="1"/>
    <x v="0"/>
    <x v="0"/>
    <x v="0"/>
  </r>
  <r>
    <s v="ORD11569"/>
    <x v="329"/>
    <s v="Mary"/>
    <x v="2"/>
    <n v="32"/>
    <x v="1"/>
    <s v="Ikeja"/>
    <x v="3"/>
    <s v="Desk"/>
    <x v="3"/>
    <n v="5"/>
    <n v="31300"/>
    <n v="10"/>
    <n v="140850"/>
    <x v="1"/>
    <x v="0"/>
    <x v="3"/>
    <x v="0"/>
  </r>
  <r>
    <s v="ORD11571"/>
    <x v="502"/>
    <s v="Mary"/>
    <x v="0"/>
    <n v="44"/>
    <x v="5"/>
    <s v="Port Harcourt"/>
    <x v="3"/>
    <s v="Chair"/>
    <x v="3"/>
    <n v="5"/>
    <n v="33500"/>
    <n v="15"/>
    <n v="142375"/>
    <x v="1"/>
    <x v="5"/>
    <x v="0"/>
    <x v="0"/>
  </r>
  <r>
    <s v="ORD11572"/>
    <x v="376"/>
    <s v="Mary"/>
    <x v="0"/>
    <n v="62"/>
    <x v="3"/>
    <s v="Kano"/>
    <x v="2"/>
    <s v="Beans"/>
    <x v="4"/>
    <n v="9"/>
    <n v="30200"/>
    <n v="10"/>
    <n v="244620"/>
    <x v="1"/>
    <x v="4"/>
    <x v="1"/>
    <x v="1"/>
  </r>
  <r>
    <s v="ORD11573"/>
    <x v="4"/>
    <s v="Grace"/>
    <x v="1"/>
    <n v="38"/>
    <x v="1"/>
    <s v="Ikeja"/>
    <x v="0"/>
    <s v="Shoes"/>
    <x v="5"/>
    <n v="3"/>
    <n v="48200"/>
    <n v="0"/>
    <n v="144600"/>
    <x v="1"/>
    <x v="0"/>
    <x v="2"/>
    <x v="0"/>
  </r>
  <r>
    <s v="ORD11575"/>
    <x v="134"/>
    <s v="David"/>
    <x v="1"/>
    <n v="32"/>
    <x v="1"/>
    <s v="Lekki"/>
    <x v="0"/>
    <s v="Shoes"/>
    <x v="5"/>
    <n v="3"/>
    <n v="44900"/>
    <n v="10"/>
    <n v="121230"/>
    <x v="0"/>
    <x v="2"/>
    <x v="3"/>
    <x v="0"/>
  </r>
  <r>
    <s v="ORD11576"/>
    <x v="503"/>
    <s v="Ruth"/>
    <x v="0"/>
    <n v="62"/>
    <x v="5"/>
    <s v="Obio"/>
    <x v="0"/>
    <s v="Shoes"/>
    <x v="5"/>
    <n v="2"/>
    <n v="21600"/>
    <n v="20"/>
    <n v="34560"/>
    <x v="1"/>
    <x v="0"/>
    <x v="2"/>
    <x v="0"/>
  </r>
  <r>
    <s v="ORD11577"/>
    <x v="184"/>
    <s v="Chioma"/>
    <x v="0"/>
    <n v="30"/>
    <x v="0"/>
    <s v="Enugu"/>
    <x v="0"/>
    <s v="Shoes"/>
    <x v="1"/>
    <n v="9"/>
    <n v="4400"/>
    <n v="0"/>
    <n v="39600"/>
    <x v="1"/>
    <x v="5"/>
    <x v="2"/>
    <x v="0"/>
  </r>
  <r>
    <s v="ORD11578"/>
    <x v="80"/>
    <s v="Mary"/>
    <x v="2"/>
    <n v="54"/>
    <x v="0"/>
    <s v="Enugu"/>
    <x v="1"/>
    <s v="Laptop"/>
    <x v="1"/>
    <n v="2"/>
    <n v="3400"/>
    <n v="0"/>
    <n v="6800"/>
    <x v="1"/>
    <x v="5"/>
    <x v="0"/>
    <x v="0"/>
  </r>
  <r>
    <s v="ORD11579"/>
    <x v="85"/>
    <s v="David"/>
    <x v="2"/>
    <n v="25"/>
    <x v="4"/>
    <s v="Ogbomosho"/>
    <x v="0"/>
    <s v="Shoes"/>
    <x v="0"/>
    <n v="6"/>
    <n v="6800"/>
    <n v="20"/>
    <n v="32640"/>
    <x v="1"/>
    <x v="4"/>
    <x v="1"/>
    <x v="1"/>
  </r>
  <r>
    <s v="ORD11580"/>
    <x v="308"/>
    <s v="Grace"/>
    <x v="2"/>
    <n v="22"/>
    <x v="2"/>
    <s v="Wuse"/>
    <x v="1"/>
    <s v="Laptop"/>
    <x v="0"/>
    <n v="1"/>
    <n v="5300"/>
    <n v="5"/>
    <n v="5035"/>
    <x v="2"/>
    <x v="0"/>
    <x v="0"/>
    <x v="0"/>
  </r>
  <r>
    <s v="ORD11581"/>
    <x v="246"/>
    <s v="Ruth"/>
    <x v="1"/>
    <n v="22"/>
    <x v="5"/>
    <s v="Port Harcourt"/>
    <x v="0"/>
    <s v="Shirt"/>
    <x v="2"/>
    <n v="9"/>
    <n v="21300"/>
    <n v="25"/>
    <n v="143775"/>
    <x v="0"/>
    <x v="1"/>
    <x v="1"/>
    <x v="1"/>
  </r>
  <r>
    <s v="ORD11582"/>
    <x v="90"/>
    <s v="Grace"/>
    <x v="2"/>
    <n v="65"/>
    <x v="4"/>
    <s v="Ogbomosho"/>
    <x v="3"/>
    <s v="Chair"/>
    <x v="3"/>
    <n v="7"/>
    <n v="14200"/>
    <n v="5"/>
    <n v="94430"/>
    <x v="0"/>
    <x v="1"/>
    <x v="1"/>
    <x v="1"/>
  </r>
  <r>
    <s v="ORD11583"/>
    <x v="53"/>
    <s v="Emeka"/>
    <x v="0"/>
    <n v="50"/>
    <x v="4"/>
    <s v="Ibadan"/>
    <x v="0"/>
    <s v="Shirt"/>
    <x v="0"/>
    <n v="4"/>
    <n v="45600"/>
    <n v="15"/>
    <n v="155040"/>
    <x v="1"/>
    <x v="0"/>
    <x v="3"/>
    <x v="0"/>
  </r>
  <r>
    <s v="ORD11584"/>
    <x v="0"/>
    <s v="Daniel"/>
    <x v="0"/>
    <n v="40"/>
    <x v="0"/>
    <s v="Enugu"/>
    <x v="2"/>
    <s v="Beans"/>
    <x v="3"/>
    <n v="6"/>
    <n v="43500"/>
    <n v="15"/>
    <n v="221850"/>
    <x v="0"/>
    <x v="0"/>
    <x v="3"/>
    <x v="0"/>
  </r>
  <r>
    <s v="ORD11585"/>
    <x v="82"/>
    <s v="Emeka"/>
    <x v="2"/>
    <n v="30"/>
    <x v="0"/>
    <s v="Enugu"/>
    <x v="0"/>
    <s v="Shirt"/>
    <x v="3"/>
    <n v="8"/>
    <n v="28700"/>
    <n v="0"/>
    <n v="229600"/>
    <x v="0"/>
    <x v="1"/>
    <x v="1"/>
    <x v="1"/>
  </r>
  <r>
    <s v="ORD11586"/>
    <x v="123"/>
    <s v="Peter"/>
    <x v="1"/>
    <n v="31"/>
    <x v="5"/>
    <s v="Obio"/>
    <x v="1"/>
    <s v="Phone"/>
    <x v="5"/>
    <n v="3"/>
    <n v="35700"/>
    <n v="5"/>
    <n v="101745"/>
    <x v="0"/>
    <x v="0"/>
    <x v="2"/>
    <x v="0"/>
  </r>
  <r>
    <s v="ORD11587"/>
    <x v="188"/>
    <s v="Daniel"/>
    <x v="0"/>
    <n v="40"/>
    <x v="1"/>
    <s v="Ikeja"/>
    <x v="2"/>
    <s v="Rice"/>
    <x v="4"/>
    <n v="10"/>
    <n v="6000"/>
    <n v="10"/>
    <n v="54000"/>
    <x v="2"/>
    <x v="4"/>
    <x v="2"/>
    <x v="0"/>
  </r>
  <r>
    <s v="ORD11588"/>
    <x v="500"/>
    <s v="Emeka"/>
    <x v="2"/>
    <n v="24"/>
    <x v="0"/>
    <s v="Enugu"/>
    <x v="3"/>
    <s v="Desk"/>
    <x v="5"/>
    <n v="10"/>
    <n v="9200"/>
    <n v="25"/>
    <n v="69000"/>
    <x v="0"/>
    <x v="0"/>
    <x v="3"/>
    <x v="0"/>
  </r>
  <r>
    <s v="ORD11589"/>
    <x v="210"/>
    <s v="Emeka"/>
    <x v="0"/>
    <n v="29"/>
    <x v="0"/>
    <s v="Enugu"/>
    <x v="0"/>
    <s v="Shoes"/>
    <x v="5"/>
    <n v="9"/>
    <n v="23900"/>
    <n v="10"/>
    <n v="193590"/>
    <x v="2"/>
    <x v="3"/>
    <x v="0"/>
    <x v="0"/>
  </r>
  <r>
    <s v="ORD11591"/>
    <x v="472"/>
    <s v="David"/>
    <x v="0"/>
    <n v="60"/>
    <x v="2"/>
    <s v="Garki"/>
    <x v="1"/>
    <s v="Laptop"/>
    <x v="3"/>
    <n v="3"/>
    <n v="4400"/>
    <n v="0"/>
    <n v="13200"/>
    <x v="2"/>
    <x v="3"/>
    <x v="0"/>
    <x v="0"/>
  </r>
  <r>
    <s v="ORD11592"/>
    <x v="222"/>
    <s v="Daniel"/>
    <x v="0"/>
    <n v="56"/>
    <x v="2"/>
    <s v="Garki"/>
    <x v="1"/>
    <s v="Phone"/>
    <x v="2"/>
    <n v="8"/>
    <n v="8000"/>
    <n v="20"/>
    <n v="51200"/>
    <x v="1"/>
    <x v="0"/>
    <x v="0"/>
    <x v="0"/>
  </r>
  <r>
    <s v="ORD11593"/>
    <x v="504"/>
    <s v="Aisha"/>
    <x v="2"/>
    <n v="39"/>
    <x v="3"/>
    <s v="Kano"/>
    <x v="1"/>
    <s v="Laptop"/>
    <x v="2"/>
    <n v="7"/>
    <n v="3900"/>
    <n v="25"/>
    <n v="20475"/>
    <x v="2"/>
    <x v="0"/>
    <x v="3"/>
    <x v="0"/>
  </r>
  <r>
    <s v="ORD11594"/>
    <x v="505"/>
    <s v="Mary"/>
    <x v="2"/>
    <n v="48"/>
    <x v="4"/>
    <s v="Ibadan"/>
    <x v="1"/>
    <s v="Laptop"/>
    <x v="4"/>
    <n v="5"/>
    <n v="48900"/>
    <n v="10"/>
    <n v="220050"/>
    <x v="1"/>
    <x v="0"/>
    <x v="3"/>
    <x v="0"/>
  </r>
  <r>
    <s v="ORD11597"/>
    <x v="360"/>
    <s v="Grace"/>
    <x v="0"/>
    <n v="42"/>
    <x v="3"/>
    <s v="Kano"/>
    <x v="3"/>
    <s v="Chair"/>
    <x v="2"/>
    <n v="1"/>
    <n v="3400"/>
    <n v="20"/>
    <n v="2720"/>
    <x v="0"/>
    <x v="1"/>
    <x v="1"/>
    <x v="1"/>
  </r>
  <r>
    <s v="ORD11598"/>
    <x v="77"/>
    <s v="Grace"/>
    <x v="2"/>
    <n v="48"/>
    <x v="1"/>
    <s v="Lekki"/>
    <x v="3"/>
    <s v="Chair"/>
    <x v="5"/>
    <n v="5"/>
    <n v="32700"/>
    <n v="20"/>
    <n v="130800"/>
    <x v="2"/>
    <x v="4"/>
    <x v="2"/>
    <x v="0"/>
  </r>
  <r>
    <s v="ORD11599"/>
    <x v="506"/>
    <s v="Mary"/>
    <x v="0"/>
    <n v="20"/>
    <x v="5"/>
    <s v="Port Harcourt"/>
    <x v="2"/>
    <s v="Rice"/>
    <x v="4"/>
    <n v="1"/>
    <n v="19000"/>
    <n v="15"/>
    <n v="16150"/>
    <x v="0"/>
    <x v="2"/>
    <x v="2"/>
    <x v="0"/>
  </r>
  <r>
    <s v="ORD11600"/>
    <x v="1"/>
    <s v="Grace"/>
    <x v="1"/>
    <n v="29"/>
    <x v="3"/>
    <s v="Kano"/>
    <x v="0"/>
    <s v="Shoes"/>
    <x v="2"/>
    <n v="7"/>
    <n v="39500"/>
    <n v="0"/>
    <n v="276500"/>
    <x v="0"/>
    <x v="0"/>
    <x v="3"/>
    <x v="0"/>
  </r>
  <r>
    <s v="ORD11601"/>
    <x v="457"/>
    <s v="Grace"/>
    <x v="2"/>
    <n v="53"/>
    <x v="5"/>
    <s v="Port Harcourt"/>
    <x v="0"/>
    <s v="Shirt"/>
    <x v="0"/>
    <n v="2"/>
    <n v="34800"/>
    <n v="15"/>
    <n v="59160"/>
    <x v="2"/>
    <x v="0"/>
    <x v="2"/>
    <x v="0"/>
  </r>
  <r>
    <s v="ORD11602"/>
    <x v="507"/>
    <s v="John"/>
    <x v="1"/>
    <n v="39"/>
    <x v="2"/>
    <s v="Wuse"/>
    <x v="0"/>
    <s v="Shoes"/>
    <x v="1"/>
    <n v="9"/>
    <n v="40600"/>
    <n v="20"/>
    <n v="292320"/>
    <x v="0"/>
    <x v="1"/>
    <x v="0"/>
    <x v="0"/>
  </r>
  <r>
    <s v="ORD11603"/>
    <x v="268"/>
    <s v="David"/>
    <x v="0"/>
    <n v="21"/>
    <x v="4"/>
    <s v="Ogbomosho"/>
    <x v="3"/>
    <s v="Chair"/>
    <x v="5"/>
    <n v="10"/>
    <n v="36500"/>
    <n v="5"/>
    <n v="346750"/>
    <x v="1"/>
    <x v="4"/>
    <x v="2"/>
    <x v="0"/>
  </r>
  <r>
    <s v="ORD11604"/>
    <x v="299"/>
    <s v="Grace"/>
    <x v="2"/>
    <n v="26"/>
    <x v="1"/>
    <s v="Ikeja"/>
    <x v="3"/>
    <s v="Desk"/>
    <x v="3"/>
    <n v="5"/>
    <n v="15400"/>
    <n v="10"/>
    <n v="69300"/>
    <x v="1"/>
    <x v="0"/>
    <x v="3"/>
    <x v="0"/>
  </r>
  <r>
    <s v="ORD11605"/>
    <x v="44"/>
    <s v="Grace"/>
    <x v="0"/>
    <n v="31"/>
    <x v="3"/>
    <s v="Kano"/>
    <x v="2"/>
    <s v="Beans"/>
    <x v="1"/>
    <n v="3"/>
    <n v="2500"/>
    <n v="10"/>
    <n v="6750"/>
    <x v="1"/>
    <x v="0"/>
    <x v="1"/>
    <x v="1"/>
  </r>
  <r>
    <s v="ORD11606"/>
    <x v="117"/>
    <s v="Mary"/>
    <x v="0"/>
    <n v="54"/>
    <x v="0"/>
    <s v="Enugu"/>
    <x v="0"/>
    <s v="Shirt"/>
    <x v="4"/>
    <n v="2"/>
    <n v="12500"/>
    <n v="0"/>
    <n v="25000"/>
    <x v="2"/>
    <x v="0"/>
    <x v="1"/>
    <x v="1"/>
  </r>
  <r>
    <s v="ORD11608"/>
    <x v="143"/>
    <s v="Peter"/>
    <x v="1"/>
    <n v="25"/>
    <x v="2"/>
    <s v="Garki"/>
    <x v="0"/>
    <s v="Shirt"/>
    <x v="1"/>
    <n v="9"/>
    <n v="10500"/>
    <n v="25"/>
    <n v="70875"/>
    <x v="1"/>
    <x v="0"/>
    <x v="3"/>
    <x v="0"/>
  </r>
  <r>
    <s v="ORD11610"/>
    <x v="351"/>
    <s v="Chioma"/>
    <x v="0"/>
    <n v="43"/>
    <x v="2"/>
    <s v="Wuse"/>
    <x v="0"/>
    <s v="Shoes"/>
    <x v="3"/>
    <n v="1"/>
    <n v="43400"/>
    <n v="20"/>
    <n v="34720"/>
    <x v="0"/>
    <x v="0"/>
    <x v="0"/>
    <x v="0"/>
  </r>
  <r>
    <s v="ORD11611"/>
    <x v="192"/>
    <s v="Aisha"/>
    <x v="0"/>
    <n v="52"/>
    <x v="5"/>
    <s v="Obio"/>
    <x v="1"/>
    <s v="Phone"/>
    <x v="3"/>
    <n v="5"/>
    <n v="4500"/>
    <n v="15"/>
    <n v="19125"/>
    <x v="0"/>
    <x v="1"/>
    <x v="1"/>
    <x v="1"/>
  </r>
  <r>
    <s v="ORD11612"/>
    <x v="322"/>
    <s v="John"/>
    <x v="0"/>
    <n v="32"/>
    <x v="0"/>
    <s v="Enugu"/>
    <x v="3"/>
    <s v="Desk"/>
    <x v="4"/>
    <n v="10"/>
    <n v="15400"/>
    <n v="0"/>
    <n v="154000"/>
    <x v="1"/>
    <x v="0"/>
    <x v="0"/>
    <x v="0"/>
  </r>
  <r>
    <s v="ORD11615"/>
    <x v="345"/>
    <s v="David"/>
    <x v="2"/>
    <n v="44"/>
    <x v="4"/>
    <s v="Ibadan"/>
    <x v="1"/>
    <s v="Phone"/>
    <x v="0"/>
    <n v="3"/>
    <n v="32600"/>
    <n v="5"/>
    <n v="92910"/>
    <x v="2"/>
    <x v="0"/>
    <x v="3"/>
    <x v="0"/>
  </r>
  <r>
    <s v="ORD11616"/>
    <x v="441"/>
    <s v="David"/>
    <x v="2"/>
    <n v="64"/>
    <x v="3"/>
    <s v="Kano"/>
    <x v="0"/>
    <s v="Shoes"/>
    <x v="1"/>
    <n v="4"/>
    <n v="38700"/>
    <n v="0"/>
    <n v="154800"/>
    <x v="2"/>
    <x v="0"/>
    <x v="0"/>
    <x v="0"/>
  </r>
  <r>
    <s v="ORD11617"/>
    <x v="479"/>
    <s v="John"/>
    <x v="2"/>
    <n v="33"/>
    <x v="4"/>
    <s v="Ibadan"/>
    <x v="3"/>
    <s v="Desk"/>
    <x v="1"/>
    <n v="3"/>
    <n v="10900"/>
    <n v="5"/>
    <n v="31065"/>
    <x v="2"/>
    <x v="2"/>
    <x v="2"/>
    <x v="0"/>
  </r>
  <r>
    <s v="ORD11619"/>
    <x v="364"/>
    <s v="David"/>
    <x v="1"/>
    <n v="19"/>
    <x v="0"/>
    <s v="Enugu"/>
    <x v="3"/>
    <s v="Desk"/>
    <x v="3"/>
    <n v="9"/>
    <n v="33600"/>
    <n v="20"/>
    <n v="241920"/>
    <x v="2"/>
    <x v="0"/>
    <x v="3"/>
    <x v="0"/>
  </r>
  <r>
    <s v="ORD11620"/>
    <x v="219"/>
    <s v="Chioma"/>
    <x v="2"/>
    <n v="37"/>
    <x v="0"/>
    <s v="Enugu"/>
    <x v="2"/>
    <s v="Rice"/>
    <x v="1"/>
    <n v="5"/>
    <n v="17000"/>
    <n v="10"/>
    <n v="76500"/>
    <x v="0"/>
    <x v="4"/>
    <x v="0"/>
    <x v="0"/>
  </r>
  <r>
    <s v="ORD11621"/>
    <x v="9"/>
    <s v="Peter"/>
    <x v="0"/>
    <n v="42"/>
    <x v="3"/>
    <s v="Kano"/>
    <x v="1"/>
    <s v="Laptop"/>
    <x v="5"/>
    <n v="10"/>
    <n v="26400"/>
    <n v="25"/>
    <n v="198000"/>
    <x v="0"/>
    <x v="3"/>
    <x v="0"/>
    <x v="0"/>
  </r>
  <r>
    <s v="ORD11622"/>
    <x v="337"/>
    <s v="Daniel"/>
    <x v="2"/>
    <n v="26"/>
    <x v="2"/>
    <s v="Garki"/>
    <x v="0"/>
    <s v="Shirt"/>
    <x v="0"/>
    <n v="1"/>
    <n v="12800"/>
    <n v="25"/>
    <n v="9600"/>
    <x v="1"/>
    <x v="0"/>
    <x v="3"/>
    <x v="0"/>
  </r>
  <r>
    <s v="ORD11623"/>
    <x v="299"/>
    <s v="Aisha"/>
    <x v="2"/>
    <n v="32"/>
    <x v="4"/>
    <s v="Ogbomosho"/>
    <x v="2"/>
    <s v="Rice"/>
    <x v="5"/>
    <n v="9"/>
    <n v="47900"/>
    <n v="0"/>
    <n v="431100"/>
    <x v="1"/>
    <x v="4"/>
    <x v="3"/>
    <x v="0"/>
  </r>
  <r>
    <s v="ORD11624"/>
    <x v="471"/>
    <s v="Ruth"/>
    <x v="0"/>
    <n v="34"/>
    <x v="2"/>
    <s v="Garki"/>
    <x v="3"/>
    <s v="Desk"/>
    <x v="1"/>
    <n v="10"/>
    <n v="15400"/>
    <n v="15"/>
    <n v="130900"/>
    <x v="1"/>
    <x v="3"/>
    <x v="0"/>
    <x v="0"/>
  </r>
  <r>
    <s v="ORD11625"/>
    <x v="288"/>
    <s v="Mary"/>
    <x v="0"/>
    <n v="42"/>
    <x v="5"/>
    <s v="Port Harcourt"/>
    <x v="1"/>
    <s v="Laptop"/>
    <x v="3"/>
    <n v="7"/>
    <n v="8100"/>
    <n v="5"/>
    <n v="53865"/>
    <x v="1"/>
    <x v="3"/>
    <x v="2"/>
    <x v="0"/>
  </r>
  <r>
    <s v="ORD11626"/>
    <x v="258"/>
    <s v="Mary"/>
    <x v="2"/>
    <n v="18"/>
    <x v="3"/>
    <s v="Kano"/>
    <x v="0"/>
    <s v="Shirt"/>
    <x v="5"/>
    <n v="7"/>
    <n v="45500"/>
    <n v="5"/>
    <n v="302575"/>
    <x v="1"/>
    <x v="2"/>
    <x v="0"/>
    <x v="0"/>
  </r>
  <r>
    <s v="ORD11627"/>
    <x v="278"/>
    <s v="Grace"/>
    <x v="0"/>
    <n v="31"/>
    <x v="1"/>
    <s v="Lekki"/>
    <x v="0"/>
    <s v="Shirt"/>
    <x v="3"/>
    <n v="1"/>
    <n v="43300"/>
    <n v="5"/>
    <n v="41135"/>
    <x v="2"/>
    <x v="0"/>
    <x v="0"/>
    <x v="0"/>
  </r>
  <r>
    <s v="ORD11628"/>
    <x v="130"/>
    <s v="Mary"/>
    <x v="2"/>
    <n v="26"/>
    <x v="2"/>
    <s v="Garki"/>
    <x v="3"/>
    <s v="Desk"/>
    <x v="5"/>
    <n v="2"/>
    <n v="19500"/>
    <n v="25"/>
    <n v="29250"/>
    <x v="0"/>
    <x v="4"/>
    <x v="3"/>
    <x v="0"/>
  </r>
  <r>
    <s v="ORD11629"/>
    <x v="50"/>
    <s v="Emeka"/>
    <x v="0"/>
    <n v="37"/>
    <x v="1"/>
    <s v="Lekki"/>
    <x v="1"/>
    <s v="Phone"/>
    <x v="0"/>
    <n v="2"/>
    <n v="10600"/>
    <n v="15"/>
    <n v="18020"/>
    <x v="2"/>
    <x v="5"/>
    <x v="0"/>
    <x v="0"/>
  </r>
  <r>
    <s v="ORD11630"/>
    <x v="474"/>
    <s v="Emeka"/>
    <x v="0"/>
    <n v="19"/>
    <x v="4"/>
    <s v="Ogbomosho"/>
    <x v="3"/>
    <s v="Desk"/>
    <x v="5"/>
    <n v="8"/>
    <n v="48100"/>
    <n v="15"/>
    <n v="327080"/>
    <x v="0"/>
    <x v="0"/>
    <x v="2"/>
    <x v="0"/>
  </r>
  <r>
    <s v="ORD11632"/>
    <x v="352"/>
    <s v="Mary"/>
    <x v="2"/>
    <n v="44"/>
    <x v="4"/>
    <s v="Ibadan"/>
    <x v="3"/>
    <s v="Chair"/>
    <x v="5"/>
    <n v="2"/>
    <n v="20800"/>
    <n v="15"/>
    <n v="35360"/>
    <x v="1"/>
    <x v="2"/>
    <x v="3"/>
    <x v="0"/>
  </r>
  <r>
    <s v="ORD11633"/>
    <x v="186"/>
    <s v="Daniel"/>
    <x v="1"/>
    <n v="31"/>
    <x v="0"/>
    <s v="Enugu"/>
    <x v="1"/>
    <s v="Laptop"/>
    <x v="0"/>
    <n v="2"/>
    <n v="11500"/>
    <n v="10"/>
    <n v="20700"/>
    <x v="2"/>
    <x v="3"/>
    <x v="0"/>
    <x v="0"/>
  </r>
  <r>
    <s v="ORD11634"/>
    <x v="102"/>
    <s v="Daniel"/>
    <x v="2"/>
    <n v="28"/>
    <x v="5"/>
    <s v="Obio"/>
    <x v="2"/>
    <s v="Beans"/>
    <x v="2"/>
    <n v="1"/>
    <n v="48400"/>
    <n v="20"/>
    <n v="38720"/>
    <x v="1"/>
    <x v="0"/>
    <x v="3"/>
    <x v="0"/>
  </r>
  <r>
    <s v="ORD11636"/>
    <x v="100"/>
    <s v="John"/>
    <x v="0"/>
    <n v="31"/>
    <x v="3"/>
    <s v="Kano"/>
    <x v="1"/>
    <s v="Laptop"/>
    <x v="2"/>
    <n v="6"/>
    <n v="39800"/>
    <n v="20"/>
    <n v="191040"/>
    <x v="1"/>
    <x v="3"/>
    <x v="3"/>
    <x v="0"/>
  </r>
  <r>
    <s v="ORD11637"/>
    <x v="508"/>
    <s v="Grace"/>
    <x v="0"/>
    <n v="23"/>
    <x v="3"/>
    <s v="Kano"/>
    <x v="3"/>
    <s v="Desk"/>
    <x v="5"/>
    <n v="9"/>
    <n v="43500"/>
    <n v="5"/>
    <n v="371925"/>
    <x v="2"/>
    <x v="0"/>
    <x v="1"/>
    <x v="1"/>
  </r>
  <r>
    <s v="ORD11638"/>
    <x v="60"/>
    <s v="Chioma"/>
    <x v="2"/>
    <n v="47"/>
    <x v="2"/>
    <s v="Wuse"/>
    <x v="3"/>
    <s v="Chair"/>
    <x v="2"/>
    <n v="1"/>
    <n v="36400"/>
    <n v="15"/>
    <n v="30940"/>
    <x v="3"/>
    <x v="5"/>
    <x v="3"/>
    <x v="0"/>
  </r>
  <r>
    <s v="ORD11641"/>
    <x v="1"/>
    <s v="Aisha"/>
    <x v="2"/>
    <n v="20"/>
    <x v="0"/>
    <s v="Enugu"/>
    <x v="3"/>
    <s v="Chair"/>
    <x v="3"/>
    <n v="6"/>
    <n v="25500"/>
    <n v="25"/>
    <n v="114750"/>
    <x v="1"/>
    <x v="1"/>
    <x v="0"/>
    <x v="0"/>
  </r>
  <r>
    <s v="ORD11642"/>
    <x v="287"/>
    <s v="Grace"/>
    <x v="0"/>
    <n v="29"/>
    <x v="3"/>
    <s v="Kano"/>
    <x v="3"/>
    <s v="Desk"/>
    <x v="0"/>
    <n v="5"/>
    <n v="45700"/>
    <n v="10"/>
    <n v="205650"/>
    <x v="1"/>
    <x v="0"/>
    <x v="3"/>
    <x v="0"/>
  </r>
  <r>
    <s v="ORD11643"/>
    <x v="218"/>
    <s v="Chioma"/>
    <x v="2"/>
    <n v="65"/>
    <x v="5"/>
    <s v="Port Harcourt"/>
    <x v="0"/>
    <s v="Shoes"/>
    <x v="2"/>
    <n v="2"/>
    <n v="19800"/>
    <n v="0"/>
    <n v="39600"/>
    <x v="1"/>
    <x v="2"/>
    <x v="1"/>
    <x v="1"/>
  </r>
  <r>
    <s v="ORD11644"/>
    <x v="384"/>
    <s v="Mary"/>
    <x v="2"/>
    <n v="39"/>
    <x v="5"/>
    <s v="Obio"/>
    <x v="3"/>
    <s v="Desk"/>
    <x v="5"/>
    <n v="7"/>
    <n v="33500"/>
    <n v="5"/>
    <n v="222775"/>
    <x v="0"/>
    <x v="0"/>
    <x v="2"/>
    <x v="0"/>
  </r>
  <r>
    <s v="ORD11645"/>
    <x v="82"/>
    <s v="John"/>
    <x v="2"/>
    <n v="48"/>
    <x v="0"/>
    <s v="Enugu"/>
    <x v="0"/>
    <s v="Shoes"/>
    <x v="5"/>
    <n v="1"/>
    <n v="34900"/>
    <n v="10"/>
    <n v="31410"/>
    <x v="0"/>
    <x v="0"/>
    <x v="1"/>
    <x v="1"/>
  </r>
  <r>
    <s v="ORD11647"/>
    <x v="322"/>
    <s v="Peter"/>
    <x v="1"/>
    <n v="56"/>
    <x v="1"/>
    <s v="Lekki"/>
    <x v="0"/>
    <s v="Shirt"/>
    <x v="3"/>
    <n v="2"/>
    <n v="31100"/>
    <n v="5"/>
    <n v="59090"/>
    <x v="1"/>
    <x v="2"/>
    <x v="1"/>
    <x v="1"/>
  </r>
  <r>
    <s v="ORD11650"/>
    <x v="509"/>
    <s v="Chioma"/>
    <x v="2"/>
    <n v="65"/>
    <x v="2"/>
    <s v="Garki"/>
    <x v="3"/>
    <s v="Chair"/>
    <x v="0"/>
    <n v="7"/>
    <n v="16300"/>
    <n v="25"/>
    <n v="85575"/>
    <x v="1"/>
    <x v="4"/>
    <x v="2"/>
    <x v="0"/>
  </r>
  <r>
    <s v="ORD11652"/>
    <x v="340"/>
    <s v="David"/>
    <x v="0"/>
    <n v="64"/>
    <x v="5"/>
    <s v="Port Harcourt"/>
    <x v="2"/>
    <s v="Rice"/>
    <x v="3"/>
    <n v="2"/>
    <n v="9200"/>
    <n v="10"/>
    <n v="16560"/>
    <x v="0"/>
    <x v="1"/>
    <x v="3"/>
    <x v="0"/>
  </r>
  <r>
    <s v="ORD11653"/>
    <x v="300"/>
    <s v="Ruth"/>
    <x v="1"/>
    <n v="32"/>
    <x v="4"/>
    <s v="Ogbomosho"/>
    <x v="0"/>
    <s v="Shoes"/>
    <x v="1"/>
    <n v="4"/>
    <n v="41300"/>
    <n v="10"/>
    <n v="148680"/>
    <x v="1"/>
    <x v="2"/>
    <x v="3"/>
    <x v="0"/>
  </r>
  <r>
    <s v="ORD11654"/>
    <x v="352"/>
    <s v="David"/>
    <x v="1"/>
    <n v="24"/>
    <x v="1"/>
    <s v="Lekki"/>
    <x v="3"/>
    <s v="Chair"/>
    <x v="5"/>
    <n v="3"/>
    <n v="12100"/>
    <n v="15"/>
    <n v="30855"/>
    <x v="1"/>
    <x v="2"/>
    <x v="1"/>
    <x v="1"/>
  </r>
  <r>
    <s v="ORD11655"/>
    <x v="37"/>
    <s v="Peter"/>
    <x v="2"/>
    <n v="33"/>
    <x v="1"/>
    <s v="Lekki"/>
    <x v="0"/>
    <s v="Shoes"/>
    <x v="2"/>
    <n v="3"/>
    <n v="8100"/>
    <n v="15"/>
    <n v="20655"/>
    <x v="0"/>
    <x v="3"/>
    <x v="1"/>
    <x v="1"/>
  </r>
  <r>
    <s v="ORD11656"/>
    <x v="43"/>
    <s v="Aisha"/>
    <x v="0"/>
    <n v="32"/>
    <x v="0"/>
    <s v="Enugu"/>
    <x v="0"/>
    <s v="Shirt"/>
    <x v="1"/>
    <n v="9"/>
    <n v="42200"/>
    <n v="0"/>
    <n v="379800"/>
    <x v="1"/>
    <x v="0"/>
    <x v="1"/>
    <x v="1"/>
  </r>
  <r>
    <s v="ORD11657"/>
    <x v="143"/>
    <s v="Chioma"/>
    <x v="2"/>
    <n v="54"/>
    <x v="2"/>
    <s v="Garki"/>
    <x v="3"/>
    <s v="Chair"/>
    <x v="2"/>
    <n v="10"/>
    <n v="35200"/>
    <n v="20"/>
    <n v="281600"/>
    <x v="1"/>
    <x v="2"/>
    <x v="3"/>
    <x v="0"/>
  </r>
  <r>
    <s v="ORD11658"/>
    <x v="152"/>
    <s v="David"/>
    <x v="0"/>
    <n v="58"/>
    <x v="3"/>
    <s v="Kano"/>
    <x v="0"/>
    <s v="Shirt"/>
    <x v="0"/>
    <n v="9"/>
    <n v="41300"/>
    <n v="5"/>
    <n v="353115"/>
    <x v="1"/>
    <x v="0"/>
    <x v="2"/>
    <x v="0"/>
  </r>
  <r>
    <s v="ORD11659"/>
    <x v="42"/>
    <s v="Ruth"/>
    <x v="0"/>
    <n v="37"/>
    <x v="0"/>
    <s v="Enugu"/>
    <x v="0"/>
    <s v="Shirt"/>
    <x v="0"/>
    <n v="9"/>
    <n v="46700"/>
    <n v="10"/>
    <n v="378270"/>
    <x v="1"/>
    <x v="5"/>
    <x v="1"/>
    <x v="1"/>
  </r>
  <r>
    <s v="ORD11661"/>
    <x v="18"/>
    <s v="Chioma"/>
    <x v="0"/>
    <n v="18"/>
    <x v="2"/>
    <s v="Wuse"/>
    <x v="1"/>
    <s v="Phone"/>
    <x v="4"/>
    <n v="9"/>
    <n v="31900"/>
    <n v="5"/>
    <n v="272745"/>
    <x v="2"/>
    <x v="4"/>
    <x v="2"/>
    <x v="0"/>
  </r>
  <r>
    <s v="ORD11663"/>
    <x v="263"/>
    <s v="Ruth"/>
    <x v="1"/>
    <n v="62"/>
    <x v="1"/>
    <s v="Ikeja"/>
    <x v="3"/>
    <s v="Desk"/>
    <x v="2"/>
    <n v="6"/>
    <n v="15000"/>
    <n v="10"/>
    <n v="81000"/>
    <x v="0"/>
    <x v="3"/>
    <x v="0"/>
    <x v="0"/>
  </r>
  <r>
    <s v="ORD11664"/>
    <x v="510"/>
    <s v="Daniel"/>
    <x v="0"/>
    <n v="55"/>
    <x v="4"/>
    <s v="Ibadan"/>
    <x v="3"/>
    <s v="Desk"/>
    <x v="3"/>
    <n v="1"/>
    <n v="18600"/>
    <n v="10"/>
    <n v="16740"/>
    <x v="1"/>
    <x v="3"/>
    <x v="1"/>
    <x v="1"/>
  </r>
  <r>
    <s v="ORD11665"/>
    <x v="355"/>
    <s v="Emeka"/>
    <x v="0"/>
    <n v="38"/>
    <x v="2"/>
    <s v="Garki"/>
    <x v="2"/>
    <s v="Rice"/>
    <x v="4"/>
    <n v="7"/>
    <n v="30600"/>
    <n v="15"/>
    <n v="182070"/>
    <x v="0"/>
    <x v="0"/>
    <x v="1"/>
    <x v="1"/>
  </r>
  <r>
    <s v="ORD11667"/>
    <x v="222"/>
    <s v="Peter"/>
    <x v="1"/>
    <n v="55"/>
    <x v="1"/>
    <s v="Ikeja"/>
    <x v="0"/>
    <s v="Shirt"/>
    <x v="1"/>
    <n v="9"/>
    <n v="32500"/>
    <n v="5"/>
    <n v="277875"/>
    <x v="1"/>
    <x v="3"/>
    <x v="0"/>
    <x v="0"/>
  </r>
  <r>
    <s v="ORD11668"/>
    <x v="319"/>
    <s v="John"/>
    <x v="2"/>
    <n v="36"/>
    <x v="3"/>
    <s v="Kano"/>
    <x v="0"/>
    <s v="Shirt"/>
    <x v="1"/>
    <n v="7"/>
    <n v="40000"/>
    <n v="25"/>
    <n v="210000"/>
    <x v="1"/>
    <x v="2"/>
    <x v="1"/>
    <x v="1"/>
  </r>
  <r>
    <s v="ORD11669"/>
    <x v="339"/>
    <s v="Chioma"/>
    <x v="0"/>
    <n v="50"/>
    <x v="1"/>
    <s v="Ikeja"/>
    <x v="3"/>
    <s v="Desk"/>
    <x v="3"/>
    <n v="2"/>
    <n v="41100"/>
    <n v="10"/>
    <n v="73980"/>
    <x v="2"/>
    <x v="2"/>
    <x v="3"/>
    <x v="0"/>
  </r>
  <r>
    <s v="ORD11670"/>
    <x v="67"/>
    <s v="Emeka"/>
    <x v="2"/>
    <n v="46"/>
    <x v="2"/>
    <s v="Wuse"/>
    <x v="1"/>
    <s v="Phone"/>
    <x v="4"/>
    <n v="8"/>
    <n v="13800"/>
    <n v="0"/>
    <n v="110400"/>
    <x v="2"/>
    <x v="0"/>
    <x v="0"/>
    <x v="0"/>
  </r>
  <r>
    <s v="ORD11672"/>
    <x v="429"/>
    <s v="David"/>
    <x v="0"/>
    <n v="41"/>
    <x v="5"/>
    <s v="Port Harcourt"/>
    <x v="3"/>
    <s v="Desk"/>
    <x v="0"/>
    <n v="7"/>
    <n v="42900"/>
    <n v="15"/>
    <n v="255255"/>
    <x v="0"/>
    <x v="2"/>
    <x v="0"/>
    <x v="0"/>
  </r>
  <r>
    <s v="ORD11673"/>
    <x v="322"/>
    <s v="John"/>
    <x v="0"/>
    <n v="28"/>
    <x v="1"/>
    <s v="Lekki"/>
    <x v="0"/>
    <s v="Shirt"/>
    <x v="0"/>
    <n v="2"/>
    <n v="19000"/>
    <n v="20"/>
    <n v="30400"/>
    <x v="0"/>
    <x v="0"/>
    <x v="0"/>
    <x v="0"/>
  </r>
  <r>
    <s v="ORD11674"/>
    <x v="331"/>
    <s v="Mary"/>
    <x v="2"/>
    <n v="53"/>
    <x v="2"/>
    <s v="Garki"/>
    <x v="3"/>
    <s v="Desk"/>
    <x v="4"/>
    <n v="9"/>
    <n v="6600"/>
    <n v="5"/>
    <n v="56430"/>
    <x v="0"/>
    <x v="0"/>
    <x v="1"/>
    <x v="1"/>
  </r>
  <r>
    <s v="ORD11675"/>
    <x v="450"/>
    <s v="John"/>
    <x v="2"/>
    <n v="53"/>
    <x v="4"/>
    <s v="Ogbomosho"/>
    <x v="1"/>
    <s v="Phone"/>
    <x v="3"/>
    <n v="8"/>
    <n v="12800"/>
    <n v="20"/>
    <n v="81920"/>
    <x v="0"/>
    <x v="0"/>
    <x v="2"/>
    <x v="0"/>
  </r>
  <r>
    <s v="ORD11676"/>
    <x v="65"/>
    <s v="Peter"/>
    <x v="1"/>
    <n v="28"/>
    <x v="5"/>
    <s v="Obio"/>
    <x v="1"/>
    <s v="Laptop"/>
    <x v="3"/>
    <n v="6"/>
    <n v="42800"/>
    <n v="0"/>
    <n v="256800"/>
    <x v="0"/>
    <x v="1"/>
    <x v="1"/>
    <x v="1"/>
  </r>
  <r>
    <s v="ORD11678"/>
    <x v="511"/>
    <s v="Aisha"/>
    <x v="0"/>
    <n v="20"/>
    <x v="4"/>
    <s v="Ogbomosho"/>
    <x v="2"/>
    <s v="Beans"/>
    <x v="3"/>
    <n v="4"/>
    <n v="2700"/>
    <n v="15"/>
    <n v="9180"/>
    <x v="0"/>
    <x v="0"/>
    <x v="2"/>
    <x v="0"/>
  </r>
  <r>
    <s v="ORD11679"/>
    <x v="512"/>
    <s v="Peter"/>
    <x v="0"/>
    <n v="38"/>
    <x v="0"/>
    <s v="Enugu"/>
    <x v="2"/>
    <s v="Beans"/>
    <x v="2"/>
    <n v="4"/>
    <n v="34300"/>
    <n v="0"/>
    <n v="137200"/>
    <x v="1"/>
    <x v="0"/>
    <x v="2"/>
    <x v="0"/>
  </r>
  <r>
    <s v="ORD11680"/>
    <x v="142"/>
    <s v="Ruth"/>
    <x v="0"/>
    <n v="56"/>
    <x v="0"/>
    <s v="Enugu"/>
    <x v="1"/>
    <s v="Laptop"/>
    <x v="1"/>
    <n v="9"/>
    <n v="22900"/>
    <n v="20"/>
    <n v="164880"/>
    <x v="0"/>
    <x v="2"/>
    <x v="2"/>
    <x v="0"/>
  </r>
  <r>
    <s v="ORD11681"/>
    <x v="148"/>
    <s v="Mary"/>
    <x v="0"/>
    <n v="59"/>
    <x v="2"/>
    <s v="Wuse"/>
    <x v="1"/>
    <s v="Phone"/>
    <x v="1"/>
    <n v="9"/>
    <n v="13700"/>
    <n v="25"/>
    <n v="92475"/>
    <x v="0"/>
    <x v="0"/>
    <x v="1"/>
    <x v="1"/>
  </r>
  <r>
    <s v="ORD11682"/>
    <x v="366"/>
    <s v="Chioma"/>
    <x v="0"/>
    <n v="37"/>
    <x v="0"/>
    <s v="Enugu"/>
    <x v="1"/>
    <s v="Phone"/>
    <x v="1"/>
    <n v="3"/>
    <n v="28600"/>
    <n v="0"/>
    <n v="85800"/>
    <x v="2"/>
    <x v="3"/>
    <x v="1"/>
    <x v="1"/>
  </r>
  <r>
    <s v="ORD11683"/>
    <x v="513"/>
    <s v="Emeka"/>
    <x v="0"/>
    <n v="31"/>
    <x v="4"/>
    <s v="Ibadan"/>
    <x v="2"/>
    <s v="Rice"/>
    <x v="3"/>
    <n v="9"/>
    <n v="35100"/>
    <n v="10"/>
    <n v="284310"/>
    <x v="2"/>
    <x v="2"/>
    <x v="2"/>
    <x v="0"/>
  </r>
  <r>
    <s v="ORD11684"/>
    <x v="514"/>
    <s v="David"/>
    <x v="2"/>
    <n v="46"/>
    <x v="4"/>
    <s v="Ibadan"/>
    <x v="2"/>
    <s v="Rice"/>
    <x v="3"/>
    <n v="1"/>
    <n v="49600"/>
    <n v="0"/>
    <n v="49600"/>
    <x v="1"/>
    <x v="0"/>
    <x v="2"/>
    <x v="0"/>
  </r>
  <r>
    <s v="ORD11690"/>
    <x v="393"/>
    <s v="Peter"/>
    <x v="0"/>
    <n v="59"/>
    <x v="3"/>
    <s v="Kano"/>
    <x v="3"/>
    <s v="Chair"/>
    <x v="0"/>
    <n v="5"/>
    <n v="35700"/>
    <n v="15"/>
    <n v="151725"/>
    <x v="2"/>
    <x v="0"/>
    <x v="3"/>
    <x v="0"/>
  </r>
  <r>
    <s v="ORD11692"/>
    <x v="395"/>
    <s v="Grace"/>
    <x v="2"/>
    <n v="48"/>
    <x v="3"/>
    <s v="Kano"/>
    <x v="1"/>
    <s v="Laptop"/>
    <x v="1"/>
    <n v="8"/>
    <n v="46600"/>
    <n v="5"/>
    <n v="354160"/>
    <x v="1"/>
    <x v="5"/>
    <x v="3"/>
    <x v="0"/>
  </r>
  <r>
    <s v="ORD11693"/>
    <x v="259"/>
    <s v="John"/>
    <x v="2"/>
    <n v="45"/>
    <x v="2"/>
    <s v="Wuse"/>
    <x v="3"/>
    <s v="Chair"/>
    <x v="3"/>
    <n v="1"/>
    <n v="41300"/>
    <n v="5"/>
    <n v="39235"/>
    <x v="1"/>
    <x v="2"/>
    <x v="2"/>
    <x v="0"/>
  </r>
  <r>
    <s v="ORD11695"/>
    <x v="362"/>
    <s v="Chioma"/>
    <x v="1"/>
    <n v="63"/>
    <x v="5"/>
    <s v="Port Harcourt"/>
    <x v="1"/>
    <s v="Phone"/>
    <x v="5"/>
    <n v="1"/>
    <n v="24600"/>
    <n v="0"/>
    <n v="24600"/>
    <x v="1"/>
    <x v="5"/>
    <x v="2"/>
    <x v="0"/>
  </r>
  <r>
    <s v="ORD11696"/>
    <x v="207"/>
    <s v="Grace"/>
    <x v="0"/>
    <n v="27"/>
    <x v="2"/>
    <s v="Wuse"/>
    <x v="1"/>
    <s v="Laptop"/>
    <x v="3"/>
    <n v="1"/>
    <n v="17600"/>
    <n v="15"/>
    <n v="14960"/>
    <x v="1"/>
    <x v="2"/>
    <x v="2"/>
    <x v="0"/>
  </r>
  <r>
    <s v="ORD11698"/>
    <x v="164"/>
    <s v="David"/>
    <x v="0"/>
    <n v="40"/>
    <x v="3"/>
    <s v="Kano"/>
    <x v="2"/>
    <s v="Beans"/>
    <x v="4"/>
    <n v="3"/>
    <n v="13700"/>
    <n v="5"/>
    <n v="39045"/>
    <x v="0"/>
    <x v="1"/>
    <x v="1"/>
    <x v="1"/>
  </r>
  <r>
    <s v="ORD11700"/>
    <x v="106"/>
    <s v="Emeka"/>
    <x v="0"/>
    <n v="37"/>
    <x v="4"/>
    <s v="Ogbomosho"/>
    <x v="2"/>
    <s v="Beans"/>
    <x v="1"/>
    <n v="5"/>
    <n v="40100"/>
    <n v="20"/>
    <n v="160400"/>
    <x v="1"/>
    <x v="2"/>
    <x v="1"/>
    <x v="1"/>
  </r>
  <r>
    <s v="ORD11702"/>
    <x v="180"/>
    <s v="Emeka"/>
    <x v="0"/>
    <n v="24"/>
    <x v="0"/>
    <s v="Enugu"/>
    <x v="3"/>
    <s v="Desk"/>
    <x v="5"/>
    <n v="4"/>
    <n v="41600"/>
    <n v="10"/>
    <n v="149760"/>
    <x v="2"/>
    <x v="0"/>
    <x v="0"/>
    <x v="0"/>
  </r>
  <r>
    <s v="ORD11703"/>
    <x v="493"/>
    <s v="Emeka"/>
    <x v="2"/>
    <n v="54"/>
    <x v="4"/>
    <s v="Ogbomosho"/>
    <x v="1"/>
    <s v="Laptop"/>
    <x v="1"/>
    <n v="8"/>
    <n v="28700"/>
    <n v="0"/>
    <n v="229600"/>
    <x v="1"/>
    <x v="0"/>
    <x v="2"/>
    <x v="0"/>
  </r>
  <r>
    <s v="ORD11704"/>
    <x v="428"/>
    <s v="Peter"/>
    <x v="0"/>
    <n v="59"/>
    <x v="5"/>
    <s v="Port Harcourt"/>
    <x v="2"/>
    <s v="Rice"/>
    <x v="0"/>
    <n v="7"/>
    <n v="5900"/>
    <n v="10"/>
    <n v="37170"/>
    <x v="0"/>
    <x v="4"/>
    <x v="0"/>
    <x v="0"/>
  </r>
  <r>
    <s v="ORD11705"/>
    <x v="257"/>
    <s v="Chioma"/>
    <x v="1"/>
    <n v="48"/>
    <x v="4"/>
    <s v="Ogbomosho"/>
    <x v="1"/>
    <s v="Laptop"/>
    <x v="4"/>
    <n v="8"/>
    <n v="45800"/>
    <n v="0"/>
    <n v="366400"/>
    <x v="0"/>
    <x v="3"/>
    <x v="3"/>
    <x v="0"/>
  </r>
  <r>
    <s v="ORD11708"/>
    <x v="440"/>
    <s v="David"/>
    <x v="0"/>
    <n v="31"/>
    <x v="1"/>
    <s v="Ikeja"/>
    <x v="0"/>
    <s v="Shoes"/>
    <x v="4"/>
    <n v="10"/>
    <n v="18400"/>
    <n v="20"/>
    <n v="147200"/>
    <x v="1"/>
    <x v="1"/>
    <x v="0"/>
    <x v="0"/>
  </r>
  <r>
    <s v="ORD11709"/>
    <x v="284"/>
    <s v="Peter"/>
    <x v="2"/>
    <n v="43"/>
    <x v="3"/>
    <s v="Kano"/>
    <x v="1"/>
    <s v="Phone"/>
    <x v="4"/>
    <n v="3"/>
    <n v="5500"/>
    <n v="25"/>
    <n v="12375"/>
    <x v="2"/>
    <x v="3"/>
    <x v="1"/>
    <x v="1"/>
  </r>
  <r>
    <s v="ORD11710"/>
    <x v="515"/>
    <s v="Grace"/>
    <x v="0"/>
    <n v="58"/>
    <x v="2"/>
    <s v="Garki"/>
    <x v="3"/>
    <s v="Chair"/>
    <x v="4"/>
    <n v="6"/>
    <n v="42700"/>
    <n v="20"/>
    <n v="204960"/>
    <x v="1"/>
    <x v="3"/>
    <x v="2"/>
    <x v="0"/>
  </r>
  <r>
    <s v="ORD11712"/>
    <x v="164"/>
    <s v="Mary"/>
    <x v="2"/>
    <n v="20"/>
    <x v="4"/>
    <s v="Ogbomosho"/>
    <x v="0"/>
    <s v="Shirt"/>
    <x v="1"/>
    <n v="2"/>
    <n v="7200"/>
    <n v="25"/>
    <n v="10800"/>
    <x v="1"/>
    <x v="0"/>
    <x v="0"/>
    <x v="0"/>
  </r>
  <r>
    <s v="ORD11713"/>
    <x v="179"/>
    <s v="Aisha"/>
    <x v="0"/>
    <n v="46"/>
    <x v="2"/>
    <s v="Garki"/>
    <x v="2"/>
    <s v="Beans"/>
    <x v="3"/>
    <n v="10"/>
    <n v="28400"/>
    <n v="15"/>
    <n v="241400"/>
    <x v="1"/>
    <x v="1"/>
    <x v="3"/>
    <x v="0"/>
  </r>
  <r>
    <s v="ORD11714"/>
    <x v="353"/>
    <s v="Aisha"/>
    <x v="0"/>
    <n v="55"/>
    <x v="0"/>
    <s v="Enugu"/>
    <x v="0"/>
    <s v="Shirt"/>
    <x v="1"/>
    <n v="1"/>
    <n v="18200"/>
    <n v="15"/>
    <n v="15470"/>
    <x v="1"/>
    <x v="4"/>
    <x v="3"/>
    <x v="0"/>
  </r>
  <r>
    <s v="ORD11715"/>
    <x v="491"/>
    <s v="John"/>
    <x v="2"/>
    <n v="36"/>
    <x v="3"/>
    <s v="Kano"/>
    <x v="2"/>
    <s v="Rice"/>
    <x v="1"/>
    <n v="1"/>
    <n v="30100"/>
    <n v="5"/>
    <n v="28595"/>
    <x v="1"/>
    <x v="2"/>
    <x v="2"/>
    <x v="0"/>
  </r>
  <r>
    <s v="ORD11718"/>
    <x v="337"/>
    <s v="Grace"/>
    <x v="2"/>
    <n v="58"/>
    <x v="4"/>
    <s v="Ogbomosho"/>
    <x v="2"/>
    <s v="Beans"/>
    <x v="2"/>
    <n v="4"/>
    <n v="41200"/>
    <n v="25"/>
    <n v="123600"/>
    <x v="3"/>
    <x v="2"/>
    <x v="1"/>
    <x v="1"/>
  </r>
  <r>
    <s v="ORD11719"/>
    <x v="200"/>
    <s v="John"/>
    <x v="0"/>
    <n v="39"/>
    <x v="5"/>
    <s v="Obio"/>
    <x v="2"/>
    <s v="Rice"/>
    <x v="3"/>
    <n v="5"/>
    <n v="42800"/>
    <n v="5"/>
    <n v="203300"/>
    <x v="0"/>
    <x v="5"/>
    <x v="0"/>
    <x v="0"/>
  </r>
  <r>
    <s v="ORD11720"/>
    <x v="504"/>
    <s v="John"/>
    <x v="1"/>
    <n v="34"/>
    <x v="0"/>
    <s v="Enugu"/>
    <x v="0"/>
    <s v="Shirt"/>
    <x v="4"/>
    <n v="4"/>
    <n v="7900"/>
    <n v="0"/>
    <n v="31600"/>
    <x v="2"/>
    <x v="0"/>
    <x v="2"/>
    <x v="0"/>
  </r>
  <r>
    <s v="ORD11721"/>
    <x v="330"/>
    <s v="Ruth"/>
    <x v="1"/>
    <n v="35"/>
    <x v="0"/>
    <s v="Enugu"/>
    <x v="3"/>
    <s v="Desk"/>
    <x v="5"/>
    <n v="7"/>
    <n v="41200"/>
    <n v="20"/>
    <n v="230720"/>
    <x v="2"/>
    <x v="1"/>
    <x v="0"/>
    <x v="0"/>
  </r>
  <r>
    <s v="ORD11722"/>
    <x v="285"/>
    <s v="Peter"/>
    <x v="0"/>
    <n v="19"/>
    <x v="1"/>
    <s v="Ikeja"/>
    <x v="1"/>
    <s v="Phone"/>
    <x v="5"/>
    <n v="1"/>
    <n v="20500"/>
    <n v="25"/>
    <n v="15375"/>
    <x v="0"/>
    <x v="0"/>
    <x v="3"/>
    <x v="0"/>
  </r>
  <r>
    <s v="ORD11723"/>
    <x v="426"/>
    <s v="Grace"/>
    <x v="1"/>
    <n v="26"/>
    <x v="2"/>
    <s v="Wuse"/>
    <x v="1"/>
    <s v="Laptop"/>
    <x v="3"/>
    <n v="5"/>
    <n v="30400"/>
    <n v="5"/>
    <n v="144400"/>
    <x v="0"/>
    <x v="1"/>
    <x v="3"/>
    <x v="0"/>
  </r>
  <r>
    <s v="ORD11724"/>
    <x v="183"/>
    <s v="Peter"/>
    <x v="2"/>
    <n v="58"/>
    <x v="2"/>
    <s v="Garki"/>
    <x v="1"/>
    <s v="Laptop"/>
    <x v="5"/>
    <n v="8"/>
    <n v="18300"/>
    <n v="20"/>
    <n v="117120"/>
    <x v="2"/>
    <x v="0"/>
    <x v="3"/>
    <x v="0"/>
  </r>
  <r>
    <s v="ORD11726"/>
    <x v="516"/>
    <s v="David"/>
    <x v="2"/>
    <n v="24"/>
    <x v="0"/>
    <s v="Enugu"/>
    <x v="3"/>
    <s v="Chair"/>
    <x v="5"/>
    <n v="4"/>
    <n v="33800"/>
    <n v="20"/>
    <n v="108160"/>
    <x v="0"/>
    <x v="4"/>
    <x v="3"/>
    <x v="0"/>
  </r>
  <r>
    <s v="ORD11728"/>
    <x v="517"/>
    <s v="Daniel"/>
    <x v="2"/>
    <n v="31"/>
    <x v="1"/>
    <s v="Ikeja"/>
    <x v="1"/>
    <s v="Phone"/>
    <x v="0"/>
    <n v="10"/>
    <n v="8300"/>
    <n v="15"/>
    <n v="70550"/>
    <x v="2"/>
    <x v="4"/>
    <x v="2"/>
    <x v="0"/>
  </r>
  <r>
    <s v="ORD11729"/>
    <x v="352"/>
    <s v="Chioma"/>
    <x v="2"/>
    <n v="61"/>
    <x v="5"/>
    <s v="Port Harcourt"/>
    <x v="3"/>
    <s v="Chair"/>
    <x v="1"/>
    <n v="6"/>
    <n v="45000"/>
    <n v="10"/>
    <n v="243000"/>
    <x v="0"/>
    <x v="3"/>
    <x v="3"/>
    <x v="0"/>
  </r>
  <r>
    <s v="ORD11730"/>
    <x v="475"/>
    <s v="Ruth"/>
    <x v="0"/>
    <n v="65"/>
    <x v="1"/>
    <s v="Lekki"/>
    <x v="3"/>
    <s v="Chair"/>
    <x v="4"/>
    <n v="10"/>
    <n v="30700"/>
    <n v="15"/>
    <n v="260950"/>
    <x v="2"/>
    <x v="3"/>
    <x v="3"/>
    <x v="0"/>
  </r>
  <r>
    <s v="ORD11731"/>
    <x v="3"/>
    <s v="Daniel"/>
    <x v="0"/>
    <n v="19"/>
    <x v="2"/>
    <s v="Wuse"/>
    <x v="3"/>
    <s v="Chair"/>
    <x v="3"/>
    <n v="9"/>
    <n v="36900"/>
    <n v="20"/>
    <n v="265680"/>
    <x v="0"/>
    <x v="3"/>
    <x v="2"/>
    <x v="0"/>
  </r>
  <r>
    <s v="ORD11733"/>
    <x v="75"/>
    <s v="Aisha"/>
    <x v="0"/>
    <n v="43"/>
    <x v="5"/>
    <s v="Obio"/>
    <x v="2"/>
    <s v="Rice"/>
    <x v="0"/>
    <n v="7"/>
    <n v="35800"/>
    <n v="10"/>
    <n v="225540"/>
    <x v="0"/>
    <x v="1"/>
    <x v="2"/>
    <x v="0"/>
  </r>
  <r>
    <s v="ORD11734"/>
    <x v="444"/>
    <s v="Aisha"/>
    <x v="0"/>
    <n v="36"/>
    <x v="1"/>
    <s v="Lekki"/>
    <x v="1"/>
    <s v="Laptop"/>
    <x v="1"/>
    <n v="1"/>
    <n v="46200"/>
    <n v="0"/>
    <n v="46200"/>
    <x v="1"/>
    <x v="3"/>
    <x v="1"/>
    <x v="1"/>
  </r>
  <r>
    <s v="ORD11735"/>
    <x v="324"/>
    <s v="Grace"/>
    <x v="0"/>
    <n v="54"/>
    <x v="0"/>
    <s v="Enugu"/>
    <x v="1"/>
    <s v="Laptop"/>
    <x v="3"/>
    <n v="3"/>
    <n v="4000"/>
    <n v="15"/>
    <n v="10200"/>
    <x v="1"/>
    <x v="2"/>
    <x v="3"/>
    <x v="0"/>
  </r>
  <r>
    <s v="ORD11736"/>
    <x v="35"/>
    <s v="John"/>
    <x v="0"/>
    <n v="36"/>
    <x v="1"/>
    <s v="Ikeja"/>
    <x v="2"/>
    <s v="Rice"/>
    <x v="2"/>
    <n v="2"/>
    <n v="39000"/>
    <n v="5"/>
    <n v="74100"/>
    <x v="3"/>
    <x v="0"/>
    <x v="1"/>
    <x v="1"/>
  </r>
  <r>
    <s v="ORD11737"/>
    <x v="48"/>
    <s v="Ruth"/>
    <x v="0"/>
    <n v="30"/>
    <x v="1"/>
    <s v="Lekki"/>
    <x v="0"/>
    <s v="Shoes"/>
    <x v="3"/>
    <n v="10"/>
    <n v="8500"/>
    <n v="10"/>
    <n v="76500"/>
    <x v="1"/>
    <x v="3"/>
    <x v="0"/>
    <x v="0"/>
  </r>
  <r>
    <s v="ORD11738"/>
    <x v="318"/>
    <s v="Aisha"/>
    <x v="0"/>
    <n v="38"/>
    <x v="0"/>
    <s v="Enugu"/>
    <x v="1"/>
    <s v="Phone"/>
    <x v="4"/>
    <n v="4"/>
    <n v="8700"/>
    <n v="25"/>
    <n v="26100"/>
    <x v="0"/>
    <x v="5"/>
    <x v="1"/>
    <x v="1"/>
  </r>
  <r>
    <s v="ORD11739"/>
    <x v="390"/>
    <s v="Daniel"/>
    <x v="2"/>
    <n v="61"/>
    <x v="4"/>
    <s v="Ogbomosho"/>
    <x v="2"/>
    <s v="Rice"/>
    <x v="4"/>
    <n v="7"/>
    <n v="8900"/>
    <n v="25"/>
    <n v="46725"/>
    <x v="1"/>
    <x v="2"/>
    <x v="0"/>
    <x v="0"/>
  </r>
  <r>
    <s v="ORD11740"/>
    <x v="298"/>
    <s v="Grace"/>
    <x v="0"/>
    <n v="52"/>
    <x v="2"/>
    <s v="Garki"/>
    <x v="3"/>
    <s v="Desk"/>
    <x v="0"/>
    <n v="1"/>
    <n v="27800"/>
    <n v="0"/>
    <n v="27800"/>
    <x v="1"/>
    <x v="2"/>
    <x v="0"/>
    <x v="0"/>
  </r>
  <r>
    <s v="ORD11741"/>
    <x v="68"/>
    <s v="Daniel"/>
    <x v="0"/>
    <n v="45"/>
    <x v="2"/>
    <s v="Garki"/>
    <x v="3"/>
    <s v="Chair"/>
    <x v="1"/>
    <n v="5"/>
    <n v="11500"/>
    <n v="0"/>
    <n v="57500"/>
    <x v="1"/>
    <x v="3"/>
    <x v="1"/>
    <x v="1"/>
  </r>
  <r>
    <s v="ORD11747"/>
    <x v="518"/>
    <s v="Emeka"/>
    <x v="2"/>
    <n v="24"/>
    <x v="5"/>
    <s v="Port Harcourt"/>
    <x v="1"/>
    <s v="Phone"/>
    <x v="0"/>
    <n v="1"/>
    <n v="15400"/>
    <n v="10"/>
    <n v="13860"/>
    <x v="2"/>
    <x v="1"/>
    <x v="1"/>
    <x v="1"/>
  </r>
  <r>
    <s v="ORD11749"/>
    <x v="519"/>
    <s v="Ruth"/>
    <x v="0"/>
    <n v="52"/>
    <x v="3"/>
    <s v="Kano"/>
    <x v="2"/>
    <s v="Rice"/>
    <x v="3"/>
    <n v="9"/>
    <n v="7200"/>
    <n v="25"/>
    <n v="48600"/>
    <x v="2"/>
    <x v="0"/>
    <x v="0"/>
    <x v="0"/>
  </r>
  <r>
    <s v="ORD11750"/>
    <x v="380"/>
    <s v="Grace"/>
    <x v="2"/>
    <n v="54"/>
    <x v="4"/>
    <s v="Ibadan"/>
    <x v="0"/>
    <s v="Shoes"/>
    <x v="0"/>
    <n v="4"/>
    <n v="45100"/>
    <n v="15"/>
    <n v="153340"/>
    <x v="1"/>
    <x v="5"/>
    <x v="1"/>
    <x v="1"/>
  </r>
  <r>
    <s v="ORD11751"/>
    <x v="296"/>
    <s v="Aisha"/>
    <x v="0"/>
    <n v="20"/>
    <x v="5"/>
    <s v="Port Harcourt"/>
    <x v="3"/>
    <s v="Desk"/>
    <x v="1"/>
    <n v="9"/>
    <n v="46500"/>
    <n v="25"/>
    <n v="313875"/>
    <x v="0"/>
    <x v="2"/>
    <x v="0"/>
    <x v="0"/>
  </r>
  <r>
    <s v="ORD11753"/>
    <x v="307"/>
    <s v="David"/>
    <x v="2"/>
    <n v="53"/>
    <x v="1"/>
    <s v="Lekki"/>
    <x v="3"/>
    <s v="Desk"/>
    <x v="0"/>
    <n v="10"/>
    <n v="25500"/>
    <n v="0"/>
    <n v="255000"/>
    <x v="1"/>
    <x v="4"/>
    <x v="0"/>
    <x v="0"/>
  </r>
  <r>
    <s v="ORD11754"/>
    <x v="70"/>
    <s v="Ruth"/>
    <x v="1"/>
    <n v="41"/>
    <x v="0"/>
    <s v="Enugu"/>
    <x v="2"/>
    <s v="Rice"/>
    <x v="1"/>
    <n v="10"/>
    <n v="2000"/>
    <n v="10"/>
    <n v="18000"/>
    <x v="2"/>
    <x v="0"/>
    <x v="3"/>
    <x v="0"/>
  </r>
  <r>
    <s v="ORD11755"/>
    <x v="395"/>
    <s v="Daniel"/>
    <x v="0"/>
    <n v="27"/>
    <x v="3"/>
    <s v="Kano"/>
    <x v="0"/>
    <s v="Shirt"/>
    <x v="5"/>
    <n v="10"/>
    <n v="22900"/>
    <n v="10"/>
    <n v="206100"/>
    <x v="0"/>
    <x v="0"/>
    <x v="2"/>
    <x v="0"/>
  </r>
  <r>
    <s v="ORD11759"/>
    <x v="389"/>
    <s v="Grace"/>
    <x v="2"/>
    <n v="19"/>
    <x v="2"/>
    <s v="Garki"/>
    <x v="1"/>
    <s v="Laptop"/>
    <x v="2"/>
    <n v="2"/>
    <n v="44800"/>
    <n v="25"/>
    <n v="67200"/>
    <x v="2"/>
    <x v="5"/>
    <x v="1"/>
    <x v="1"/>
  </r>
  <r>
    <s v="ORD11760"/>
    <x v="203"/>
    <s v="Peter"/>
    <x v="2"/>
    <n v="26"/>
    <x v="0"/>
    <s v="Enugu"/>
    <x v="1"/>
    <s v="Laptop"/>
    <x v="5"/>
    <n v="1"/>
    <n v="18300"/>
    <n v="0"/>
    <n v="18300"/>
    <x v="1"/>
    <x v="4"/>
    <x v="2"/>
    <x v="0"/>
  </r>
  <r>
    <s v="ORD11761"/>
    <x v="517"/>
    <s v="Mary"/>
    <x v="2"/>
    <n v="28"/>
    <x v="2"/>
    <s v="Garki"/>
    <x v="2"/>
    <s v="Rice"/>
    <x v="0"/>
    <n v="9"/>
    <n v="3000"/>
    <n v="10"/>
    <n v="24300"/>
    <x v="0"/>
    <x v="3"/>
    <x v="1"/>
    <x v="1"/>
  </r>
  <r>
    <s v="ORD11762"/>
    <x v="520"/>
    <s v="David"/>
    <x v="0"/>
    <n v="45"/>
    <x v="4"/>
    <s v="Ogbomosho"/>
    <x v="0"/>
    <s v="Shirt"/>
    <x v="3"/>
    <n v="10"/>
    <n v="48300"/>
    <n v="0"/>
    <n v="483000"/>
    <x v="1"/>
    <x v="3"/>
    <x v="3"/>
    <x v="0"/>
  </r>
  <r>
    <s v="ORD11763"/>
    <x v="521"/>
    <s v="Chioma"/>
    <x v="0"/>
    <n v="62"/>
    <x v="3"/>
    <s v="Kano"/>
    <x v="1"/>
    <s v="Phone"/>
    <x v="4"/>
    <n v="5"/>
    <n v="13000"/>
    <n v="10"/>
    <n v="58500"/>
    <x v="2"/>
    <x v="0"/>
    <x v="1"/>
    <x v="1"/>
  </r>
  <r>
    <s v="ORD11764"/>
    <x v="336"/>
    <s v="Ruth"/>
    <x v="1"/>
    <n v="23"/>
    <x v="2"/>
    <s v="Garki"/>
    <x v="2"/>
    <s v="Beans"/>
    <x v="0"/>
    <n v="10"/>
    <n v="17000"/>
    <n v="0"/>
    <n v="170000"/>
    <x v="1"/>
    <x v="1"/>
    <x v="2"/>
    <x v="0"/>
  </r>
  <r>
    <s v="ORD11765"/>
    <x v="470"/>
    <s v="John"/>
    <x v="2"/>
    <n v="27"/>
    <x v="3"/>
    <s v="Kano"/>
    <x v="0"/>
    <s v="Shirt"/>
    <x v="0"/>
    <n v="8"/>
    <n v="47500"/>
    <n v="20"/>
    <n v="304000"/>
    <x v="2"/>
    <x v="0"/>
    <x v="2"/>
    <x v="0"/>
  </r>
  <r>
    <s v="ORD11766"/>
    <x v="191"/>
    <s v="Aisha"/>
    <x v="2"/>
    <n v="37"/>
    <x v="4"/>
    <s v="Ogbomosho"/>
    <x v="3"/>
    <s v="Chair"/>
    <x v="5"/>
    <n v="6"/>
    <n v="18500"/>
    <n v="15"/>
    <n v="94350"/>
    <x v="2"/>
    <x v="0"/>
    <x v="0"/>
    <x v="0"/>
  </r>
  <r>
    <s v="ORD11769"/>
    <x v="366"/>
    <s v="Grace"/>
    <x v="2"/>
    <n v="48"/>
    <x v="4"/>
    <s v="Ogbomosho"/>
    <x v="3"/>
    <s v="Desk"/>
    <x v="0"/>
    <n v="10"/>
    <n v="12800"/>
    <n v="15"/>
    <n v="108800"/>
    <x v="2"/>
    <x v="1"/>
    <x v="2"/>
    <x v="0"/>
  </r>
  <r>
    <s v="ORD11771"/>
    <x v="249"/>
    <s v="Emeka"/>
    <x v="0"/>
    <n v="39"/>
    <x v="4"/>
    <s v="Ibadan"/>
    <x v="0"/>
    <s v="Shoes"/>
    <x v="1"/>
    <n v="3"/>
    <n v="23900"/>
    <n v="10"/>
    <n v="64530"/>
    <x v="1"/>
    <x v="4"/>
    <x v="0"/>
    <x v="0"/>
  </r>
  <r>
    <s v="ORD11772"/>
    <x v="324"/>
    <s v="Aisha"/>
    <x v="2"/>
    <n v="44"/>
    <x v="4"/>
    <s v="Ogbomosho"/>
    <x v="0"/>
    <s v="Shoes"/>
    <x v="3"/>
    <n v="1"/>
    <n v="10100"/>
    <n v="20"/>
    <n v="8080"/>
    <x v="1"/>
    <x v="5"/>
    <x v="3"/>
    <x v="0"/>
  </r>
  <r>
    <s v="ORD11774"/>
    <x v="462"/>
    <s v="Chioma"/>
    <x v="1"/>
    <n v="40"/>
    <x v="2"/>
    <s v="Wuse"/>
    <x v="0"/>
    <s v="Shirt"/>
    <x v="4"/>
    <n v="10"/>
    <n v="43900"/>
    <n v="20"/>
    <n v="351200"/>
    <x v="2"/>
    <x v="0"/>
    <x v="2"/>
    <x v="0"/>
  </r>
  <r>
    <s v="ORD11776"/>
    <x v="434"/>
    <s v="Grace"/>
    <x v="0"/>
    <n v="49"/>
    <x v="3"/>
    <s v="Kano"/>
    <x v="3"/>
    <s v="Chair"/>
    <x v="1"/>
    <n v="10"/>
    <n v="40900"/>
    <n v="25"/>
    <n v="306750"/>
    <x v="0"/>
    <x v="4"/>
    <x v="1"/>
    <x v="1"/>
  </r>
  <r>
    <s v="ORD11777"/>
    <x v="439"/>
    <s v="Aisha"/>
    <x v="2"/>
    <n v="44"/>
    <x v="1"/>
    <s v="Lekki"/>
    <x v="1"/>
    <s v="Phone"/>
    <x v="2"/>
    <n v="5"/>
    <n v="33600"/>
    <n v="15"/>
    <n v="142800"/>
    <x v="1"/>
    <x v="0"/>
    <x v="0"/>
    <x v="0"/>
  </r>
  <r>
    <s v="ORD11778"/>
    <x v="110"/>
    <s v="Aisha"/>
    <x v="0"/>
    <n v="36"/>
    <x v="2"/>
    <s v="Garki"/>
    <x v="1"/>
    <s v="Phone"/>
    <x v="2"/>
    <n v="6"/>
    <n v="38900"/>
    <n v="0"/>
    <n v="233400"/>
    <x v="0"/>
    <x v="5"/>
    <x v="2"/>
    <x v="0"/>
  </r>
  <r>
    <s v="ORD11779"/>
    <x v="253"/>
    <s v="John"/>
    <x v="2"/>
    <n v="30"/>
    <x v="1"/>
    <s v="Ikeja"/>
    <x v="3"/>
    <s v="Desk"/>
    <x v="1"/>
    <n v="10"/>
    <n v="22500"/>
    <n v="20"/>
    <n v="180000"/>
    <x v="0"/>
    <x v="1"/>
    <x v="2"/>
    <x v="0"/>
  </r>
  <r>
    <s v="ORD11781"/>
    <x v="136"/>
    <s v="Daniel"/>
    <x v="1"/>
    <n v="58"/>
    <x v="4"/>
    <s v="Ibadan"/>
    <x v="0"/>
    <s v="Shoes"/>
    <x v="5"/>
    <n v="10"/>
    <n v="16900"/>
    <n v="15"/>
    <n v="143650"/>
    <x v="1"/>
    <x v="0"/>
    <x v="3"/>
    <x v="0"/>
  </r>
  <r>
    <s v="ORD11782"/>
    <x v="384"/>
    <s v="Ruth"/>
    <x v="0"/>
    <n v="33"/>
    <x v="1"/>
    <s v="Lekki"/>
    <x v="0"/>
    <s v="Shirt"/>
    <x v="5"/>
    <n v="7"/>
    <n v="5600"/>
    <n v="15"/>
    <n v="33320"/>
    <x v="0"/>
    <x v="2"/>
    <x v="3"/>
    <x v="0"/>
  </r>
  <r>
    <s v="ORD11783"/>
    <x v="205"/>
    <s v="John"/>
    <x v="0"/>
    <n v="44"/>
    <x v="1"/>
    <s v="Lekki"/>
    <x v="0"/>
    <s v="Shoes"/>
    <x v="0"/>
    <n v="6"/>
    <n v="42900"/>
    <n v="10"/>
    <n v="231660"/>
    <x v="1"/>
    <x v="0"/>
    <x v="0"/>
    <x v="0"/>
  </r>
  <r>
    <s v="ORD11784"/>
    <x v="522"/>
    <s v="Aisha"/>
    <x v="2"/>
    <n v="28"/>
    <x v="3"/>
    <s v="Kano"/>
    <x v="1"/>
    <s v="Laptop"/>
    <x v="1"/>
    <n v="2"/>
    <n v="7200"/>
    <n v="25"/>
    <n v="10800"/>
    <x v="1"/>
    <x v="3"/>
    <x v="1"/>
    <x v="1"/>
  </r>
  <r>
    <s v="ORD11785"/>
    <x v="173"/>
    <s v="Emeka"/>
    <x v="2"/>
    <n v="24"/>
    <x v="1"/>
    <s v="Ikeja"/>
    <x v="3"/>
    <s v="Desk"/>
    <x v="1"/>
    <n v="4"/>
    <n v="41500"/>
    <n v="5"/>
    <n v="157700"/>
    <x v="0"/>
    <x v="2"/>
    <x v="0"/>
    <x v="0"/>
  </r>
  <r>
    <s v="ORD11787"/>
    <x v="92"/>
    <s v="Daniel"/>
    <x v="1"/>
    <n v="54"/>
    <x v="0"/>
    <s v="Enugu"/>
    <x v="1"/>
    <s v="Phone"/>
    <x v="2"/>
    <n v="3"/>
    <n v="19300"/>
    <n v="5"/>
    <n v="55005"/>
    <x v="1"/>
    <x v="0"/>
    <x v="3"/>
    <x v="0"/>
  </r>
  <r>
    <s v="ORD11788"/>
    <x v="401"/>
    <s v="John"/>
    <x v="0"/>
    <n v="49"/>
    <x v="5"/>
    <s v="Port Harcourt"/>
    <x v="2"/>
    <s v="Beans"/>
    <x v="5"/>
    <n v="8"/>
    <n v="2200"/>
    <n v="15"/>
    <n v="14960"/>
    <x v="1"/>
    <x v="3"/>
    <x v="0"/>
    <x v="0"/>
  </r>
  <r>
    <s v="ORD11789"/>
    <x v="205"/>
    <s v="Emeka"/>
    <x v="0"/>
    <n v="49"/>
    <x v="5"/>
    <s v="Obio"/>
    <x v="1"/>
    <s v="Laptop"/>
    <x v="0"/>
    <n v="5"/>
    <n v="27200"/>
    <n v="15"/>
    <n v="115600"/>
    <x v="2"/>
    <x v="5"/>
    <x v="2"/>
    <x v="0"/>
  </r>
  <r>
    <s v="ORD11790"/>
    <x v="509"/>
    <s v="David"/>
    <x v="0"/>
    <n v="53"/>
    <x v="1"/>
    <s v="Lekki"/>
    <x v="2"/>
    <s v="Beans"/>
    <x v="0"/>
    <n v="9"/>
    <n v="46500"/>
    <n v="5"/>
    <n v="397575"/>
    <x v="1"/>
    <x v="3"/>
    <x v="0"/>
    <x v="0"/>
  </r>
  <r>
    <s v="ORD11791"/>
    <x v="254"/>
    <s v="Peter"/>
    <x v="0"/>
    <n v="23"/>
    <x v="2"/>
    <s v="Garki"/>
    <x v="3"/>
    <s v="Chair"/>
    <x v="0"/>
    <n v="5"/>
    <n v="16800"/>
    <n v="0"/>
    <n v="84000"/>
    <x v="1"/>
    <x v="5"/>
    <x v="1"/>
    <x v="1"/>
  </r>
  <r>
    <s v="ORD11792"/>
    <x v="193"/>
    <s v="Aisha"/>
    <x v="2"/>
    <n v="35"/>
    <x v="2"/>
    <s v="Wuse"/>
    <x v="0"/>
    <s v="Shirt"/>
    <x v="4"/>
    <n v="4"/>
    <n v="12300"/>
    <n v="10"/>
    <n v="44280"/>
    <x v="0"/>
    <x v="5"/>
    <x v="3"/>
    <x v="0"/>
  </r>
  <r>
    <s v="ORD11793"/>
    <x v="75"/>
    <s v="John"/>
    <x v="0"/>
    <n v="41"/>
    <x v="0"/>
    <s v="Enugu"/>
    <x v="0"/>
    <s v="Shirt"/>
    <x v="5"/>
    <n v="4"/>
    <n v="23000"/>
    <n v="0"/>
    <n v="92000"/>
    <x v="2"/>
    <x v="0"/>
    <x v="2"/>
    <x v="0"/>
  </r>
  <r>
    <s v="ORD11794"/>
    <x v="499"/>
    <s v="Emeka"/>
    <x v="2"/>
    <n v="47"/>
    <x v="5"/>
    <s v="Port Harcourt"/>
    <x v="0"/>
    <s v="Shoes"/>
    <x v="2"/>
    <n v="10"/>
    <n v="22700"/>
    <n v="20"/>
    <n v="181600"/>
    <x v="3"/>
    <x v="1"/>
    <x v="1"/>
    <x v="1"/>
  </r>
  <r>
    <s v="ORD11796"/>
    <x v="499"/>
    <s v="Emeka"/>
    <x v="2"/>
    <n v="62"/>
    <x v="1"/>
    <s v="Ikeja"/>
    <x v="0"/>
    <s v="Shirt"/>
    <x v="0"/>
    <n v="7"/>
    <n v="39800"/>
    <n v="0"/>
    <n v="278600"/>
    <x v="1"/>
    <x v="4"/>
    <x v="3"/>
    <x v="0"/>
  </r>
  <r>
    <s v="ORD11797"/>
    <x v="94"/>
    <s v="David"/>
    <x v="2"/>
    <n v="30"/>
    <x v="2"/>
    <s v="Garki"/>
    <x v="1"/>
    <s v="Laptop"/>
    <x v="1"/>
    <n v="3"/>
    <n v="45200"/>
    <n v="20"/>
    <n v="108480"/>
    <x v="1"/>
    <x v="3"/>
    <x v="2"/>
    <x v="0"/>
  </r>
  <r>
    <s v="ORD11798"/>
    <x v="271"/>
    <s v="Mary"/>
    <x v="2"/>
    <n v="37"/>
    <x v="0"/>
    <s v="Enugu"/>
    <x v="0"/>
    <s v="Shoes"/>
    <x v="5"/>
    <n v="1"/>
    <n v="11800"/>
    <n v="20"/>
    <n v="9440"/>
    <x v="0"/>
    <x v="3"/>
    <x v="0"/>
    <x v="0"/>
  </r>
  <r>
    <s v="ORD11800"/>
    <x v="252"/>
    <s v="Grace"/>
    <x v="2"/>
    <n v="24"/>
    <x v="0"/>
    <s v="Enugu"/>
    <x v="0"/>
    <s v="Shoes"/>
    <x v="3"/>
    <n v="3"/>
    <n v="7700"/>
    <n v="15"/>
    <n v="19635"/>
    <x v="1"/>
    <x v="0"/>
    <x v="0"/>
    <x v="0"/>
  </r>
  <r>
    <s v="ORD11801"/>
    <x v="43"/>
    <s v="Peter"/>
    <x v="2"/>
    <n v="52"/>
    <x v="4"/>
    <s v="Ogbomosho"/>
    <x v="3"/>
    <s v="Desk"/>
    <x v="4"/>
    <n v="5"/>
    <n v="43200"/>
    <n v="0"/>
    <n v="216000"/>
    <x v="2"/>
    <x v="4"/>
    <x v="2"/>
    <x v="0"/>
  </r>
  <r>
    <s v="ORD11803"/>
    <x v="523"/>
    <s v="David"/>
    <x v="2"/>
    <n v="50"/>
    <x v="1"/>
    <s v="Ikeja"/>
    <x v="0"/>
    <s v="Shoes"/>
    <x v="2"/>
    <n v="4"/>
    <n v="31600"/>
    <n v="25"/>
    <n v="94800"/>
    <x v="2"/>
    <x v="5"/>
    <x v="0"/>
    <x v="0"/>
  </r>
  <r>
    <s v="ORD11804"/>
    <x v="228"/>
    <s v="Chioma"/>
    <x v="2"/>
    <n v="65"/>
    <x v="1"/>
    <s v="Lekki"/>
    <x v="1"/>
    <s v="Phone"/>
    <x v="0"/>
    <n v="4"/>
    <n v="13300"/>
    <n v="20"/>
    <n v="42560"/>
    <x v="1"/>
    <x v="1"/>
    <x v="1"/>
    <x v="1"/>
  </r>
  <r>
    <s v="ORD11805"/>
    <x v="96"/>
    <s v="Peter"/>
    <x v="0"/>
    <n v="28"/>
    <x v="0"/>
    <s v="Enugu"/>
    <x v="0"/>
    <s v="Shoes"/>
    <x v="3"/>
    <n v="3"/>
    <n v="43000"/>
    <n v="0"/>
    <n v="129000"/>
    <x v="1"/>
    <x v="5"/>
    <x v="0"/>
    <x v="0"/>
  </r>
  <r>
    <s v="ORD11807"/>
    <x v="249"/>
    <s v="Chioma"/>
    <x v="0"/>
    <n v="23"/>
    <x v="4"/>
    <s v="Ibadan"/>
    <x v="3"/>
    <s v="Desk"/>
    <x v="2"/>
    <n v="3"/>
    <n v="38100"/>
    <n v="25"/>
    <n v="85725"/>
    <x v="0"/>
    <x v="2"/>
    <x v="2"/>
    <x v="0"/>
  </r>
  <r>
    <s v="ORD11810"/>
    <x v="92"/>
    <s v="Mary"/>
    <x v="0"/>
    <n v="44"/>
    <x v="0"/>
    <s v="Enugu"/>
    <x v="2"/>
    <s v="Rice"/>
    <x v="4"/>
    <n v="6"/>
    <n v="23000"/>
    <n v="20"/>
    <n v="110400"/>
    <x v="1"/>
    <x v="0"/>
    <x v="1"/>
    <x v="1"/>
  </r>
  <r>
    <s v="ORD11811"/>
    <x v="303"/>
    <s v="Mary"/>
    <x v="0"/>
    <n v="38"/>
    <x v="4"/>
    <s v="Ogbomosho"/>
    <x v="2"/>
    <s v="Beans"/>
    <x v="3"/>
    <n v="4"/>
    <n v="11000"/>
    <n v="0"/>
    <n v="44000"/>
    <x v="2"/>
    <x v="1"/>
    <x v="1"/>
    <x v="1"/>
  </r>
  <r>
    <s v="ORD11812"/>
    <x v="215"/>
    <s v="Grace"/>
    <x v="2"/>
    <n v="65"/>
    <x v="3"/>
    <s v="Kano"/>
    <x v="3"/>
    <s v="Desk"/>
    <x v="0"/>
    <n v="8"/>
    <n v="8200"/>
    <n v="25"/>
    <n v="49200"/>
    <x v="1"/>
    <x v="1"/>
    <x v="0"/>
    <x v="0"/>
  </r>
  <r>
    <s v="ORD11813"/>
    <x v="520"/>
    <s v="Daniel"/>
    <x v="1"/>
    <n v="27"/>
    <x v="3"/>
    <s v="Kano"/>
    <x v="0"/>
    <s v="Shoes"/>
    <x v="1"/>
    <n v="5"/>
    <n v="17600"/>
    <n v="10"/>
    <n v="79200"/>
    <x v="0"/>
    <x v="3"/>
    <x v="2"/>
    <x v="0"/>
  </r>
  <r>
    <s v="ORD11814"/>
    <x v="143"/>
    <s v="Daniel"/>
    <x v="0"/>
    <n v="55"/>
    <x v="5"/>
    <s v="Port Harcourt"/>
    <x v="1"/>
    <s v="Phone"/>
    <x v="1"/>
    <n v="4"/>
    <n v="8500"/>
    <n v="20"/>
    <n v="27200"/>
    <x v="1"/>
    <x v="5"/>
    <x v="0"/>
    <x v="0"/>
  </r>
  <r>
    <s v="ORD11816"/>
    <x v="358"/>
    <s v="Emeka"/>
    <x v="1"/>
    <n v="27"/>
    <x v="0"/>
    <s v="Enugu"/>
    <x v="3"/>
    <s v="Desk"/>
    <x v="3"/>
    <n v="3"/>
    <n v="35700"/>
    <n v="5"/>
    <n v="101745"/>
    <x v="1"/>
    <x v="0"/>
    <x v="3"/>
    <x v="0"/>
  </r>
  <r>
    <s v="ORD11817"/>
    <x v="59"/>
    <s v="David"/>
    <x v="1"/>
    <n v="58"/>
    <x v="5"/>
    <s v="Port Harcourt"/>
    <x v="3"/>
    <s v="Desk"/>
    <x v="5"/>
    <n v="2"/>
    <n v="22700"/>
    <n v="15"/>
    <n v="38590"/>
    <x v="1"/>
    <x v="0"/>
    <x v="0"/>
    <x v="0"/>
  </r>
  <r>
    <s v="ORD11818"/>
    <x v="223"/>
    <s v="Peter"/>
    <x v="2"/>
    <n v="45"/>
    <x v="0"/>
    <s v="Enugu"/>
    <x v="1"/>
    <s v="Laptop"/>
    <x v="2"/>
    <n v="9"/>
    <n v="13900"/>
    <n v="20"/>
    <n v="100080"/>
    <x v="1"/>
    <x v="5"/>
    <x v="2"/>
    <x v="0"/>
  </r>
  <r>
    <s v="ORD11821"/>
    <x v="119"/>
    <s v="Mary"/>
    <x v="1"/>
    <n v="63"/>
    <x v="1"/>
    <s v="Ikeja"/>
    <x v="1"/>
    <s v="Phone"/>
    <x v="2"/>
    <n v="4"/>
    <n v="45700"/>
    <n v="25"/>
    <n v="137100"/>
    <x v="1"/>
    <x v="5"/>
    <x v="1"/>
    <x v="1"/>
  </r>
  <r>
    <s v="ORD11822"/>
    <x v="447"/>
    <s v="John"/>
    <x v="2"/>
    <n v="54"/>
    <x v="1"/>
    <s v="Lekki"/>
    <x v="0"/>
    <s v="Shirt"/>
    <x v="4"/>
    <n v="1"/>
    <n v="24300"/>
    <n v="10"/>
    <n v="21870"/>
    <x v="2"/>
    <x v="2"/>
    <x v="0"/>
    <x v="0"/>
  </r>
  <r>
    <s v="ORD11823"/>
    <x v="450"/>
    <s v="Emeka"/>
    <x v="0"/>
    <n v="34"/>
    <x v="3"/>
    <s v="Kano"/>
    <x v="2"/>
    <s v="Rice"/>
    <x v="2"/>
    <n v="3"/>
    <n v="40600"/>
    <n v="0"/>
    <n v="121800"/>
    <x v="0"/>
    <x v="4"/>
    <x v="2"/>
    <x v="0"/>
  </r>
  <r>
    <s v="ORD11826"/>
    <x v="152"/>
    <s v="Aisha"/>
    <x v="1"/>
    <n v="60"/>
    <x v="3"/>
    <s v="Kano"/>
    <x v="0"/>
    <s v="Shirt"/>
    <x v="0"/>
    <n v="7"/>
    <n v="39900"/>
    <n v="0"/>
    <n v="279300"/>
    <x v="1"/>
    <x v="0"/>
    <x v="0"/>
    <x v="0"/>
  </r>
  <r>
    <s v="ORD11827"/>
    <x v="401"/>
    <s v="Aisha"/>
    <x v="2"/>
    <n v="36"/>
    <x v="1"/>
    <s v="Ikeja"/>
    <x v="3"/>
    <s v="Chair"/>
    <x v="0"/>
    <n v="9"/>
    <n v="26300"/>
    <n v="5"/>
    <n v="224865"/>
    <x v="1"/>
    <x v="3"/>
    <x v="1"/>
    <x v="1"/>
  </r>
  <r>
    <s v="ORD11828"/>
    <x v="524"/>
    <s v="John"/>
    <x v="2"/>
    <n v="26"/>
    <x v="2"/>
    <s v="Garki"/>
    <x v="0"/>
    <s v="Shirt"/>
    <x v="4"/>
    <n v="10"/>
    <n v="28900"/>
    <n v="10"/>
    <n v="260100"/>
    <x v="0"/>
    <x v="3"/>
    <x v="2"/>
    <x v="0"/>
  </r>
  <r>
    <s v="ORD11829"/>
    <x v="156"/>
    <s v="Emeka"/>
    <x v="0"/>
    <n v="36"/>
    <x v="0"/>
    <s v="Enugu"/>
    <x v="0"/>
    <s v="Shirt"/>
    <x v="5"/>
    <n v="4"/>
    <n v="14400"/>
    <n v="0"/>
    <n v="57600"/>
    <x v="2"/>
    <x v="5"/>
    <x v="0"/>
    <x v="0"/>
  </r>
  <r>
    <s v="ORD11830"/>
    <x v="440"/>
    <s v="Ruth"/>
    <x v="0"/>
    <n v="48"/>
    <x v="3"/>
    <s v="Kano"/>
    <x v="0"/>
    <s v="Shoes"/>
    <x v="0"/>
    <n v="1"/>
    <n v="46100"/>
    <n v="10"/>
    <n v="41490"/>
    <x v="0"/>
    <x v="5"/>
    <x v="3"/>
    <x v="0"/>
  </r>
  <r>
    <s v="ORD11832"/>
    <x v="472"/>
    <s v="Mary"/>
    <x v="0"/>
    <n v="54"/>
    <x v="4"/>
    <s v="Ibadan"/>
    <x v="0"/>
    <s v="Shirt"/>
    <x v="2"/>
    <n v="1"/>
    <n v="29400"/>
    <n v="15"/>
    <n v="24990"/>
    <x v="1"/>
    <x v="5"/>
    <x v="3"/>
    <x v="0"/>
  </r>
  <r>
    <s v="ORD11834"/>
    <x v="505"/>
    <s v="Daniel"/>
    <x v="0"/>
    <n v="60"/>
    <x v="4"/>
    <s v="Ibadan"/>
    <x v="3"/>
    <s v="Desk"/>
    <x v="4"/>
    <n v="7"/>
    <n v="40300"/>
    <n v="5"/>
    <n v="267995"/>
    <x v="1"/>
    <x v="3"/>
    <x v="3"/>
    <x v="0"/>
  </r>
  <r>
    <s v="ORD11835"/>
    <x v="364"/>
    <s v="Peter"/>
    <x v="0"/>
    <n v="27"/>
    <x v="1"/>
    <s v="Ikeja"/>
    <x v="2"/>
    <s v="Rice"/>
    <x v="4"/>
    <n v="7"/>
    <n v="3300"/>
    <n v="0"/>
    <n v="23100"/>
    <x v="0"/>
    <x v="0"/>
    <x v="2"/>
    <x v="0"/>
  </r>
  <r>
    <s v="ORD11836"/>
    <x v="226"/>
    <s v="Peter"/>
    <x v="1"/>
    <n v="58"/>
    <x v="3"/>
    <s v="Kano"/>
    <x v="1"/>
    <s v="Laptop"/>
    <x v="3"/>
    <n v="7"/>
    <n v="29500"/>
    <n v="10"/>
    <n v="185850"/>
    <x v="1"/>
    <x v="0"/>
    <x v="0"/>
    <x v="0"/>
  </r>
  <r>
    <s v="ORD11837"/>
    <x v="344"/>
    <s v="Daniel"/>
    <x v="0"/>
    <n v="23"/>
    <x v="1"/>
    <s v="Ikeja"/>
    <x v="2"/>
    <s v="Beans"/>
    <x v="4"/>
    <n v="3"/>
    <n v="24600"/>
    <n v="5"/>
    <n v="70110"/>
    <x v="0"/>
    <x v="2"/>
    <x v="3"/>
    <x v="0"/>
  </r>
  <r>
    <s v="ORD11838"/>
    <x v="256"/>
    <s v="Mary"/>
    <x v="1"/>
    <n v="61"/>
    <x v="1"/>
    <s v="Ikeja"/>
    <x v="1"/>
    <s v="Phone"/>
    <x v="2"/>
    <n v="5"/>
    <n v="18500"/>
    <n v="25"/>
    <n v="69375"/>
    <x v="0"/>
    <x v="0"/>
    <x v="3"/>
    <x v="0"/>
  </r>
  <r>
    <s v="ORD11839"/>
    <x v="174"/>
    <s v="Aisha"/>
    <x v="0"/>
    <n v="56"/>
    <x v="2"/>
    <s v="Garki"/>
    <x v="3"/>
    <s v="Chair"/>
    <x v="1"/>
    <n v="2"/>
    <n v="44200"/>
    <n v="25"/>
    <n v="66300"/>
    <x v="0"/>
    <x v="3"/>
    <x v="2"/>
    <x v="0"/>
  </r>
  <r>
    <s v="ORD11841"/>
    <x v="267"/>
    <s v="Ruth"/>
    <x v="2"/>
    <n v="56"/>
    <x v="5"/>
    <s v="Obio"/>
    <x v="2"/>
    <s v="Beans"/>
    <x v="1"/>
    <n v="4"/>
    <n v="45600"/>
    <n v="20"/>
    <n v="145920"/>
    <x v="2"/>
    <x v="4"/>
    <x v="3"/>
    <x v="0"/>
  </r>
  <r>
    <s v="ORD11842"/>
    <x v="99"/>
    <s v="Daniel"/>
    <x v="0"/>
    <n v="36"/>
    <x v="2"/>
    <s v="Wuse"/>
    <x v="1"/>
    <s v="Laptop"/>
    <x v="1"/>
    <n v="3"/>
    <n v="43200"/>
    <n v="20"/>
    <n v="103680"/>
    <x v="0"/>
    <x v="0"/>
    <x v="0"/>
    <x v="0"/>
  </r>
  <r>
    <s v="ORD11843"/>
    <x v="367"/>
    <s v="Peter"/>
    <x v="2"/>
    <n v="48"/>
    <x v="2"/>
    <s v="Wuse"/>
    <x v="2"/>
    <s v="Beans"/>
    <x v="5"/>
    <n v="1"/>
    <n v="24200"/>
    <n v="15"/>
    <n v="20570"/>
    <x v="0"/>
    <x v="1"/>
    <x v="1"/>
    <x v="1"/>
  </r>
  <r>
    <s v="ORD11844"/>
    <x v="147"/>
    <s v="Aisha"/>
    <x v="1"/>
    <n v="26"/>
    <x v="3"/>
    <s v="Kano"/>
    <x v="1"/>
    <s v="Laptop"/>
    <x v="3"/>
    <n v="6"/>
    <n v="36700"/>
    <n v="15"/>
    <n v="187170"/>
    <x v="1"/>
    <x v="1"/>
    <x v="0"/>
    <x v="0"/>
  </r>
  <r>
    <s v="ORD11845"/>
    <x v="72"/>
    <s v="David"/>
    <x v="1"/>
    <n v="18"/>
    <x v="3"/>
    <s v="Kano"/>
    <x v="1"/>
    <s v="Phone"/>
    <x v="1"/>
    <n v="3"/>
    <n v="49700"/>
    <n v="25"/>
    <n v="111825"/>
    <x v="1"/>
    <x v="2"/>
    <x v="3"/>
    <x v="0"/>
  </r>
  <r>
    <s v="ORD11846"/>
    <x v="190"/>
    <s v="Grace"/>
    <x v="0"/>
    <n v="25"/>
    <x v="0"/>
    <s v="Enugu"/>
    <x v="2"/>
    <s v="Rice"/>
    <x v="0"/>
    <n v="4"/>
    <n v="36600"/>
    <n v="25"/>
    <n v="109800"/>
    <x v="2"/>
    <x v="4"/>
    <x v="3"/>
    <x v="0"/>
  </r>
  <r>
    <s v="ORD11847"/>
    <x v="506"/>
    <s v="Grace"/>
    <x v="1"/>
    <n v="33"/>
    <x v="0"/>
    <s v="Enugu"/>
    <x v="1"/>
    <s v="Laptop"/>
    <x v="5"/>
    <n v="4"/>
    <n v="48400"/>
    <n v="10"/>
    <n v="174240"/>
    <x v="2"/>
    <x v="2"/>
    <x v="2"/>
    <x v="0"/>
  </r>
  <r>
    <s v="ORD11848"/>
    <x v="204"/>
    <s v="Daniel"/>
    <x v="0"/>
    <n v="19"/>
    <x v="0"/>
    <s v="Enugu"/>
    <x v="3"/>
    <s v="Chair"/>
    <x v="3"/>
    <n v="7"/>
    <n v="36300"/>
    <n v="20"/>
    <n v="203280"/>
    <x v="2"/>
    <x v="0"/>
    <x v="0"/>
    <x v="0"/>
  </r>
  <r>
    <s v="ORD11849"/>
    <x v="309"/>
    <s v="Daniel"/>
    <x v="1"/>
    <n v="22"/>
    <x v="5"/>
    <s v="Port Harcourt"/>
    <x v="0"/>
    <s v="Shirt"/>
    <x v="3"/>
    <n v="10"/>
    <n v="20400"/>
    <n v="5"/>
    <n v="193800"/>
    <x v="2"/>
    <x v="1"/>
    <x v="1"/>
    <x v="1"/>
  </r>
  <r>
    <s v="ORD11850"/>
    <x v="395"/>
    <s v="Chioma"/>
    <x v="0"/>
    <n v="38"/>
    <x v="1"/>
    <s v="Lekki"/>
    <x v="3"/>
    <s v="Desk"/>
    <x v="4"/>
    <n v="3"/>
    <n v="22900"/>
    <n v="5"/>
    <n v="65265"/>
    <x v="1"/>
    <x v="4"/>
    <x v="2"/>
    <x v="0"/>
  </r>
  <r>
    <s v="ORD11851"/>
    <x v="475"/>
    <s v="John"/>
    <x v="0"/>
    <n v="24"/>
    <x v="0"/>
    <s v="Enugu"/>
    <x v="0"/>
    <s v="Shirt"/>
    <x v="1"/>
    <n v="10"/>
    <n v="6900"/>
    <n v="0"/>
    <n v="69000"/>
    <x v="2"/>
    <x v="1"/>
    <x v="1"/>
    <x v="1"/>
  </r>
  <r>
    <s v="ORD11852"/>
    <x v="294"/>
    <s v="Peter"/>
    <x v="0"/>
    <n v="28"/>
    <x v="3"/>
    <s v="Kano"/>
    <x v="3"/>
    <s v="Desk"/>
    <x v="5"/>
    <n v="2"/>
    <n v="26500"/>
    <n v="15"/>
    <n v="45050"/>
    <x v="0"/>
    <x v="0"/>
    <x v="3"/>
    <x v="0"/>
  </r>
  <r>
    <s v="ORD11853"/>
    <x v="32"/>
    <s v="Daniel"/>
    <x v="2"/>
    <n v="50"/>
    <x v="5"/>
    <s v="Port Harcourt"/>
    <x v="1"/>
    <s v="Laptop"/>
    <x v="4"/>
    <n v="8"/>
    <n v="8700"/>
    <n v="20"/>
    <n v="55680"/>
    <x v="2"/>
    <x v="1"/>
    <x v="2"/>
    <x v="0"/>
  </r>
  <r>
    <s v="ORD11855"/>
    <x v="408"/>
    <s v="Chioma"/>
    <x v="2"/>
    <n v="48"/>
    <x v="0"/>
    <s v="Enugu"/>
    <x v="3"/>
    <s v="Desk"/>
    <x v="4"/>
    <n v="2"/>
    <n v="32800"/>
    <n v="10"/>
    <n v="59040"/>
    <x v="1"/>
    <x v="0"/>
    <x v="0"/>
    <x v="0"/>
  </r>
  <r>
    <s v="ORD11856"/>
    <x v="169"/>
    <s v="Daniel"/>
    <x v="2"/>
    <n v="54"/>
    <x v="5"/>
    <s v="Port Harcourt"/>
    <x v="0"/>
    <s v="Shoes"/>
    <x v="3"/>
    <n v="1"/>
    <n v="40700"/>
    <n v="25"/>
    <n v="30525"/>
    <x v="0"/>
    <x v="0"/>
    <x v="3"/>
    <x v="0"/>
  </r>
  <r>
    <s v="ORD11857"/>
    <x v="138"/>
    <s v="Aisha"/>
    <x v="0"/>
    <n v="33"/>
    <x v="4"/>
    <s v="Ibadan"/>
    <x v="3"/>
    <s v="Desk"/>
    <x v="2"/>
    <n v="3"/>
    <n v="13000"/>
    <n v="25"/>
    <n v="29250"/>
    <x v="2"/>
    <x v="3"/>
    <x v="3"/>
    <x v="0"/>
  </r>
  <r>
    <s v="ORD11858"/>
    <x v="80"/>
    <s v="John"/>
    <x v="0"/>
    <n v="51"/>
    <x v="0"/>
    <s v="Enugu"/>
    <x v="1"/>
    <s v="Phone"/>
    <x v="4"/>
    <n v="8"/>
    <n v="5500"/>
    <n v="20"/>
    <n v="35200"/>
    <x v="1"/>
    <x v="5"/>
    <x v="0"/>
    <x v="0"/>
  </r>
  <r>
    <s v="ORD11859"/>
    <x v="125"/>
    <s v="David"/>
    <x v="0"/>
    <n v="34"/>
    <x v="3"/>
    <s v="Kano"/>
    <x v="3"/>
    <s v="Desk"/>
    <x v="1"/>
    <n v="5"/>
    <n v="14300"/>
    <n v="0"/>
    <n v="71500"/>
    <x v="2"/>
    <x v="3"/>
    <x v="3"/>
    <x v="0"/>
  </r>
  <r>
    <s v="ORD11860"/>
    <x v="41"/>
    <s v="Emeka"/>
    <x v="0"/>
    <n v="55"/>
    <x v="2"/>
    <s v="Wuse"/>
    <x v="3"/>
    <s v="Desk"/>
    <x v="2"/>
    <n v="9"/>
    <n v="26300"/>
    <n v="20"/>
    <n v="189360"/>
    <x v="1"/>
    <x v="2"/>
    <x v="3"/>
    <x v="0"/>
  </r>
  <r>
    <s v="ORD11861"/>
    <x v="370"/>
    <s v="David"/>
    <x v="0"/>
    <n v="44"/>
    <x v="3"/>
    <s v="Kano"/>
    <x v="1"/>
    <s v="Laptop"/>
    <x v="1"/>
    <n v="7"/>
    <n v="44100"/>
    <n v="0"/>
    <n v="308700"/>
    <x v="0"/>
    <x v="2"/>
    <x v="0"/>
    <x v="0"/>
  </r>
  <r>
    <s v="ORD11862"/>
    <x v="232"/>
    <s v="Aisha"/>
    <x v="0"/>
    <n v="31"/>
    <x v="5"/>
    <s v="Port Harcourt"/>
    <x v="2"/>
    <s v="Rice"/>
    <x v="2"/>
    <n v="10"/>
    <n v="2000"/>
    <n v="10"/>
    <n v="18000"/>
    <x v="2"/>
    <x v="3"/>
    <x v="2"/>
    <x v="0"/>
  </r>
  <r>
    <s v="ORD11864"/>
    <x v="221"/>
    <s v="Aisha"/>
    <x v="1"/>
    <n v="48"/>
    <x v="4"/>
    <s v="Ogbomosho"/>
    <x v="3"/>
    <s v="Chair"/>
    <x v="1"/>
    <n v="4"/>
    <n v="18000"/>
    <n v="10"/>
    <n v="64800"/>
    <x v="0"/>
    <x v="5"/>
    <x v="0"/>
    <x v="0"/>
  </r>
  <r>
    <s v="ORD11865"/>
    <x v="84"/>
    <s v="Ruth"/>
    <x v="0"/>
    <n v="60"/>
    <x v="3"/>
    <s v="Kano"/>
    <x v="1"/>
    <s v="Laptop"/>
    <x v="2"/>
    <n v="7"/>
    <n v="17100"/>
    <n v="25"/>
    <n v="89775"/>
    <x v="2"/>
    <x v="5"/>
    <x v="3"/>
    <x v="0"/>
  </r>
  <r>
    <s v="ORD11866"/>
    <x v="86"/>
    <s v="Daniel"/>
    <x v="2"/>
    <n v="39"/>
    <x v="3"/>
    <s v="Kano"/>
    <x v="2"/>
    <s v="Rice"/>
    <x v="5"/>
    <n v="4"/>
    <n v="26800"/>
    <n v="0"/>
    <n v="107200"/>
    <x v="1"/>
    <x v="4"/>
    <x v="0"/>
    <x v="0"/>
  </r>
  <r>
    <s v="ORD11867"/>
    <x v="17"/>
    <s v="Aisha"/>
    <x v="2"/>
    <n v="18"/>
    <x v="5"/>
    <s v="Port Harcourt"/>
    <x v="2"/>
    <s v="Beans"/>
    <x v="3"/>
    <n v="2"/>
    <n v="4000"/>
    <n v="15"/>
    <n v="6800"/>
    <x v="0"/>
    <x v="4"/>
    <x v="0"/>
    <x v="0"/>
  </r>
  <r>
    <s v="ORD11868"/>
    <x v="415"/>
    <s v="Daniel"/>
    <x v="2"/>
    <n v="40"/>
    <x v="3"/>
    <s v="Kano"/>
    <x v="3"/>
    <s v="Desk"/>
    <x v="5"/>
    <n v="6"/>
    <n v="7100"/>
    <n v="15"/>
    <n v="36210"/>
    <x v="1"/>
    <x v="0"/>
    <x v="3"/>
    <x v="0"/>
  </r>
  <r>
    <s v="ORD11870"/>
    <x v="290"/>
    <s v="David"/>
    <x v="2"/>
    <n v="18"/>
    <x v="0"/>
    <s v="Enugu"/>
    <x v="0"/>
    <s v="Shoes"/>
    <x v="3"/>
    <n v="5"/>
    <n v="34400"/>
    <n v="20"/>
    <n v="137600"/>
    <x v="1"/>
    <x v="4"/>
    <x v="3"/>
    <x v="0"/>
  </r>
  <r>
    <s v="ORD11871"/>
    <x v="125"/>
    <s v="Emeka"/>
    <x v="2"/>
    <n v="48"/>
    <x v="5"/>
    <s v="Port Harcourt"/>
    <x v="0"/>
    <s v="Shirt"/>
    <x v="1"/>
    <n v="7"/>
    <n v="37500"/>
    <n v="0"/>
    <n v="262500"/>
    <x v="1"/>
    <x v="2"/>
    <x v="3"/>
    <x v="0"/>
  </r>
  <r>
    <s v="ORD11872"/>
    <x v="182"/>
    <s v="Ruth"/>
    <x v="0"/>
    <n v="29"/>
    <x v="5"/>
    <s v="Port Harcourt"/>
    <x v="2"/>
    <s v="Beans"/>
    <x v="4"/>
    <n v="10"/>
    <n v="24700"/>
    <n v="10"/>
    <n v="222300"/>
    <x v="0"/>
    <x v="1"/>
    <x v="2"/>
    <x v="0"/>
  </r>
  <r>
    <s v="ORD11875"/>
    <x v="123"/>
    <s v="Chioma"/>
    <x v="1"/>
    <n v="37"/>
    <x v="0"/>
    <s v="Enugu"/>
    <x v="1"/>
    <s v="Laptop"/>
    <x v="0"/>
    <n v="6"/>
    <n v="44200"/>
    <n v="20"/>
    <n v="212160"/>
    <x v="0"/>
    <x v="0"/>
    <x v="2"/>
    <x v="0"/>
  </r>
  <r>
    <s v="ORD11877"/>
    <x v="127"/>
    <s v="Chioma"/>
    <x v="1"/>
    <n v="27"/>
    <x v="5"/>
    <s v="Obio"/>
    <x v="1"/>
    <s v="Laptop"/>
    <x v="3"/>
    <n v="7"/>
    <n v="21000"/>
    <n v="10"/>
    <n v="132300"/>
    <x v="1"/>
    <x v="3"/>
    <x v="1"/>
    <x v="1"/>
  </r>
  <r>
    <s v="ORD11878"/>
    <x v="314"/>
    <s v="David"/>
    <x v="1"/>
    <n v="47"/>
    <x v="4"/>
    <s v="Ogbomosho"/>
    <x v="3"/>
    <s v="Chair"/>
    <x v="5"/>
    <n v="9"/>
    <n v="17600"/>
    <n v="20"/>
    <n v="126720"/>
    <x v="0"/>
    <x v="1"/>
    <x v="3"/>
    <x v="0"/>
  </r>
  <r>
    <s v="ORD11881"/>
    <x v="465"/>
    <s v="David"/>
    <x v="0"/>
    <n v="33"/>
    <x v="5"/>
    <s v="Port Harcourt"/>
    <x v="2"/>
    <s v="Rice"/>
    <x v="2"/>
    <n v="1"/>
    <n v="5000"/>
    <n v="15"/>
    <n v="4250"/>
    <x v="0"/>
    <x v="5"/>
    <x v="3"/>
    <x v="0"/>
  </r>
  <r>
    <s v="ORD11882"/>
    <x v="322"/>
    <s v="John"/>
    <x v="0"/>
    <n v="21"/>
    <x v="5"/>
    <s v="Port Harcourt"/>
    <x v="2"/>
    <s v="Beans"/>
    <x v="2"/>
    <n v="6"/>
    <n v="48000"/>
    <n v="5"/>
    <n v="273600"/>
    <x v="2"/>
    <x v="2"/>
    <x v="1"/>
    <x v="1"/>
  </r>
  <r>
    <s v="ORD11885"/>
    <x v="354"/>
    <s v="Grace"/>
    <x v="0"/>
    <n v="28"/>
    <x v="3"/>
    <s v="Kano"/>
    <x v="1"/>
    <s v="Phone"/>
    <x v="2"/>
    <n v="1"/>
    <n v="31900"/>
    <n v="25"/>
    <n v="23925"/>
    <x v="2"/>
    <x v="1"/>
    <x v="2"/>
    <x v="0"/>
  </r>
  <r>
    <s v="ORD11886"/>
    <x v="488"/>
    <s v="Aisha"/>
    <x v="0"/>
    <n v="55"/>
    <x v="2"/>
    <s v="Wuse"/>
    <x v="1"/>
    <s v="Phone"/>
    <x v="4"/>
    <n v="10"/>
    <n v="27000"/>
    <n v="25"/>
    <n v="202500"/>
    <x v="0"/>
    <x v="5"/>
    <x v="3"/>
    <x v="0"/>
  </r>
  <r>
    <s v="ORD11887"/>
    <x v="481"/>
    <s v="Daniel"/>
    <x v="1"/>
    <n v="150"/>
    <x v="4"/>
    <s v="Ogbomosho"/>
    <x v="0"/>
    <s v="Shoes"/>
    <x v="2"/>
    <n v="10"/>
    <n v="3200"/>
    <n v="10"/>
    <n v="28800"/>
    <x v="2"/>
    <x v="0"/>
    <x v="0"/>
    <x v="0"/>
  </r>
  <r>
    <s v="ORD11889"/>
    <x v="354"/>
    <s v="Grace"/>
    <x v="2"/>
    <n v="60"/>
    <x v="1"/>
    <s v="Lekki"/>
    <x v="0"/>
    <s v="Shirt"/>
    <x v="4"/>
    <n v="6"/>
    <n v="5000"/>
    <n v="20"/>
    <n v="24000"/>
    <x v="0"/>
    <x v="0"/>
    <x v="0"/>
    <x v="0"/>
  </r>
  <r>
    <s v="ORD11890"/>
    <x v="235"/>
    <s v="Peter"/>
    <x v="0"/>
    <n v="47"/>
    <x v="5"/>
    <s v="Port Harcourt"/>
    <x v="1"/>
    <s v="Laptop"/>
    <x v="5"/>
    <n v="10"/>
    <n v="32300"/>
    <n v="5"/>
    <n v="306850"/>
    <x v="0"/>
    <x v="2"/>
    <x v="3"/>
    <x v="0"/>
  </r>
  <r>
    <s v="ORD11891"/>
    <x v="474"/>
    <s v="John"/>
    <x v="0"/>
    <n v="40"/>
    <x v="2"/>
    <s v="Garki"/>
    <x v="3"/>
    <s v="Desk"/>
    <x v="4"/>
    <n v="9"/>
    <n v="49400"/>
    <n v="10"/>
    <n v="400140"/>
    <x v="1"/>
    <x v="3"/>
    <x v="3"/>
    <x v="0"/>
  </r>
  <r>
    <s v="ORD11894"/>
    <x v="0"/>
    <s v="Chioma"/>
    <x v="2"/>
    <n v="19"/>
    <x v="1"/>
    <s v="Ikeja"/>
    <x v="2"/>
    <s v="Rice"/>
    <x v="3"/>
    <n v="5"/>
    <n v="6500"/>
    <n v="20"/>
    <n v="26000"/>
    <x v="2"/>
    <x v="5"/>
    <x v="1"/>
    <x v="1"/>
  </r>
  <r>
    <s v="ORD11895"/>
    <x v="109"/>
    <s v="Aisha"/>
    <x v="1"/>
    <n v="49"/>
    <x v="3"/>
    <s v="Kano"/>
    <x v="1"/>
    <s v="Laptop"/>
    <x v="4"/>
    <n v="7"/>
    <n v="41400"/>
    <n v="0"/>
    <n v="289800"/>
    <x v="0"/>
    <x v="2"/>
    <x v="2"/>
    <x v="0"/>
  </r>
  <r>
    <s v="ORD11896"/>
    <x v="361"/>
    <s v="Grace"/>
    <x v="0"/>
    <n v="45"/>
    <x v="3"/>
    <s v="Kano"/>
    <x v="0"/>
    <s v="Shoes"/>
    <x v="4"/>
    <n v="7"/>
    <n v="4100"/>
    <n v="5"/>
    <n v="27265"/>
    <x v="2"/>
    <x v="0"/>
    <x v="3"/>
    <x v="0"/>
  </r>
  <r>
    <s v="ORD11897"/>
    <x v="373"/>
    <s v="Emeka"/>
    <x v="0"/>
    <n v="23"/>
    <x v="0"/>
    <s v="Enugu"/>
    <x v="1"/>
    <s v="Laptop"/>
    <x v="5"/>
    <n v="3"/>
    <n v="21300"/>
    <n v="20"/>
    <n v="51120"/>
    <x v="2"/>
    <x v="0"/>
    <x v="0"/>
    <x v="0"/>
  </r>
  <r>
    <s v="ORD11900"/>
    <x v="504"/>
    <s v="David"/>
    <x v="2"/>
    <n v="36"/>
    <x v="3"/>
    <s v="Kano"/>
    <x v="0"/>
    <s v="Shoes"/>
    <x v="3"/>
    <n v="1"/>
    <n v="11700"/>
    <n v="20"/>
    <n v="9360"/>
    <x v="0"/>
    <x v="3"/>
    <x v="0"/>
    <x v="0"/>
  </r>
  <r>
    <s v="ORD11901"/>
    <x v="463"/>
    <s v="Grace"/>
    <x v="2"/>
    <n v="60"/>
    <x v="1"/>
    <s v="Ikeja"/>
    <x v="2"/>
    <s v="Beans"/>
    <x v="5"/>
    <n v="3"/>
    <n v="2900"/>
    <n v="5"/>
    <n v="8265"/>
    <x v="1"/>
    <x v="0"/>
    <x v="2"/>
    <x v="0"/>
  </r>
  <r>
    <s v="ORD11902"/>
    <x v="148"/>
    <s v="Grace"/>
    <x v="0"/>
    <n v="32"/>
    <x v="4"/>
    <s v="Ogbomosho"/>
    <x v="2"/>
    <s v="Beans"/>
    <x v="1"/>
    <n v="1"/>
    <n v="41900"/>
    <n v="25"/>
    <n v="31425"/>
    <x v="2"/>
    <x v="4"/>
    <x v="3"/>
    <x v="0"/>
  </r>
  <r>
    <s v="ORD11905"/>
    <x v="525"/>
    <s v="John"/>
    <x v="2"/>
    <n v="40"/>
    <x v="5"/>
    <s v="Port Harcourt"/>
    <x v="1"/>
    <s v="Phone"/>
    <x v="4"/>
    <n v="10"/>
    <n v="24200"/>
    <n v="20"/>
    <n v="193600"/>
    <x v="0"/>
    <x v="3"/>
    <x v="0"/>
    <x v="0"/>
  </r>
  <r>
    <s v="ORD11906"/>
    <x v="211"/>
    <s v="David"/>
    <x v="0"/>
    <n v="34"/>
    <x v="1"/>
    <s v="Lekki"/>
    <x v="1"/>
    <s v="Laptop"/>
    <x v="0"/>
    <n v="1"/>
    <n v="47300"/>
    <n v="5"/>
    <n v="44935"/>
    <x v="1"/>
    <x v="3"/>
    <x v="2"/>
    <x v="0"/>
  </r>
  <r>
    <s v="ORD11907"/>
    <x v="42"/>
    <s v="David"/>
    <x v="2"/>
    <n v="60"/>
    <x v="1"/>
    <s v="Ikeja"/>
    <x v="0"/>
    <s v="Shirt"/>
    <x v="1"/>
    <n v="4"/>
    <n v="7900"/>
    <n v="10"/>
    <n v="28440"/>
    <x v="2"/>
    <x v="1"/>
    <x v="2"/>
    <x v="0"/>
  </r>
  <r>
    <s v="ORD11909"/>
    <x v="98"/>
    <s v="John"/>
    <x v="0"/>
    <n v="40"/>
    <x v="2"/>
    <s v="Wuse"/>
    <x v="1"/>
    <s v="Phone"/>
    <x v="4"/>
    <n v="5"/>
    <n v="33000"/>
    <n v="25"/>
    <n v="123750"/>
    <x v="0"/>
    <x v="2"/>
    <x v="1"/>
    <x v="1"/>
  </r>
  <r>
    <s v="ORD11910"/>
    <x v="364"/>
    <s v="Grace"/>
    <x v="2"/>
    <n v="21"/>
    <x v="1"/>
    <s v="Ikeja"/>
    <x v="3"/>
    <s v="Desk"/>
    <x v="2"/>
    <n v="10"/>
    <n v="29900"/>
    <n v="15"/>
    <n v="254150"/>
    <x v="0"/>
    <x v="0"/>
    <x v="2"/>
    <x v="0"/>
  </r>
  <r>
    <s v="ORD11912"/>
    <x v="220"/>
    <s v="Daniel"/>
    <x v="1"/>
    <n v="59"/>
    <x v="2"/>
    <s v="Wuse"/>
    <x v="2"/>
    <s v="Rice"/>
    <x v="5"/>
    <n v="6"/>
    <n v="18500"/>
    <n v="15"/>
    <n v="94350"/>
    <x v="2"/>
    <x v="0"/>
    <x v="1"/>
    <x v="1"/>
  </r>
  <r>
    <s v="ORD11913"/>
    <x v="292"/>
    <s v="Aisha"/>
    <x v="1"/>
    <n v="33"/>
    <x v="4"/>
    <s v="Ogbomosho"/>
    <x v="0"/>
    <s v="Shirt"/>
    <x v="0"/>
    <n v="6"/>
    <n v="4700"/>
    <n v="20"/>
    <n v="22560"/>
    <x v="2"/>
    <x v="0"/>
    <x v="3"/>
    <x v="0"/>
  </r>
  <r>
    <s v="ORD11914"/>
    <x v="302"/>
    <s v="Ruth"/>
    <x v="2"/>
    <n v="31"/>
    <x v="5"/>
    <s v="Obio"/>
    <x v="0"/>
    <s v="Shirt"/>
    <x v="5"/>
    <n v="4"/>
    <n v="46500"/>
    <n v="0"/>
    <n v="186000"/>
    <x v="2"/>
    <x v="0"/>
    <x v="1"/>
    <x v="1"/>
  </r>
  <r>
    <s v="ORD11915"/>
    <x v="526"/>
    <s v="Grace"/>
    <x v="0"/>
    <n v="18"/>
    <x v="3"/>
    <s v="Kano"/>
    <x v="1"/>
    <s v="Laptop"/>
    <x v="0"/>
    <n v="6"/>
    <n v="11200"/>
    <n v="5"/>
    <n v="63840"/>
    <x v="3"/>
    <x v="0"/>
    <x v="1"/>
    <x v="1"/>
  </r>
  <r>
    <s v="ORD11918"/>
    <x v="229"/>
    <s v="David"/>
    <x v="1"/>
    <n v="30"/>
    <x v="5"/>
    <s v="Port Harcourt"/>
    <x v="3"/>
    <s v="Desk"/>
    <x v="4"/>
    <n v="1"/>
    <n v="40300"/>
    <n v="25"/>
    <n v="30225"/>
    <x v="1"/>
    <x v="0"/>
    <x v="2"/>
    <x v="0"/>
  </r>
  <r>
    <s v="ORD11920"/>
    <x v="171"/>
    <s v="John"/>
    <x v="0"/>
    <n v="37"/>
    <x v="5"/>
    <s v="Port Harcourt"/>
    <x v="1"/>
    <s v="Laptop"/>
    <x v="0"/>
    <n v="3"/>
    <n v="32200"/>
    <n v="0"/>
    <n v="96600"/>
    <x v="1"/>
    <x v="0"/>
    <x v="0"/>
    <x v="0"/>
  </r>
  <r>
    <s v="ORD11922"/>
    <x v="275"/>
    <s v="Peter"/>
    <x v="1"/>
    <n v="22"/>
    <x v="1"/>
    <s v="Lekki"/>
    <x v="1"/>
    <s v="Phone"/>
    <x v="2"/>
    <n v="1"/>
    <n v="36000"/>
    <n v="0"/>
    <n v="36000"/>
    <x v="2"/>
    <x v="4"/>
    <x v="1"/>
    <x v="1"/>
  </r>
  <r>
    <s v="ORD11923"/>
    <x v="356"/>
    <s v="David"/>
    <x v="2"/>
    <n v="34"/>
    <x v="4"/>
    <s v="Ogbomosho"/>
    <x v="3"/>
    <s v="Chair"/>
    <x v="4"/>
    <n v="5"/>
    <n v="12100"/>
    <n v="5"/>
    <n v="57475"/>
    <x v="2"/>
    <x v="2"/>
    <x v="0"/>
    <x v="0"/>
  </r>
  <r>
    <s v="ORD11925"/>
    <x v="49"/>
    <s v="Peter"/>
    <x v="0"/>
    <n v="22"/>
    <x v="5"/>
    <s v="Port Harcourt"/>
    <x v="0"/>
    <s v="Shoes"/>
    <x v="5"/>
    <n v="5"/>
    <n v="11000"/>
    <n v="20"/>
    <n v="44000"/>
    <x v="1"/>
    <x v="3"/>
    <x v="1"/>
    <x v="1"/>
  </r>
  <r>
    <s v="ORD11926"/>
    <x v="527"/>
    <s v="Ruth"/>
    <x v="1"/>
    <n v="19"/>
    <x v="0"/>
    <s v="Enugu"/>
    <x v="3"/>
    <s v="Desk"/>
    <x v="2"/>
    <n v="6"/>
    <n v="7700"/>
    <n v="10"/>
    <n v="41580"/>
    <x v="1"/>
    <x v="2"/>
    <x v="2"/>
    <x v="0"/>
  </r>
  <r>
    <s v="ORD11927"/>
    <x v="426"/>
    <s v="Chioma"/>
    <x v="2"/>
    <n v="58"/>
    <x v="5"/>
    <s v="Port Harcourt"/>
    <x v="1"/>
    <s v="Phone"/>
    <x v="5"/>
    <n v="7"/>
    <n v="15000"/>
    <n v="15"/>
    <n v="89250"/>
    <x v="2"/>
    <x v="2"/>
    <x v="2"/>
    <x v="0"/>
  </r>
  <r>
    <s v="ORD11928"/>
    <x v="504"/>
    <s v="Emeka"/>
    <x v="2"/>
    <n v="31"/>
    <x v="0"/>
    <s v="Enugu"/>
    <x v="1"/>
    <s v="Phone"/>
    <x v="1"/>
    <n v="2"/>
    <n v="49200"/>
    <n v="10"/>
    <n v="88560"/>
    <x v="1"/>
    <x v="5"/>
    <x v="2"/>
    <x v="0"/>
  </r>
  <r>
    <s v="ORD11929"/>
    <x v="466"/>
    <s v="John"/>
    <x v="1"/>
    <n v="44"/>
    <x v="3"/>
    <s v="Kano"/>
    <x v="3"/>
    <s v="Desk"/>
    <x v="5"/>
    <n v="5"/>
    <n v="32200"/>
    <n v="25"/>
    <n v="120750"/>
    <x v="1"/>
    <x v="2"/>
    <x v="2"/>
    <x v="0"/>
  </r>
  <r>
    <s v="ORD11931"/>
    <x v="40"/>
    <s v="Aisha"/>
    <x v="2"/>
    <n v="33"/>
    <x v="1"/>
    <s v="Lekki"/>
    <x v="0"/>
    <s v="Shirt"/>
    <x v="4"/>
    <n v="9"/>
    <n v="24300"/>
    <n v="10"/>
    <n v="196830"/>
    <x v="0"/>
    <x v="0"/>
    <x v="1"/>
    <x v="1"/>
  </r>
  <r>
    <s v="ORD11932"/>
    <x v="260"/>
    <s v="Chioma"/>
    <x v="1"/>
    <n v="26"/>
    <x v="4"/>
    <s v="Ogbomosho"/>
    <x v="1"/>
    <s v="Phone"/>
    <x v="1"/>
    <n v="3"/>
    <n v="41600"/>
    <n v="0"/>
    <n v="124800"/>
    <x v="0"/>
    <x v="4"/>
    <x v="2"/>
    <x v="0"/>
  </r>
  <r>
    <s v="ORD11933"/>
    <x v="435"/>
    <s v="Emeka"/>
    <x v="1"/>
    <n v="46"/>
    <x v="2"/>
    <s v="Garki"/>
    <x v="3"/>
    <s v="Chair"/>
    <x v="2"/>
    <n v="6"/>
    <n v="16800"/>
    <n v="0"/>
    <n v="100800"/>
    <x v="0"/>
    <x v="1"/>
    <x v="1"/>
    <x v="1"/>
  </r>
  <r>
    <s v="ORD11934"/>
    <x v="169"/>
    <s v="Ruth"/>
    <x v="2"/>
    <n v="32"/>
    <x v="2"/>
    <s v="Wuse"/>
    <x v="0"/>
    <s v="Shirt"/>
    <x v="2"/>
    <n v="8"/>
    <n v="32900"/>
    <n v="20"/>
    <n v="210560"/>
    <x v="1"/>
    <x v="0"/>
    <x v="0"/>
    <x v="0"/>
  </r>
  <r>
    <s v="ORD11936"/>
    <x v="528"/>
    <s v="Mary"/>
    <x v="0"/>
    <n v="53"/>
    <x v="5"/>
    <s v="Obio"/>
    <x v="1"/>
    <s v="Phone"/>
    <x v="1"/>
    <n v="5"/>
    <n v="4800"/>
    <n v="5"/>
    <n v="22800"/>
    <x v="2"/>
    <x v="0"/>
    <x v="0"/>
    <x v="0"/>
  </r>
  <r>
    <s v="ORD11937"/>
    <x v="146"/>
    <s v="Aisha"/>
    <x v="0"/>
    <n v="48"/>
    <x v="0"/>
    <s v="Enugu"/>
    <x v="1"/>
    <s v="Phone"/>
    <x v="1"/>
    <n v="2"/>
    <n v="39900"/>
    <n v="10"/>
    <n v="71820"/>
    <x v="0"/>
    <x v="2"/>
    <x v="2"/>
    <x v="0"/>
  </r>
  <r>
    <s v="ORD11938"/>
    <x v="320"/>
    <s v="John"/>
    <x v="0"/>
    <n v="63"/>
    <x v="2"/>
    <s v="Wuse"/>
    <x v="1"/>
    <s v="Phone"/>
    <x v="5"/>
    <n v="6"/>
    <n v="10200"/>
    <n v="15"/>
    <n v="52020"/>
    <x v="0"/>
    <x v="1"/>
    <x v="2"/>
    <x v="0"/>
  </r>
  <r>
    <s v="ORD11940"/>
    <x v="203"/>
    <s v="Grace"/>
    <x v="2"/>
    <n v="48"/>
    <x v="1"/>
    <s v="Ikeja"/>
    <x v="2"/>
    <s v="Rice"/>
    <x v="2"/>
    <n v="10"/>
    <n v="19400"/>
    <n v="0"/>
    <n v="194000"/>
    <x v="1"/>
    <x v="2"/>
    <x v="3"/>
    <x v="0"/>
  </r>
  <r>
    <s v="ORD11941"/>
    <x v="22"/>
    <s v="Peter"/>
    <x v="1"/>
    <n v="27"/>
    <x v="3"/>
    <s v="Kano"/>
    <x v="1"/>
    <s v="Phone"/>
    <x v="0"/>
    <n v="7"/>
    <n v="31000"/>
    <n v="0"/>
    <n v="217000"/>
    <x v="1"/>
    <x v="0"/>
    <x v="0"/>
    <x v="0"/>
  </r>
  <r>
    <s v="ORD11942"/>
    <x v="529"/>
    <s v="Mary"/>
    <x v="0"/>
    <n v="48"/>
    <x v="4"/>
    <s v="Ogbomosho"/>
    <x v="0"/>
    <s v="Shirt"/>
    <x v="1"/>
    <n v="10"/>
    <n v="25100"/>
    <n v="15"/>
    <n v="213350"/>
    <x v="1"/>
    <x v="0"/>
    <x v="2"/>
    <x v="0"/>
  </r>
  <r>
    <s v="ORD11943"/>
    <x v="505"/>
    <s v="Emeka"/>
    <x v="2"/>
    <n v="46"/>
    <x v="4"/>
    <s v="Ibadan"/>
    <x v="2"/>
    <s v="Rice"/>
    <x v="0"/>
    <n v="4"/>
    <n v="8500"/>
    <n v="15"/>
    <n v="28900"/>
    <x v="1"/>
    <x v="0"/>
    <x v="0"/>
    <x v="0"/>
  </r>
  <r>
    <s v="ORD11945"/>
    <x v="396"/>
    <s v="Mary"/>
    <x v="2"/>
    <n v="23"/>
    <x v="3"/>
    <s v="Kano"/>
    <x v="2"/>
    <s v="Rice"/>
    <x v="3"/>
    <n v="9"/>
    <n v="16600"/>
    <n v="20"/>
    <n v="119520"/>
    <x v="0"/>
    <x v="0"/>
    <x v="0"/>
    <x v="0"/>
  </r>
  <r>
    <s v="ORD11948"/>
    <x v="437"/>
    <s v="Aisha"/>
    <x v="0"/>
    <n v="39"/>
    <x v="0"/>
    <s v="Enugu"/>
    <x v="0"/>
    <s v="Shoes"/>
    <x v="3"/>
    <n v="2"/>
    <n v="22600"/>
    <n v="20"/>
    <n v="36160"/>
    <x v="0"/>
    <x v="0"/>
    <x v="2"/>
    <x v="0"/>
  </r>
  <r>
    <s v="ORD11949"/>
    <x v="363"/>
    <s v="Grace"/>
    <x v="2"/>
    <n v="43"/>
    <x v="4"/>
    <s v="Ibadan"/>
    <x v="0"/>
    <s v="Shirt"/>
    <x v="1"/>
    <n v="10"/>
    <n v="35500"/>
    <n v="10"/>
    <n v="319500"/>
    <x v="1"/>
    <x v="0"/>
    <x v="1"/>
    <x v="1"/>
  </r>
  <r>
    <s v="ORD11950"/>
    <x v="157"/>
    <s v="Chioma"/>
    <x v="0"/>
    <n v="49"/>
    <x v="0"/>
    <s v="Enugu"/>
    <x v="2"/>
    <s v="Rice"/>
    <x v="3"/>
    <n v="1"/>
    <n v="2700"/>
    <n v="0"/>
    <n v="2700"/>
    <x v="0"/>
    <x v="4"/>
    <x v="2"/>
    <x v="0"/>
  </r>
  <r>
    <s v="ORD11951"/>
    <x v="19"/>
    <s v="Emeka"/>
    <x v="0"/>
    <n v="31"/>
    <x v="4"/>
    <s v="Ogbomosho"/>
    <x v="1"/>
    <s v="Laptop"/>
    <x v="0"/>
    <n v="10"/>
    <n v="9100"/>
    <n v="25"/>
    <n v="68250"/>
    <x v="0"/>
    <x v="3"/>
    <x v="2"/>
    <x v="0"/>
  </r>
  <r>
    <s v="ORD11952"/>
    <x v="117"/>
    <s v="David"/>
    <x v="2"/>
    <n v="42"/>
    <x v="5"/>
    <s v="Port Harcourt"/>
    <x v="0"/>
    <s v="Shoes"/>
    <x v="0"/>
    <n v="8"/>
    <n v="42000"/>
    <n v="0"/>
    <n v="336000"/>
    <x v="0"/>
    <x v="5"/>
    <x v="3"/>
    <x v="0"/>
  </r>
  <r>
    <s v="ORD11953"/>
    <x v="530"/>
    <s v="John"/>
    <x v="2"/>
    <n v="47"/>
    <x v="5"/>
    <s v="Obio"/>
    <x v="2"/>
    <s v="Rice"/>
    <x v="1"/>
    <n v="4"/>
    <n v="27300"/>
    <n v="0"/>
    <n v="109200"/>
    <x v="0"/>
    <x v="0"/>
    <x v="3"/>
    <x v="0"/>
  </r>
  <r>
    <s v="ORD11954"/>
    <x v="49"/>
    <s v="Mary"/>
    <x v="1"/>
    <n v="41"/>
    <x v="0"/>
    <s v="Enugu"/>
    <x v="0"/>
    <s v="Shoes"/>
    <x v="1"/>
    <n v="7"/>
    <n v="47300"/>
    <n v="25"/>
    <n v="248325"/>
    <x v="1"/>
    <x v="2"/>
    <x v="1"/>
    <x v="1"/>
  </r>
  <r>
    <s v="ORD11955"/>
    <x v="273"/>
    <s v="Ruth"/>
    <x v="2"/>
    <n v="34"/>
    <x v="4"/>
    <s v="Ibadan"/>
    <x v="1"/>
    <s v="Laptop"/>
    <x v="1"/>
    <n v="9"/>
    <n v="15800"/>
    <n v="15"/>
    <n v="120870"/>
    <x v="0"/>
    <x v="0"/>
    <x v="3"/>
    <x v="0"/>
  </r>
  <r>
    <s v="ORD11956"/>
    <x v="477"/>
    <s v="Aisha"/>
    <x v="0"/>
    <n v="46"/>
    <x v="3"/>
    <s v="Kano"/>
    <x v="3"/>
    <s v="Chair"/>
    <x v="2"/>
    <n v="3"/>
    <n v="27600"/>
    <n v="20"/>
    <n v="66240"/>
    <x v="1"/>
    <x v="2"/>
    <x v="2"/>
    <x v="0"/>
  </r>
  <r>
    <s v="ORD11957"/>
    <x v="531"/>
    <s v="Chioma"/>
    <x v="1"/>
    <n v="21"/>
    <x v="5"/>
    <s v="Obio"/>
    <x v="2"/>
    <s v="Rice"/>
    <x v="1"/>
    <n v="2"/>
    <n v="30700"/>
    <n v="20"/>
    <n v="49120"/>
    <x v="1"/>
    <x v="3"/>
    <x v="1"/>
    <x v="1"/>
  </r>
  <r>
    <s v="ORD11958"/>
    <x v="102"/>
    <s v="Peter"/>
    <x v="2"/>
    <n v="43"/>
    <x v="3"/>
    <s v="Kano"/>
    <x v="2"/>
    <s v="Beans"/>
    <x v="1"/>
    <n v="8"/>
    <n v="44500"/>
    <n v="25"/>
    <n v="267000"/>
    <x v="1"/>
    <x v="0"/>
    <x v="3"/>
    <x v="0"/>
  </r>
  <r>
    <s v="ORD11959"/>
    <x v="149"/>
    <s v="Aisha"/>
    <x v="1"/>
    <n v="57"/>
    <x v="1"/>
    <s v="Lekki"/>
    <x v="1"/>
    <s v="Laptop"/>
    <x v="4"/>
    <n v="7"/>
    <n v="30900"/>
    <n v="0"/>
    <n v="216300"/>
    <x v="1"/>
    <x v="2"/>
    <x v="3"/>
    <x v="0"/>
  </r>
  <r>
    <s v="ORD11960"/>
    <x v="154"/>
    <s v="Grace"/>
    <x v="0"/>
    <n v="42"/>
    <x v="4"/>
    <s v="Ogbomosho"/>
    <x v="0"/>
    <s v="Shoes"/>
    <x v="3"/>
    <n v="2"/>
    <n v="26800"/>
    <n v="10"/>
    <n v="48240"/>
    <x v="1"/>
    <x v="2"/>
    <x v="0"/>
    <x v="0"/>
  </r>
  <r>
    <s v="ORD11961"/>
    <x v="113"/>
    <s v="David"/>
    <x v="2"/>
    <n v="30"/>
    <x v="4"/>
    <s v="Ibadan"/>
    <x v="0"/>
    <s v="Shirt"/>
    <x v="5"/>
    <n v="10"/>
    <n v="11200"/>
    <n v="5"/>
    <n v="106400"/>
    <x v="1"/>
    <x v="5"/>
    <x v="0"/>
    <x v="0"/>
  </r>
  <r>
    <s v="ORD11962"/>
    <x v="136"/>
    <s v="Chioma"/>
    <x v="2"/>
    <n v="63"/>
    <x v="1"/>
    <s v="Lekki"/>
    <x v="2"/>
    <s v="Beans"/>
    <x v="4"/>
    <n v="2"/>
    <n v="12900"/>
    <n v="0"/>
    <n v="25800"/>
    <x v="1"/>
    <x v="2"/>
    <x v="0"/>
    <x v="0"/>
  </r>
  <r>
    <s v="ORD11963"/>
    <x v="390"/>
    <s v="Mary"/>
    <x v="0"/>
    <n v="38"/>
    <x v="5"/>
    <s v="Obio"/>
    <x v="1"/>
    <s v="Laptop"/>
    <x v="0"/>
    <n v="1"/>
    <n v="47300"/>
    <n v="25"/>
    <n v="35475"/>
    <x v="0"/>
    <x v="3"/>
    <x v="1"/>
    <x v="1"/>
  </r>
  <r>
    <s v="ORD11965"/>
    <x v="108"/>
    <s v="Daniel"/>
    <x v="2"/>
    <n v="26"/>
    <x v="1"/>
    <s v="Lekki"/>
    <x v="0"/>
    <s v="Shirt"/>
    <x v="2"/>
    <n v="8"/>
    <n v="28700"/>
    <n v="5"/>
    <n v="218120"/>
    <x v="1"/>
    <x v="0"/>
    <x v="2"/>
    <x v="0"/>
  </r>
  <r>
    <s v="ORD11966"/>
    <x v="222"/>
    <s v="Chioma"/>
    <x v="1"/>
    <n v="37"/>
    <x v="5"/>
    <s v="Port Harcourt"/>
    <x v="2"/>
    <s v="Rice"/>
    <x v="1"/>
    <n v="7"/>
    <n v="38700"/>
    <n v="15"/>
    <n v="230265"/>
    <x v="1"/>
    <x v="2"/>
    <x v="1"/>
    <x v="1"/>
  </r>
  <r>
    <s v="ORD11967"/>
    <x v="7"/>
    <s v="Peter"/>
    <x v="0"/>
    <n v="60"/>
    <x v="2"/>
    <s v="Garki"/>
    <x v="2"/>
    <s v="Rice"/>
    <x v="3"/>
    <n v="7"/>
    <n v="2400"/>
    <n v="20"/>
    <n v="13440"/>
    <x v="1"/>
    <x v="2"/>
    <x v="1"/>
    <x v="1"/>
  </r>
  <r>
    <s v="ORD11968"/>
    <x v="285"/>
    <s v="Aisha"/>
    <x v="2"/>
    <n v="47"/>
    <x v="5"/>
    <s v="Obio"/>
    <x v="1"/>
    <s v="Laptop"/>
    <x v="3"/>
    <n v="6"/>
    <n v="23000"/>
    <n v="10"/>
    <n v="124200"/>
    <x v="1"/>
    <x v="0"/>
    <x v="0"/>
    <x v="0"/>
  </r>
  <r>
    <s v="ORD11969"/>
    <x v="391"/>
    <s v="John"/>
    <x v="0"/>
    <n v="48"/>
    <x v="3"/>
    <s v="Kano"/>
    <x v="3"/>
    <s v="Desk"/>
    <x v="0"/>
    <n v="10"/>
    <n v="31400"/>
    <n v="5"/>
    <n v="298300"/>
    <x v="1"/>
    <x v="0"/>
    <x v="2"/>
    <x v="0"/>
  </r>
  <r>
    <s v="ORD11970"/>
    <x v="0"/>
    <s v="Peter"/>
    <x v="2"/>
    <n v="65"/>
    <x v="1"/>
    <s v="Ikeja"/>
    <x v="1"/>
    <s v="Laptop"/>
    <x v="4"/>
    <n v="1"/>
    <n v="16300"/>
    <n v="5"/>
    <n v="15485"/>
    <x v="2"/>
    <x v="4"/>
    <x v="2"/>
    <x v="0"/>
  </r>
  <r>
    <s v="ORD11971"/>
    <x v="217"/>
    <s v="Aisha"/>
    <x v="2"/>
    <n v="64"/>
    <x v="3"/>
    <s v="Kano"/>
    <x v="0"/>
    <s v="Shoes"/>
    <x v="2"/>
    <n v="7"/>
    <n v="42100"/>
    <n v="20"/>
    <n v="235760"/>
    <x v="0"/>
    <x v="1"/>
    <x v="3"/>
    <x v="0"/>
  </r>
  <r>
    <s v="ORD11972"/>
    <x v="532"/>
    <s v="Grace"/>
    <x v="0"/>
    <n v="29"/>
    <x v="1"/>
    <s v="Ikeja"/>
    <x v="0"/>
    <s v="Shoes"/>
    <x v="1"/>
    <n v="5"/>
    <n v="21700"/>
    <n v="25"/>
    <n v="81375"/>
    <x v="2"/>
    <x v="0"/>
    <x v="2"/>
    <x v="0"/>
  </r>
  <r>
    <s v="ORD11973"/>
    <x v="271"/>
    <s v="Aisha"/>
    <x v="0"/>
    <n v="58"/>
    <x v="4"/>
    <s v="Ibadan"/>
    <x v="3"/>
    <s v="Chair"/>
    <x v="1"/>
    <n v="9"/>
    <n v="37600"/>
    <n v="15"/>
    <n v="287640"/>
    <x v="2"/>
    <x v="1"/>
    <x v="2"/>
    <x v="0"/>
  </r>
  <r>
    <s v="ORD11975"/>
    <x v="97"/>
    <s v="Aisha"/>
    <x v="2"/>
    <n v="48"/>
    <x v="4"/>
    <s v="Ibadan"/>
    <x v="0"/>
    <s v="Shirt"/>
    <x v="0"/>
    <n v="7"/>
    <n v="24100"/>
    <n v="15"/>
    <n v="143395"/>
    <x v="0"/>
    <x v="5"/>
    <x v="2"/>
    <x v="0"/>
  </r>
  <r>
    <s v="ORD11976"/>
    <x v="202"/>
    <s v="Grace"/>
    <x v="0"/>
    <n v="48"/>
    <x v="0"/>
    <s v="Enugu"/>
    <x v="0"/>
    <s v="Shirt"/>
    <x v="2"/>
    <n v="9"/>
    <n v="5300"/>
    <n v="10"/>
    <n v="42930"/>
    <x v="1"/>
    <x v="0"/>
    <x v="0"/>
    <x v="0"/>
  </r>
  <r>
    <s v="ORD11977"/>
    <x v="533"/>
    <s v="Grace"/>
    <x v="0"/>
    <n v="61"/>
    <x v="0"/>
    <s v="Enugu"/>
    <x v="3"/>
    <s v="Desk"/>
    <x v="0"/>
    <n v="2"/>
    <n v="8400"/>
    <n v="10"/>
    <n v="15120"/>
    <x v="1"/>
    <x v="3"/>
    <x v="2"/>
    <x v="0"/>
  </r>
  <r>
    <s v="ORD11978"/>
    <x v="10"/>
    <s v="Peter"/>
    <x v="0"/>
    <n v="60"/>
    <x v="5"/>
    <s v="Port Harcourt"/>
    <x v="3"/>
    <s v="Chair"/>
    <x v="1"/>
    <n v="2"/>
    <n v="44100"/>
    <n v="25"/>
    <n v="66150"/>
    <x v="2"/>
    <x v="1"/>
    <x v="0"/>
    <x v="0"/>
  </r>
  <r>
    <s v="ORD11980"/>
    <x v="407"/>
    <s v="David"/>
    <x v="2"/>
    <n v="56"/>
    <x v="2"/>
    <s v="Garki"/>
    <x v="0"/>
    <s v="Shirt"/>
    <x v="1"/>
    <n v="10"/>
    <n v="20700"/>
    <n v="25"/>
    <n v="155250"/>
    <x v="0"/>
    <x v="5"/>
    <x v="1"/>
    <x v="1"/>
  </r>
  <r>
    <s v="ORD11981"/>
    <x v="229"/>
    <s v="Grace"/>
    <x v="1"/>
    <n v="51"/>
    <x v="5"/>
    <s v="Obio"/>
    <x v="0"/>
    <s v="Shoes"/>
    <x v="0"/>
    <n v="1"/>
    <n v="42100"/>
    <n v="0"/>
    <n v="42100"/>
    <x v="0"/>
    <x v="3"/>
    <x v="1"/>
    <x v="1"/>
  </r>
  <r>
    <s v="ORD11982"/>
    <x v="152"/>
    <s v="Peter"/>
    <x v="1"/>
    <n v="42"/>
    <x v="2"/>
    <s v="Garki"/>
    <x v="1"/>
    <s v="Phone"/>
    <x v="0"/>
    <n v="2"/>
    <n v="43300"/>
    <n v="25"/>
    <n v="64950"/>
    <x v="0"/>
    <x v="2"/>
    <x v="1"/>
    <x v="1"/>
  </r>
  <r>
    <s v="ORD11983"/>
    <x v="158"/>
    <s v="David"/>
    <x v="2"/>
    <n v="56"/>
    <x v="4"/>
    <s v="Ogbomosho"/>
    <x v="1"/>
    <s v="Laptop"/>
    <x v="5"/>
    <n v="4"/>
    <n v="11000"/>
    <n v="25"/>
    <n v="33000"/>
    <x v="1"/>
    <x v="2"/>
    <x v="0"/>
    <x v="0"/>
  </r>
  <r>
    <s v="ORD11984"/>
    <x v="267"/>
    <s v="Chioma"/>
    <x v="2"/>
    <n v="37"/>
    <x v="5"/>
    <s v="Port Harcourt"/>
    <x v="2"/>
    <s v="Rice"/>
    <x v="5"/>
    <n v="2"/>
    <n v="46300"/>
    <n v="10"/>
    <n v="83340"/>
    <x v="1"/>
    <x v="5"/>
    <x v="3"/>
    <x v="0"/>
  </r>
  <r>
    <s v="ORD11986"/>
    <x v="273"/>
    <s v="Emeka"/>
    <x v="0"/>
    <n v="35"/>
    <x v="3"/>
    <s v="Kano"/>
    <x v="2"/>
    <s v="Rice"/>
    <x v="5"/>
    <n v="4"/>
    <n v="14500"/>
    <n v="10"/>
    <n v="52200"/>
    <x v="2"/>
    <x v="0"/>
    <x v="1"/>
    <x v="1"/>
  </r>
  <r>
    <s v="ORD11987"/>
    <x v="434"/>
    <s v="David"/>
    <x v="1"/>
    <n v="28"/>
    <x v="1"/>
    <s v="Ikeja"/>
    <x v="1"/>
    <s v="Phone"/>
    <x v="0"/>
    <n v="2"/>
    <n v="41200"/>
    <n v="0"/>
    <n v="82400"/>
    <x v="2"/>
    <x v="0"/>
    <x v="0"/>
    <x v="0"/>
  </r>
  <r>
    <s v="ORD11988"/>
    <x v="266"/>
    <s v="Aisha"/>
    <x v="2"/>
    <n v="61"/>
    <x v="1"/>
    <s v="Lekki"/>
    <x v="3"/>
    <s v="Chair"/>
    <x v="0"/>
    <n v="7"/>
    <n v="34500"/>
    <n v="0"/>
    <n v="241500"/>
    <x v="0"/>
    <x v="3"/>
    <x v="1"/>
    <x v="1"/>
  </r>
  <r>
    <s v="ORD11989"/>
    <x v="109"/>
    <s v="Mary"/>
    <x v="2"/>
    <n v="35"/>
    <x v="3"/>
    <s v="Kano"/>
    <x v="1"/>
    <s v="Laptop"/>
    <x v="3"/>
    <n v="7"/>
    <n v="10600"/>
    <n v="5"/>
    <n v="70490"/>
    <x v="1"/>
    <x v="0"/>
    <x v="1"/>
    <x v="1"/>
  </r>
  <r>
    <s v="ORD11990"/>
    <x v="209"/>
    <s v="Aisha"/>
    <x v="0"/>
    <n v="58"/>
    <x v="5"/>
    <s v="Obio"/>
    <x v="3"/>
    <s v="Desk"/>
    <x v="0"/>
    <n v="1"/>
    <n v="21300"/>
    <n v="5"/>
    <n v="20235"/>
    <x v="2"/>
    <x v="5"/>
    <x v="0"/>
    <x v="0"/>
  </r>
  <r>
    <s v="ORD11991"/>
    <x v="218"/>
    <s v="John"/>
    <x v="0"/>
    <n v="61"/>
    <x v="4"/>
    <s v="Ogbomosho"/>
    <x v="1"/>
    <s v="Phone"/>
    <x v="3"/>
    <n v="4"/>
    <n v="31900"/>
    <n v="5"/>
    <n v="121220"/>
    <x v="0"/>
    <x v="5"/>
    <x v="3"/>
    <x v="0"/>
  </r>
  <r>
    <s v="ORD11992"/>
    <x v="193"/>
    <s v="Daniel"/>
    <x v="2"/>
    <n v="22"/>
    <x v="1"/>
    <s v="Lekki"/>
    <x v="2"/>
    <s v="Rice"/>
    <x v="1"/>
    <n v="4"/>
    <n v="23400"/>
    <n v="25"/>
    <n v="70200"/>
    <x v="1"/>
    <x v="3"/>
    <x v="1"/>
    <x v="1"/>
  </r>
  <r>
    <s v="ORD11993"/>
    <x v="441"/>
    <s v="Grace"/>
    <x v="1"/>
    <n v="62"/>
    <x v="1"/>
    <s v="Ikeja"/>
    <x v="0"/>
    <s v="Shoes"/>
    <x v="2"/>
    <n v="5"/>
    <n v="2500"/>
    <n v="5"/>
    <n v="11875"/>
    <x v="1"/>
    <x v="0"/>
    <x v="2"/>
    <x v="0"/>
  </r>
  <r>
    <s v="ORD11994"/>
    <x v="508"/>
    <s v="Grace"/>
    <x v="2"/>
    <n v="29"/>
    <x v="4"/>
    <s v="Ogbomosho"/>
    <x v="2"/>
    <s v="Beans"/>
    <x v="4"/>
    <n v="3"/>
    <n v="5200"/>
    <n v="25"/>
    <n v="11700"/>
    <x v="1"/>
    <x v="5"/>
    <x v="3"/>
    <x v="0"/>
  </r>
  <r>
    <s v="ORD11995"/>
    <x v="82"/>
    <s v="Grace"/>
    <x v="1"/>
    <n v="48"/>
    <x v="3"/>
    <s v="Kano"/>
    <x v="3"/>
    <s v="Chair"/>
    <x v="4"/>
    <n v="4"/>
    <n v="45800"/>
    <n v="25"/>
    <n v="137400"/>
    <x v="1"/>
    <x v="4"/>
    <x v="0"/>
    <x v="0"/>
  </r>
  <r>
    <s v="ORD11996"/>
    <x v="42"/>
    <s v="Aisha"/>
    <x v="2"/>
    <n v="53"/>
    <x v="3"/>
    <s v="Kano"/>
    <x v="3"/>
    <s v="Chair"/>
    <x v="5"/>
    <n v="9"/>
    <n v="49300"/>
    <n v="25"/>
    <n v="332775"/>
    <x v="0"/>
    <x v="5"/>
    <x v="3"/>
    <x v="0"/>
  </r>
  <r>
    <s v="ORD11997"/>
    <x v="91"/>
    <s v="Mary"/>
    <x v="2"/>
    <n v="32"/>
    <x v="2"/>
    <s v="Garki"/>
    <x v="3"/>
    <s v="Desk"/>
    <x v="3"/>
    <n v="1"/>
    <n v="44800"/>
    <n v="5"/>
    <n v="42560"/>
    <x v="0"/>
    <x v="1"/>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E31C4A-A1A1-4189-BC94-773D3CC230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B18" firstHeaderRow="1" firstDataRow="1" firstDataCol="1"/>
  <pivotFields count="21">
    <pivotField showAll="0"/>
    <pivotField numFmtId="14" showAll="0">
      <items count="535">
        <item x="441"/>
        <item x="330"/>
        <item x="254"/>
        <item x="462"/>
        <item x="102"/>
        <item x="207"/>
        <item x="368"/>
        <item x="378"/>
        <item x="312"/>
        <item x="265"/>
        <item x="38"/>
        <item x="94"/>
        <item x="469"/>
        <item x="32"/>
        <item x="155"/>
        <item x="278"/>
        <item x="495"/>
        <item x="396"/>
        <item x="511"/>
        <item x="85"/>
        <item x="351"/>
        <item x="134"/>
        <item x="304"/>
        <item x="253"/>
        <item x="440"/>
        <item x="60"/>
        <item x="37"/>
        <item x="415"/>
        <item x="405"/>
        <item x="326"/>
        <item x="140"/>
        <item x="356"/>
        <item x="125"/>
        <item x="173"/>
        <item x="298"/>
        <item x="120"/>
        <item x="481"/>
        <item x="316"/>
        <item x="259"/>
        <item x="182"/>
        <item x="338"/>
        <item x="492"/>
        <item x="512"/>
        <item x="451"/>
        <item x="395"/>
        <item x="267"/>
        <item x="354"/>
        <item x="399"/>
        <item x="276"/>
        <item x="192"/>
        <item x="20"/>
        <item x="1"/>
        <item x="191"/>
        <item x="151"/>
        <item x="53"/>
        <item x="186"/>
        <item x="486"/>
        <item x="56"/>
        <item x="261"/>
        <item x="158"/>
        <item x="122"/>
        <item x="88"/>
        <item x="450"/>
        <item x="221"/>
        <item x="123"/>
        <item x="219"/>
        <item x="270"/>
        <item x="40"/>
        <item x="475"/>
        <item x="131"/>
        <item x="41"/>
        <item x="381"/>
        <item x="387"/>
        <item x="103"/>
        <item x="497"/>
        <item x="436"/>
        <item x="164"/>
        <item x="6"/>
        <item x="347"/>
        <item x="212"/>
        <item x="290"/>
        <item x="429"/>
        <item x="355"/>
        <item x="320"/>
        <item x="319"/>
        <item x="199"/>
        <item x="232"/>
        <item x="376"/>
        <item x="208"/>
        <item x="315"/>
        <item x="476"/>
        <item x="332"/>
        <item x="438"/>
        <item x="419"/>
        <item x="17"/>
        <item x="299"/>
        <item x="167"/>
        <item x="100"/>
        <item x="375"/>
        <item x="110"/>
        <item x="90"/>
        <item x="237"/>
        <item x="48"/>
        <item x="263"/>
        <item x="193"/>
        <item x="118"/>
        <item x="385"/>
        <item x="24"/>
        <item x="352"/>
        <item x="447"/>
        <item x="225"/>
        <item x="473"/>
        <item x="119"/>
        <item x="401"/>
        <item x="216"/>
        <item x="422"/>
        <item x="214"/>
        <item x="349"/>
        <item x="339"/>
        <item x="50"/>
        <item x="410"/>
        <item x="109"/>
        <item x="229"/>
        <item x="301"/>
        <item x="71"/>
        <item x="5"/>
        <item x="92"/>
        <item x="489"/>
        <item x="230"/>
        <item x="162"/>
        <item x="273"/>
        <item x="51"/>
        <item x="439"/>
        <item x="73"/>
        <item x="377"/>
        <item x="288"/>
        <item x="226"/>
        <item x="416"/>
        <item x="402"/>
        <item x="409"/>
        <item x="146"/>
        <item x="280"/>
        <item x="522"/>
        <item x="397"/>
        <item x="344"/>
        <item x="249"/>
        <item x="240"/>
        <item x="180"/>
        <item x="520"/>
        <item x="35"/>
        <item x="68"/>
        <item x="39"/>
        <item x="133"/>
        <item x="217"/>
        <item x="251"/>
        <item x="184"/>
        <item x="236"/>
        <item x="95"/>
        <item x="250"/>
        <item x="245"/>
        <item x="27"/>
        <item x="470"/>
        <item x="361"/>
        <item x="482"/>
        <item x="373"/>
        <item x="372"/>
        <item x="19"/>
        <item x="533"/>
        <item x="277"/>
        <item x="75"/>
        <item x="268"/>
        <item x="149"/>
        <item x="172"/>
        <item x="413"/>
        <item x="171"/>
        <item x="220"/>
        <item x="364"/>
        <item x="228"/>
        <item x="165"/>
        <item x="391"/>
        <item x="215"/>
        <item x="258"/>
        <item x="160"/>
        <item x="181"/>
        <item x="309"/>
        <item x="223"/>
        <item x="367"/>
        <item x="80"/>
        <item x="15"/>
        <item x="359"/>
        <item x="531"/>
        <item x="97"/>
        <item x="513"/>
        <item x="444"/>
        <item x="196"/>
        <item x="528"/>
        <item x="275"/>
        <item x="59"/>
        <item x="357"/>
        <item x="256"/>
        <item x="252"/>
        <item x="209"/>
        <item x="168"/>
        <item x="323"/>
        <item x="428"/>
        <item x="14"/>
        <item x="342"/>
        <item x="478"/>
        <item x="69"/>
        <item x="33"/>
        <item x="79"/>
        <item x="143"/>
        <item x="417"/>
        <item x="205"/>
        <item x="353"/>
        <item x="210"/>
        <item x="83"/>
        <item x="113"/>
        <item x="310"/>
        <item x="501"/>
        <item x="286"/>
        <item x="529"/>
        <item x="81"/>
        <item x="46"/>
        <item x="452"/>
        <item x="346"/>
        <item x="177"/>
        <item x="406"/>
        <item x="55"/>
        <item x="477"/>
        <item x="70"/>
        <item x="106"/>
        <item x="194"/>
        <item x="128"/>
        <item x="465"/>
        <item x="195"/>
        <item x="67"/>
        <item x="222"/>
        <item x="197"/>
        <item x="166"/>
        <item x="87"/>
        <item x="227"/>
        <item x="284"/>
        <item x="453"/>
        <item x="28"/>
        <item x="266"/>
        <item x="307"/>
        <item x="514"/>
        <item x="12"/>
        <item x="282"/>
        <item x="485"/>
        <item x="170"/>
        <item x="292"/>
        <item x="137"/>
        <item x="499"/>
        <item x="107"/>
        <item x="527"/>
        <item x="467"/>
        <item x="366"/>
        <item x="426"/>
        <item x="295"/>
        <item x="308"/>
        <item x="437"/>
        <item x="414"/>
        <item x="244"/>
        <item x="161"/>
        <item x="505"/>
        <item x="138"/>
        <item x="456"/>
        <item x="393"/>
        <item x="300"/>
        <item x="291"/>
        <item x="424"/>
        <item x="504"/>
        <item x="468"/>
        <item x="18"/>
        <item x="302"/>
        <item x="283"/>
        <item x="461"/>
        <item x="242"/>
        <item x="211"/>
        <item x="98"/>
        <item x="111"/>
        <item x="44"/>
        <item x="255"/>
        <item x="4"/>
        <item x="457"/>
        <item x="518"/>
        <item x="43"/>
        <item x="480"/>
        <item x="374"/>
        <item x="178"/>
        <item x="479"/>
        <item x="104"/>
        <item x="287"/>
        <item x="425"/>
        <item x="0"/>
        <item x="203"/>
        <item x="337"/>
        <item x="49"/>
        <item x="524"/>
        <item x="246"/>
        <item x="345"/>
        <item x="23"/>
        <item x="188"/>
        <item x="30"/>
        <item x="420"/>
        <item x="78"/>
        <item x="362"/>
        <item x="116"/>
        <item x="293"/>
        <item x="408"/>
        <item x="243"/>
        <item x="471"/>
        <item x="269"/>
        <item x="16"/>
        <item x="516"/>
        <item x="206"/>
        <item x="65"/>
        <item x="108"/>
        <item x="66"/>
        <item x="257"/>
        <item x="57"/>
        <item x="130"/>
        <item x="224"/>
        <item x="435"/>
        <item x="392"/>
        <item x="472"/>
        <item x="93"/>
        <item x="84"/>
        <item x="412"/>
        <item x="525"/>
        <item x="176"/>
        <item x="488"/>
        <item x="464"/>
        <item x="306"/>
        <item x="386"/>
        <item x="58"/>
        <item x="233"/>
        <item x="388"/>
        <item x="190"/>
        <item x="383"/>
        <item x="285"/>
        <item x="200"/>
        <item x="294"/>
        <item x="314"/>
        <item x="54"/>
        <item x="318"/>
        <item x="260"/>
        <item x="185"/>
        <item x="491"/>
        <item x="432"/>
        <item x="13"/>
        <item x="325"/>
        <item x="121"/>
        <item x="407"/>
        <item x="466"/>
        <item x="82"/>
        <item x="503"/>
        <item x="271"/>
        <item x="371"/>
        <item x="530"/>
        <item x="493"/>
        <item x="333"/>
        <item x="34"/>
        <item x="523"/>
        <item x="241"/>
        <item x="459"/>
        <item x="281"/>
        <item x="96"/>
        <item x="508"/>
        <item x="403"/>
        <item x="418"/>
        <item x="112"/>
        <item x="202"/>
        <item x="117"/>
        <item x="247"/>
        <item x="91"/>
        <item x="404"/>
        <item x="500"/>
        <item x="384"/>
        <item x="335"/>
        <item x="274"/>
        <item x="183"/>
        <item x="448"/>
        <item x="29"/>
        <item x="101"/>
        <item x="336"/>
        <item x="297"/>
        <item x="77"/>
        <item x="262"/>
        <item x="331"/>
        <item x="515"/>
        <item x="61"/>
        <item x="341"/>
        <item x="152"/>
        <item x="455"/>
        <item x="317"/>
        <item x="187"/>
        <item x="360"/>
        <item x="175"/>
        <item x="147"/>
        <item x="72"/>
        <item x="521"/>
        <item x="198"/>
        <item x="327"/>
        <item x="431"/>
        <item x="126"/>
        <item x="363"/>
        <item x="365"/>
        <item x="483"/>
        <item x="248"/>
        <item x="433"/>
        <item x="321"/>
        <item x="328"/>
        <item x="498"/>
        <item x="400"/>
        <item x="394"/>
        <item x="490"/>
        <item x="390"/>
        <item x="204"/>
        <item x="45"/>
        <item x="99"/>
        <item x="22"/>
        <item x="114"/>
        <item x="389"/>
        <item x="350"/>
        <item x="157"/>
        <item x="26"/>
        <item x="264"/>
        <item x="144"/>
        <item x="63"/>
        <item x="380"/>
        <item x="86"/>
        <item x="458"/>
        <item x="11"/>
        <item x="322"/>
        <item x="25"/>
        <item x="519"/>
        <item x="231"/>
        <item x="509"/>
        <item x="139"/>
        <item x="127"/>
        <item x="313"/>
        <item x="474"/>
        <item x="189"/>
        <item x="487"/>
        <item x="329"/>
        <item x="235"/>
        <item x="494"/>
        <item x="2"/>
        <item x="142"/>
        <item x="163"/>
        <item x="443"/>
        <item x="74"/>
        <item x="8"/>
        <item x="42"/>
        <item x="370"/>
        <item x="21"/>
        <item x="136"/>
        <item x="463"/>
        <item x="52"/>
        <item x="484"/>
        <item x="517"/>
        <item x="156"/>
        <item x="382"/>
        <item x="47"/>
        <item x="36"/>
        <item x="445"/>
        <item x="148"/>
        <item x="423"/>
        <item x="234"/>
        <item x="334"/>
        <item x="272"/>
        <item x="343"/>
        <item x="427"/>
        <item x="62"/>
        <item x="358"/>
        <item x="174"/>
        <item x="526"/>
        <item x="153"/>
        <item x="506"/>
        <item x="348"/>
        <item x="179"/>
        <item x="76"/>
        <item x="129"/>
        <item x="169"/>
        <item x="64"/>
        <item x="154"/>
        <item x="340"/>
        <item x="311"/>
        <item x="115"/>
        <item x="449"/>
        <item x="369"/>
        <item x="434"/>
        <item x="150"/>
        <item x="7"/>
        <item x="132"/>
        <item x="398"/>
        <item x="442"/>
        <item x="145"/>
        <item x="454"/>
        <item x="305"/>
        <item x="3"/>
        <item x="141"/>
        <item x="10"/>
        <item x="421"/>
        <item x="135"/>
        <item x="218"/>
        <item x="379"/>
        <item x="411"/>
        <item x="279"/>
        <item x="31"/>
        <item x="239"/>
        <item x="201"/>
        <item x="213"/>
        <item x="496"/>
        <item x="105"/>
        <item x="303"/>
        <item x="502"/>
        <item x="430"/>
        <item x="446"/>
        <item x="9"/>
        <item x="289"/>
        <item x="159"/>
        <item x="296"/>
        <item x="124"/>
        <item x="532"/>
        <item x="507"/>
        <item x="460"/>
        <item x="324"/>
        <item x="89"/>
        <item x="510"/>
        <item x="238"/>
        <item t="default"/>
      </items>
    </pivotField>
    <pivotField showAll="0"/>
    <pivotField showAll="0">
      <items count="4">
        <item x="2"/>
        <item x="0"/>
        <item x="1"/>
        <item t="default"/>
      </items>
    </pivotField>
    <pivotField showAll="0"/>
    <pivotField showAll="0"/>
    <pivotField showAll="0"/>
    <pivotField showAll="0">
      <items count="5">
        <item x="1"/>
        <item x="0"/>
        <item x="3"/>
        <item x="2"/>
        <item t="default"/>
      </items>
    </pivotField>
    <pivotField showAll="0"/>
    <pivotField showAll="0"/>
    <pivotField showAll="0"/>
    <pivotField numFmtId="164" showAll="0"/>
    <pivotField showAll="0"/>
    <pivotField dataField="1" numFmtId="164" showAll="0"/>
    <pivotField showAll="0">
      <items count="5">
        <item x="0"/>
        <item x="2"/>
        <item x="3"/>
        <item x="1"/>
        <item t="default"/>
      </items>
    </pivotField>
    <pivotField showAll="0"/>
    <pivotField showAll="0"/>
    <pivotField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Sales Revenue" fld="13"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71DE6B-49BC-4D83-A630-70CD85D9CFD6}"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D14:E19" firstHeaderRow="1" firstDataRow="1" firstDataCol="1"/>
  <pivotFields count="21">
    <pivotField showAll="0"/>
    <pivotField numFmtId="14" showAll="0">
      <items count="535">
        <item x="441"/>
        <item x="330"/>
        <item x="254"/>
        <item x="462"/>
        <item x="102"/>
        <item x="207"/>
        <item x="368"/>
        <item x="378"/>
        <item x="312"/>
        <item x="265"/>
        <item x="38"/>
        <item x="94"/>
        <item x="469"/>
        <item x="32"/>
        <item x="155"/>
        <item x="278"/>
        <item x="495"/>
        <item x="396"/>
        <item x="511"/>
        <item x="85"/>
        <item x="351"/>
        <item x="134"/>
        <item x="304"/>
        <item x="253"/>
        <item x="440"/>
        <item x="60"/>
        <item x="37"/>
        <item x="415"/>
        <item x="405"/>
        <item x="326"/>
        <item x="140"/>
        <item x="356"/>
        <item x="125"/>
        <item x="173"/>
        <item x="298"/>
        <item x="120"/>
        <item x="481"/>
        <item x="316"/>
        <item x="259"/>
        <item x="182"/>
        <item x="338"/>
        <item x="492"/>
        <item x="512"/>
        <item x="451"/>
        <item x="395"/>
        <item x="267"/>
        <item x="354"/>
        <item x="399"/>
        <item x="276"/>
        <item x="192"/>
        <item x="20"/>
        <item x="1"/>
        <item x="191"/>
        <item x="151"/>
        <item x="53"/>
        <item x="186"/>
        <item x="486"/>
        <item x="56"/>
        <item x="261"/>
        <item x="158"/>
        <item x="122"/>
        <item x="88"/>
        <item x="450"/>
        <item x="221"/>
        <item x="123"/>
        <item x="219"/>
        <item x="270"/>
        <item x="40"/>
        <item x="475"/>
        <item x="131"/>
        <item x="41"/>
        <item x="381"/>
        <item x="387"/>
        <item x="103"/>
        <item x="497"/>
        <item x="436"/>
        <item x="164"/>
        <item x="6"/>
        <item x="347"/>
        <item x="212"/>
        <item x="290"/>
        <item x="429"/>
        <item x="355"/>
        <item x="320"/>
        <item x="319"/>
        <item x="199"/>
        <item x="232"/>
        <item x="376"/>
        <item x="208"/>
        <item x="315"/>
        <item x="476"/>
        <item x="332"/>
        <item x="438"/>
        <item x="419"/>
        <item x="17"/>
        <item x="299"/>
        <item x="167"/>
        <item x="100"/>
        <item x="375"/>
        <item x="110"/>
        <item x="90"/>
        <item x="237"/>
        <item x="48"/>
        <item x="263"/>
        <item x="193"/>
        <item x="118"/>
        <item x="385"/>
        <item x="24"/>
        <item x="352"/>
        <item x="447"/>
        <item x="225"/>
        <item x="473"/>
        <item x="119"/>
        <item x="401"/>
        <item x="216"/>
        <item x="422"/>
        <item x="214"/>
        <item x="349"/>
        <item x="339"/>
        <item x="50"/>
        <item x="410"/>
        <item x="109"/>
        <item x="229"/>
        <item x="301"/>
        <item x="71"/>
        <item x="5"/>
        <item x="92"/>
        <item x="489"/>
        <item x="230"/>
        <item x="162"/>
        <item x="273"/>
        <item x="51"/>
        <item x="439"/>
        <item x="73"/>
        <item x="377"/>
        <item x="288"/>
        <item x="226"/>
        <item x="416"/>
        <item x="402"/>
        <item x="409"/>
        <item x="146"/>
        <item x="280"/>
        <item x="522"/>
        <item x="397"/>
        <item x="344"/>
        <item x="249"/>
        <item x="240"/>
        <item x="180"/>
        <item x="520"/>
        <item x="35"/>
        <item x="68"/>
        <item x="39"/>
        <item x="133"/>
        <item x="217"/>
        <item x="251"/>
        <item x="184"/>
        <item x="236"/>
        <item x="95"/>
        <item x="250"/>
        <item x="245"/>
        <item x="27"/>
        <item x="470"/>
        <item x="361"/>
        <item x="482"/>
        <item x="373"/>
        <item x="372"/>
        <item x="19"/>
        <item x="533"/>
        <item x="277"/>
        <item x="75"/>
        <item x="268"/>
        <item x="149"/>
        <item x="172"/>
        <item x="413"/>
        <item x="171"/>
        <item x="220"/>
        <item x="364"/>
        <item x="228"/>
        <item x="165"/>
        <item x="391"/>
        <item x="215"/>
        <item x="258"/>
        <item x="160"/>
        <item x="181"/>
        <item x="309"/>
        <item x="223"/>
        <item x="367"/>
        <item x="80"/>
        <item x="15"/>
        <item x="359"/>
        <item x="531"/>
        <item x="97"/>
        <item x="513"/>
        <item x="444"/>
        <item x="196"/>
        <item x="528"/>
        <item x="275"/>
        <item x="59"/>
        <item x="357"/>
        <item x="256"/>
        <item x="252"/>
        <item x="209"/>
        <item x="168"/>
        <item x="323"/>
        <item x="428"/>
        <item x="14"/>
        <item x="342"/>
        <item x="478"/>
        <item x="69"/>
        <item x="33"/>
        <item x="79"/>
        <item x="143"/>
        <item x="417"/>
        <item x="205"/>
        <item x="353"/>
        <item x="210"/>
        <item x="83"/>
        <item x="113"/>
        <item x="310"/>
        <item x="501"/>
        <item x="286"/>
        <item x="529"/>
        <item x="81"/>
        <item x="46"/>
        <item x="452"/>
        <item x="346"/>
        <item x="177"/>
        <item x="406"/>
        <item x="55"/>
        <item x="477"/>
        <item x="70"/>
        <item x="106"/>
        <item x="194"/>
        <item x="128"/>
        <item x="465"/>
        <item x="195"/>
        <item x="67"/>
        <item x="222"/>
        <item x="197"/>
        <item x="166"/>
        <item x="87"/>
        <item x="227"/>
        <item x="284"/>
        <item x="453"/>
        <item x="28"/>
        <item x="266"/>
        <item x="307"/>
        <item x="514"/>
        <item x="12"/>
        <item x="282"/>
        <item x="485"/>
        <item x="170"/>
        <item x="292"/>
        <item x="137"/>
        <item x="499"/>
        <item x="107"/>
        <item x="527"/>
        <item x="467"/>
        <item x="366"/>
        <item x="426"/>
        <item x="295"/>
        <item x="308"/>
        <item x="437"/>
        <item x="414"/>
        <item x="244"/>
        <item x="161"/>
        <item x="505"/>
        <item x="138"/>
        <item x="456"/>
        <item x="393"/>
        <item x="300"/>
        <item x="291"/>
        <item x="424"/>
        <item x="504"/>
        <item x="468"/>
        <item x="18"/>
        <item x="302"/>
        <item x="283"/>
        <item x="461"/>
        <item x="242"/>
        <item x="211"/>
        <item x="98"/>
        <item x="111"/>
        <item x="44"/>
        <item x="255"/>
        <item x="4"/>
        <item x="457"/>
        <item x="518"/>
        <item x="43"/>
        <item x="480"/>
        <item x="374"/>
        <item x="178"/>
        <item x="479"/>
        <item x="104"/>
        <item x="287"/>
        <item x="425"/>
        <item x="0"/>
        <item x="203"/>
        <item x="337"/>
        <item x="49"/>
        <item x="524"/>
        <item x="246"/>
        <item x="345"/>
        <item x="23"/>
        <item x="188"/>
        <item x="30"/>
        <item x="420"/>
        <item x="78"/>
        <item x="362"/>
        <item x="116"/>
        <item x="293"/>
        <item x="408"/>
        <item x="243"/>
        <item x="471"/>
        <item x="269"/>
        <item x="16"/>
        <item x="516"/>
        <item x="206"/>
        <item x="65"/>
        <item x="108"/>
        <item x="66"/>
        <item x="257"/>
        <item x="57"/>
        <item x="130"/>
        <item x="224"/>
        <item x="435"/>
        <item x="392"/>
        <item x="472"/>
        <item x="93"/>
        <item x="84"/>
        <item x="412"/>
        <item x="525"/>
        <item x="176"/>
        <item x="488"/>
        <item x="464"/>
        <item x="306"/>
        <item x="386"/>
        <item x="58"/>
        <item x="233"/>
        <item x="388"/>
        <item x="190"/>
        <item x="383"/>
        <item x="285"/>
        <item x="200"/>
        <item x="294"/>
        <item x="314"/>
        <item x="54"/>
        <item x="318"/>
        <item x="260"/>
        <item x="185"/>
        <item x="491"/>
        <item x="432"/>
        <item x="13"/>
        <item x="325"/>
        <item x="121"/>
        <item x="407"/>
        <item x="466"/>
        <item x="82"/>
        <item x="503"/>
        <item x="271"/>
        <item x="371"/>
        <item x="530"/>
        <item x="493"/>
        <item x="333"/>
        <item x="34"/>
        <item x="523"/>
        <item x="241"/>
        <item x="459"/>
        <item x="281"/>
        <item x="96"/>
        <item x="508"/>
        <item x="403"/>
        <item x="418"/>
        <item x="112"/>
        <item x="202"/>
        <item x="117"/>
        <item x="247"/>
        <item x="91"/>
        <item x="404"/>
        <item x="500"/>
        <item x="384"/>
        <item x="335"/>
        <item x="274"/>
        <item x="183"/>
        <item x="448"/>
        <item x="29"/>
        <item x="101"/>
        <item x="336"/>
        <item x="297"/>
        <item x="77"/>
        <item x="262"/>
        <item x="331"/>
        <item x="515"/>
        <item x="61"/>
        <item x="341"/>
        <item x="152"/>
        <item x="455"/>
        <item x="317"/>
        <item x="187"/>
        <item x="360"/>
        <item x="175"/>
        <item x="147"/>
        <item x="72"/>
        <item x="521"/>
        <item x="198"/>
        <item x="327"/>
        <item x="431"/>
        <item x="126"/>
        <item x="363"/>
        <item x="365"/>
        <item x="483"/>
        <item x="248"/>
        <item x="433"/>
        <item x="321"/>
        <item x="328"/>
        <item x="498"/>
        <item x="400"/>
        <item x="394"/>
        <item x="490"/>
        <item x="390"/>
        <item x="204"/>
        <item x="45"/>
        <item x="99"/>
        <item x="22"/>
        <item x="114"/>
        <item x="389"/>
        <item x="350"/>
        <item x="157"/>
        <item x="26"/>
        <item x="264"/>
        <item x="144"/>
        <item x="63"/>
        <item x="380"/>
        <item x="86"/>
        <item x="458"/>
        <item x="11"/>
        <item x="322"/>
        <item x="25"/>
        <item x="519"/>
        <item x="231"/>
        <item x="509"/>
        <item x="139"/>
        <item x="127"/>
        <item x="313"/>
        <item x="474"/>
        <item x="189"/>
        <item x="487"/>
        <item x="329"/>
        <item x="235"/>
        <item x="494"/>
        <item x="2"/>
        <item x="142"/>
        <item x="163"/>
        <item x="443"/>
        <item x="74"/>
        <item x="8"/>
        <item x="42"/>
        <item x="370"/>
        <item x="21"/>
        <item x="136"/>
        <item x="463"/>
        <item x="52"/>
        <item x="484"/>
        <item x="517"/>
        <item x="156"/>
        <item x="382"/>
        <item x="47"/>
        <item x="36"/>
        <item x="445"/>
        <item x="148"/>
        <item x="423"/>
        <item x="234"/>
        <item x="334"/>
        <item x="272"/>
        <item x="343"/>
        <item x="427"/>
        <item x="62"/>
        <item x="358"/>
        <item x="174"/>
        <item x="526"/>
        <item x="153"/>
        <item x="506"/>
        <item x="348"/>
        <item x="179"/>
        <item x="76"/>
        <item x="129"/>
        <item x="169"/>
        <item x="64"/>
        <item x="154"/>
        <item x="340"/>
        <item x="311"/>
        <item x="115"/>
        <item x="449"/>
        <item x="369"/>
        <item x="434"/>
        <item x="150"/>
        <item x="7"/>
        <item x="132"/>
        <item x="398"/>
        <item x="442"/>
        <item x="145"/>
        <item x="454"/>
        <item x="305"/>
        <item x="3"/>
        <item x="141"/>
        <item x="10"/>
        <item x="421"/>
        <item x="135"/>
        <item x="218"/>
        <item x="379"/>
        <item x="411"/>
        <item x="279"/>
        <item x="31"/>
        <item x="239"/>
        <item x="201"/>
        <item x="213"/>
        <item x="496"/>
        <item x="105"/>
        <item x="303"/>
        <item x="502"/>
        <item x="430"/>
        <item x="446"/>
        <item x="9"/>
        <item x="289"/>
        <item x="159"/>
        <item x="296"/>
        <item x="124"/>
        <item x="532"/>
        <item x="507"/>
        <item x="460"/>
        <item x="324"/>
        <item x="89"/>
        <item x="510"/>
        <item x="238"/>
        <item t="default"/>
      </items>
    </pivotField>
    <pivotField showAll="0"/>
    <pivotField showAll="0">
      <items count="4">
        <item x="2"/>
        <item x="0"/>
        <item x="1"/>
        <item t="default"/>
      </items>
    </pivotField>
    <pivotField showAll="0"/>
    <pivotField showAll="0"/>
    <pivotField showAll="0"/>
    <pivotField showAll="0">
      <items count="5">
        <item x="1"/>
        <item x="0"/>
        <item x="3"/>
        <item x="2"/>
        <item t="default"/>
      </items>
    </pivotField>
    <pivotField showAll="0"/>
    <pivotField showAll="0"/>
    <pivotField showAll="0"/>
    <pivotField numFmtId="164" showAll="0"/>
    <pivotField showAll="0"/>
    <pivotField dataField="1" numFmtId="164" showAll="0"/>
    <pivotField axis="axisRow" showAll="0">
      <items count="5">
        <item x="0"/>
        <item x="2"/>
        <item x="3"/>
        <item x="1"/>
        <item t="default"/>
      </items>
    </pivotField>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5">
    <i>
      <x/>
    </i>
    <i>
      <x v="1"/>
    </i>
    <i>
      <x v="2"/>
    </i>
    <i>
      <x v="3"/>
    </i>
    <i t="grand">
      <x/>
    </i>
  </rowItems>
  <colItems count="1">
    <i/>
  </colItems>
  <dataFields count="1">
    <dataField name="Sum of Sales Revenue" fld="13" baseField="0" baseItem="0" numFmtId="164"/>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ACC0CA-A0B4-4CBE-869F-3DC1382F44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21">
    <pivotField dataField="1" showAll="0"/>
    <pivotField numFmtId="14" showAll="0">
      <items count="535">
        <item x="441"/>
        <item x="330"/>
        <item x="254"/>
        <item x="462"/>
        <item x="102"/>
        <item x="207"/>
        <item x="368"/>
        <item x="378"/>
        <item x="312"/>
        <item x="265"/>
        <item x="38"/>
        <item x="94"/>
        <item x="469"/>
        <item x="32"/>
        <item x="155"/>
        <item x="278"/>
        <item x="495"/>
        <item x="396"/>
        <item x="511"/>
        <item x="85"/>
        <item x="351"/>
        <item x="134"/>
        <item x="304"/>
        <item x="253"/>
        <item x="440"/>
        <item x="60"/>
        <item x="37"/>
        <item x="415"/>
        <item x="405"/>
        <item x="326"/>
        <item x="140"/>
        <item x="356"/>
        <item x="125"/>
        <item x="173"/>
        <item x="298"/>
        <item x="120"/>
        <item x="481"/>
        <item x="316"/>
        <item x="259"/>
        <item x="182"/>
        <item x="338"/>
        <item x="492"/>
        <item x="512"/>
        <item x="451"/>
        <item x="395"/>
        <item x="267"/>
        <item x="354"/>
        <item x="399"/>
        <item x="276"/>
        <item x="192"/>
        <item x="20"/>
        <item x="1"/>
        <item x="191"/>
        <item x="151"/>
        <item x="53"/>
        <item x="186"/>
        <item x="486"/>
        <item x="56"/>
        <item x="261"/>
        <item x="158"/>
        <item x="122"/>
        <item x="88"/>
        <item x="450"/>
        <item x="221"/>
        <item x="123"/>
        <item x="219"/>
        <item x="270"/>
        <item x="40"/>
        <item x="475"/>
        <item x="131"/>
        <item x="41"/>
        <item x="381"/>
        <item x="387"/>
        <item x="103"/>
        <item x="497"/>
        <item x="436"/>
        <item x="164"/>
        <item x="6"/>
        <item x="347"/>
        <item x="212"/>
        <item x="290"/>
        <item x="429"/>
        <item x="355"/>
        <item x="320"/>
        <item x="319"/>
        <item x="199"/>
        <item x="232"/>
        <item x="376"/>
        <item x="208"/>
        <item x="315"/>
        <item x="476"/>
        <item x="332"/>
        <item x="438"/>
        <item x="419"/>
        <item x="17"/>
        <item x="299"/>
        <item x="167"/>
        <item x="100"/>
        <item x="375"/>
        <item x="110"/>
        <item x="90"/>
        <item x="237"/>
        <item x="48"/>
        <item x="263"/>
        <item x="193"/>
        <item x="118"/>
        <item x="385"/>
        <item x="24"/>
        <item x="352"/>
        <item x="447"/>
        <item x="225"/>
        <item x="473"/>
        <item x="119"/>
        <item x="401"/>
        <item x="216"/>
        <item x="422"/>
        <item x="214"/>
        <item x="349"/>
        <item x="339"/>
        <item x="50"/>
        <item x="410"/>
        <item x="109"/>
        <item x="229"/>
        <item x="301"/>
        <item x="71"/>
        <item x="5"/>
        <item x="92"/>
        <item x="489"/>
        <item x="230"/>
        <item x="162"/>
        <item x="273"/>
        <item x="51"/>
        <item x="439"/>
        <item x="73"/>
        <item x="377"/>
        <item x="288"/>
        <item x="226"/>
        <item x="416"/>
        <item x="402"/>
        <item x="409"/>
        <item x="146"/>
        <item x="280"/>
        <item x="522"/>
        <item x="397"/>
        <item x="344"/>
        <item x="249"/>
        <item x="240"/>
        <item x="180"/>
        <item x="520"/>
        <item x="35"/>
        <item x="68"/>
        <item x="39"/>
        <item x="133"/>
        <item x="217"/>
        <item x="251"/>
        <item x="184"/>
        <item x="236"/>
        <item x="95"/>
        <item x="250"/>
        <item x="245"/>
        <item x="27"/>
        <item x="470"/>
        <item x="361"/>
        <item x="482"/>
        <item x="373"/>
        <item x="372"/>
        <item x="19"/>
        <item x="533"/>
        <item x="277"/>
        <item x="75"/>
        <item x="268"/>
        <item x="149"/>
        <item x="172"/>
        <item x="413"/>
        <item x="171"/>
        <item x="220"/>
        <item x="364"/>
        <item x="228"/>
        <item x="165"/>
        <item x="391"/>
        <item x="215"/>
        <item x="258"/>
        <item x="160"/>
        <item x="181"/>
        <item x="309"/>
        <item x="223"/>
        <item x="367"/>
        <item x="80"/>
        <item x="15"/>
        <item x="359"/>
        <item x="531"/>
        <item x="97"/>
        <item x="513"/>
        <item x="444"/>
        <item x="196"/>
        <item x="528"/>
        <item x="275"/>
        <item x="59"/>
        <item x="357"/>
        <item x="256"/>
        <item x="252"/>
        <item x="209"/>
        <item x="168"/>
        <item x="323"/>
        <item x="428"/>
        <item x="14"/>
        <item x="342"/>
        <item x="478"/>
        <item x="69"/>
        <item x="33"/>
        <item x="79"/>
        <item x="143"/>
        <item x="417"/>
        <item x="205"/>
        <item x="353"/>
        <item x="210"/>
        <item x="83"/>
        <item x="113"/>
        <item x="310"/>
        <item x="501"/>
        <item x="286"/>
        <item x="529"/>
        <item x="81"/>
        <item x="46"/>
        <item x="452"/>
        <item x="346"/>
        <item x="177"/>
        <item x="406"/>
        <item x="55"/>
        <item x="477"/>
        <item x="70"/>
        <item x="106"/>
        <item x="194"/>
        <item x="128"/>
        <item x="465"/>
        <item x="195"/>
        <item x="67"/>
        <item x="222"/>
        <item x="197"/>
        <item x="166"/>
        <item x="87"/>
        <item x="227"/>
        <item x="284"/>
        <item x="453"/>
        <item x="28"/>
        <item x="266"/>
        <item x="307"/>
        <item x="514"/>
        <item x="12"/>
        <item x="282"/>
        <item x="485"/>
        <item x="170"/>
        <item x="292"/>
        <item x="137"/>
        <item x="499"/>
        <item x="107"/>
        <item x="527"/>
        <item x="467"/>
        <item x="366"/>
        <item x="426"/>
        <item x="295"/>
        <item x="308"/>
        <item x="437"/>
        <item x="414"/>
        <item x="244"/>
        <item x="161"/>
        <item x="505"/>
        <item x="138"/>
        <item x="456"/>
        <item x="393"/>
        <item x="300"/>
        <item x="291"/>
        <item x="424"/>
        <item x="504"/>
        <item x="468"/>
        <item x="18"/>
        <item x="302"/>
        <item x="283"/>
        <item x="461"/>
        <item x="242"/>
        <item x="211"/>
        <item x="98"/>
        <item x="111"/>
        <item x="44"/>
        <item x="255"/>
        <item x="4"/>
        <item x="457"/>
        <item x="518"/>
        <item x="43"/>
        <item x="480"/>
        <item x="374"/>
        <item x="178"/>
        <item x="479"/>
        <item x="104"/>
        <item x="287"/>
        <item x="425"/>
        <item x="0"/>
        <item x="203"/>
        <item x="337"/>
        <item x="49"/>
        <item x="524"/>
        <item x="246"/>
        <item x="345"/>
        <item x="23"/>
        <item x="188"/>
        <item x="30"/>
        <item x="420"/>
        <item x="78"/>
        <item x="362"/>
        <item x="116"/>
        <item x="293"/>
        <item x="408"/>
        <item x="243"/>
        <item x="471"/>
        <item x="269"/>
        <item x="16"/>
        <item x="516"/>
        <item x="206"/>
        <item x="65"/>
        <item x="108"/>
        <item x="66"/>
        <item x="257"/>
        <item x="57"/>
        <item x="130"/>
        <item x="224"/>
        <item x="435"/>
        <item x="392"/>
        <item x="472"/>
        <item x="93"/>
        <item x="84"/>
        <item x="412"/>
        <item x="525"/>
        <item x="176"/>
        <item x="488"/>
        <item x="464"/>
        <item x="306"/>
        <item x="386"/>
        <item x="58"/>
        <item x="233"/>
        <item x="388"/>
        <item x="190"/>
        <item x="383"/>
        <item x="285"/>
        <item x="200"/>
        <item x="294"/>
        <item x="314"/>
        <item x="54"/>
        <item x="318"/>
        <item x="260"/>
        <item x="185"/>
        <item x="491"/>
        <item x="432"/>
        <item x="13"/>
        <item x="325"/>
        <item x="121"/>
        <item x="407"/>
        <item x="466"/>
        <item x="82"/>
        <item x="503"/>
        <item x="271"/>
        <item x="371"/>
        <item x="530"/>
        <item x="493"/>
        <item x="333"/>
        <item x="34"/>
        <item x="523"/>
        <item x="241"/>
        <item x="459"/>
        <item x="281"/>
        <item x="96"/>
        <item x="508"/>
        <item x="403"/>
        <item x="418"/>
        <item x="112"/>
        <item x="202"/>
        <item x="117"/>
        <item x="247"/>
        <item x="91"/>
        <item x="404"/>
        <item x="500"/>
        <item x="384"/>
        <item x="335"/>
        <item x="274"/>
        <item x="183"/>
        <item x="448"/>
        <item x="29"/>
        <item x="101"/>
        <item x="336"/>
        <item x="297"/>
        <item x="77"/>
        <item x="262"/>
        <item x="331"/>
        <item x="515"/>
        <item x="61"/>
        <item x="341"/>
        <item x="152"/>
        <item x="455"/>
        <item x="317"/>
        <item x="187"/>
        <item x="360"/>
        <item x="175"/>
        <item x="147"/>
        <item x="72"/>
        <item x="521"/>
        <item x="198"/>
        <item x="327"/>
        <item x="431"/>
        <item x="126"/>
        <item x="363"/>
        <item x="365"/>
        <item x="483"/>
        <item x="248"/>
        <item x="433"/>
        <item x="321"/>
        <item x="328"/>
        <item x="498"/>
        <item x="400"/>
        <item x="394"/>
        <item x="490"/>
        <item x="390"/>
        <item x="204"/>
        <item x="45"/>
        <item x="99"/>
        <item x="22"/>
        <item x="114"/>
        <item x="389"/>
        <item x="350"/>
        <item x="157"/>
        <item x="26"/>
        <item x="264"/>
        <item x="144"/>
        <item x="63"/>
        <item x="380"/>
        <item x="86"/>
        <item x="458"/>
        <item x="11"/>
        <item x="322"/>
        <item x="25"/>
        <item x="519"/>
        <item x="231"/>
        <item x="509"/>
        <item x="139"/>
        <item x="127"/>
        <item x="313"/>
        <item x="474"/>
        <item x="189"/>
        <item x="487"/>
        <item x="329"/>
        <item x="235"/>
        <item x="494"/>
        <item x="2"/>
        <item x="142"/>
        <item x="163"/>
        <item x="443"/>
        <item x="74"/>
        <item x="8"/>
        <item x="42"/>
        <item x="370"/>
        <item x="21"/>
        <item x="136"/>
        <item x="463"/>
        <item x="52"/>
        <item x="484"/>
        <item x="517"/>
        <item x="156"/>
        <item x="382"/>
        <item x="47"/>
        <item x="36"/>
        <item x="445"/>
        <item x="148"/>
        <item x="423"/>
        <item x="234"/>
        <item x="334"/>
        <item x="272"/>
        <item x="343"/>
        <item x="427"/>
        <item x="62"/>
        <item x="358"/>
        <item x="174"/>
        <item x="526"/>
        <item x="153"/>
        <item x="506"/>
        <item x="348"/>
        <item x="179"/>
        <item x="76"/>
        <item x="129"/>
        <item x="169"/>
        <item x="64"/>
        <item x="154"/>
        <item x="340"/>
        <item x="311"/>
        <item x="115"/>
        <item x="449"/>
        <item x="369"/>
        <item x="434"/>
        <item x="150"/>
        <item x="7"/>
        <item x="132"/>
        <item x="398"/>
        <item x="442"/>
        <item x="145"/>
        <item x="454"/>
        <item x="305"/>
        <item x="3"/>
        <item x="141"/>
        <item x="10"/>
        <item x="421"/>
        <item x="135"/>
        <item x="218"/>
        <item x="379"/>
        <item x="411"/>
        <item x="279"/>
        <item x="31"/>
        <item x="239"/>
        <item x="201"/>
        <item x="213"/>
        <item x="496"/>
        <item x="105"/>
        <item x="303"/>
        <item x="502"/>
        <item x="430"/>
        <item x="446"/>
        <item x="9"/>
        <item x="289"/>
        <item x="159"/>
        <item x="296"/>
        <item x="124"/>
        <item x="532"/>
        <item x="507"/>
        <item x="460"/>
        <item x="324"/>
        <item x="89"/>
        <item x="510"/>
        <item x="238"/>
        <item t="default"/>
      </items>
    </pivotField>
    <pivotField showAll="0"/>
    <pivotField showAll="0">
      <items count="4">
        <item x="2"/>
        <item x="0"/>
        <item x="1"/>
        <item t="default"/>
      </items>
    </pivotField>
    <pivotField showAll="0"/>
    <pivotField showAll="0"/>
    <pivotField showAll="0"/>
    <pivotField showAll="0">
      <items count="5">
        <item x="1"/>
        <item x="0"/>
        <item x="3"/>
        <item x="2"/>
        <item t="default"/>
      </items>
    </pivotField>
    <pivotField showAll="0"/>
    <pivotField showAll="0"/>
    <pivotField showAll="0"/>
    <pivotField numFmtId="164" showAll="0"/>
    <pivotField showAll="0"/>
    <pivotField numFmtId="164" showAll="0"/>
    <pivotField showAll="0">
      <items count="5">
        <item x="0"/>
        <item x="2"/>
        <item x="3"/>
        <item x="1"/>
        <item t="default"/>
      </items>
    </pivotField>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B41253-CB89-4EEE-B4DA-A949F59105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2:H19" firstHeaderRow="1" firstDataRow="1" firstDataCol="1"/>
  <pivotFields count="21">
    <pivotField showAll="0"/>
    <pivotField numFmtId="14" showAll="0">
      <items count="535">
        <item x="441"/>
        <item x="330"/>
        <item x="254"/>
        <item x="462"/>
        <item x="102"/>
        <item x="207"/>
        <item x="368"/>
        <item x="378"/>
        <item x="312"/>
        <item x="265"/>
        <item x="38"/>
        <item x="94"/>
        <item x="469"/>
        <item x="32"/>
        <item x="155"/>
        <item x="278"/>
        <item x="495"/>
        <item x="396"/>
        <item x="511"/>
        <item x="85"/>
        <item x="351"/>
        <item x="134"/>
        <item x="304"/>
        <item x="253"/>
        <item x="440"/>
        <item x="60"/>
        <item x="37"/>
        <item x="415"/>
        <item x="405"/>
        <item x="326"/>
        <item x="140"/>
        <item x="356"/>
        <item x="125"/>
        <item x="173"/>
        <item x="298"/>
        <item x="120"/>
        <item x="481"/>
        <item x="316"/>
        <item x="259"/>
        <item x="182"/>
        <item x="338"/>
        <item x="492"/>
        <item x="512"/>
        <item x="451"/>
        <item x="395"/>
        <item x="267"/>
        <item x="354"/>
        <item x="399"/>
        <item x="276"/>
        <item x="192"/>
        <item x="20"/>
        <item x="1"/>
        <item x="191"/>
        <item x="151"/>
        <item x="53"/>
        <item x="186"/>
        <item x="486"/>
        <item x="56"/>
        <item x="261"/>
        <item x="158"/>
        <item x="122"/>
        <item x="88"/>
        <item x="450"/>
        <item x="221"/>
        <item x="123"/>
        <item x="219"/>
        <item x="270"/>
        <item x="40"/>
        <item x="475"/>
        <item x="131"/>
        <item x="41"/>
        <item x="381"/>
        <item x="387"/>
        <item x="103"/>
        <item x="497"/>
        <item x="436"/>
        <item x="164"/>
        <item x="6"/>
        <item x="347"/>
        <item x="212"/>
        <item x="290"/>
        <item x="429"/>
        <item x="355"/>
        <item x="320"/>
        <item x="319"/>
        <item x="199"/>
        <item x="232"/>
        <item x="376"/>
        <item x="208"/>
        <item x="315"/>
        <item x="476"/>
        <item x="332"/>
        <item x="438"/>
        <item x="419"/>
        <item x="17"/>
        <item x="299"/>
        <item x="167"/>
        <item x="100"/>
        <item x="375"/>
        <item x="110"/>
        <item x="90"/>
        <item x="237"/>
        <item x="48"/>
        <item x="263"/>
        <item x="193"/>
        <item x="118"/>
        <item x="385"/>
        <item x="24"/>
        <item x="352"/>
        <item x="447"/>
        <item x="225"/>
        <item x="473"/>
        <item x="119"/>
        <item x="401"/>
        <item x="216"/>
        <item x="422"/>
        <item x="214"/>
        <item x="349"/>
        <item x="339"/>
        <item x="50"/>
        <item x="410"/>
        <item x="109"/>
        <item x="229"/>
        <item x="301"/>
        <item x="71"/>
        <item x="5"/>
        <item x="92"/>
        <item x="489"/>
        <item x="230"/>
        <item x="162"/>
        <item x="273"/>
        <item x="51"/>
        <item x="439"/>
        <item x="73"/>
        <item x="377"/>
        <item x="288"/>
        <item x="226"/>
        <item x="416"/>
        <item x="402"/>
        <item x="409"/>
        <item x="146"/>
        <item x="280"/>
        <item x="522"/>
        <item x="397"/>
        <item x="344"/>
        <item x="249"/>
        <item x="240"/>
        <item x="180"/>
        <item x="520"/>
        <item x="35"/>
        <item x="68"/>
        <item x="39"/>
        <item x="133"/>
        <item x="217"/>
        <item x="251"/>
        <item x="184"/>
        <item x="236"/>
        <item x="95"/>
        <item x="250"/>
        <item x="245"/>
        <item x="27"/>
        <item x="470"/>
        <item x="361"/>
        <item x="482"/>
        <item x="373"/>
        <item x="372"/>
        <item x="19"/>
        <item x="533"/>
        <item x="277"/>
        <item x="75"/>
        <item x="268"/>
        <item x="149"/>
        <item x="172"/>
        <item x="413"/>
        <item x="171"/>
        <item x="220"/>
        <item x="364"/>
        <item x="228"/>
        <item x="165"/>
        <item x="391"/>
        <item x="215"/>
        <item x="258"/>
        <item x="160"/>
        <item x="181"/>
        <item x="309"/>
        <item x="223"/>
        <item x="367"/>
        <item x="80"/>
        <item x="15"/>
        <item x="359"/>
        <item x="531"/>
        <item x="97"/>
        <item x="513"/>
        <item x="444"/>
        <item x="196"/>
        <item x="528"/>
        <item x="275"/>
        <item x="59"/>
        <item x="357"/>
        <item x="256"/>
        <item x="252"/>
        <item x="209"/>
        <item x="168"/>
        <item x="323"/>
        <item x="428"/>
        <item x="14"/>
        <item x="342"/>
        <item x="478"/>
        <item x="69"/>
        <item x="33"/>
        <item x="79"/>
        <item x="143"/>
        <item x="417"/>
        <item x="205"/>
        <item x="353"/>
        <item x="210"/>
        <item x="83"/>
        <item x="113"/>
        <item x="310"/>
        <item x="501"/>
        <item x="286"/>
        <item x="529"/>
        <item x="81"/>
        <item x="46"/>
        <item x="452"/>
        <item x="346"/>
        <item x="177"/>
        <item x="406"/>
        <item x="55"/>
        <item x="477"/>
        <item x="70"/>
        <item x="106"/>
        <item x="194"/>
        <item x="128"/>
        <item x="465"/>
        <item x="195"/>
        <item x="67"/>
        <item x="222"/>
        <item x="197"/>
        <item x="166"/>
        <item x="87"/>
        <item x="227"/>
        <item x="284"/>
        <item x="453"/>
        <item x="28"/>
        <item x="266"/>
        <item x="307"/>
        <item x="514"/>
        <item x="12"/>
        <item x="282"/>
        <item x="485"/>
        <item x="170"/>
        <item x="292"/>
        <item x="137"/>
        <item x="499"/>
        <item x="107"/>
        <item x="527"/>
        <item x="467"/>
        <item x="366"/>
        <item x="426"/>
        <item x="295"/>
        <item x="308"/>
        <item x="437"/>
        <item x="414"/>
        <item x="244"/>
        <item x="161"/>
        <item x="505"/>
        <item x="138"/>
        <item x="456"/>
        <item x="393"/>
        <item x="300"/>
        <item x="291"/>
        <item x="424"/>
        <item x="504"/>
        <item x="468"/>
        <item x="18"/>
        <item x="302"/>
        <item x="283"/>
        <item x="461"/>
        <item x="242"/>
        <item x="211"/>
        <item x="98"/>
        <item x="111"/>
        <item x="44"/>
        <item x="255"/>
        <item x="4"/>
        <item x="457"/>
        <item x="518"/>
        <item x="43"/>
        <item x="480"/>
        <item x="374"/>
        <item x="178"/>
        <item x="479"/>
        <item x="104"/>
        <item x="287"/>
        <item x="425"/>
        <item x="0"/>
        <item x="203"/>
        <item x="337"/>
        <item x="49"/>
        <item x="524"/>
        <item x="246"/>
        <item x="345"/>
        <item x="23"/>
        <item x="188"/>
        <item x="30"/>
        <item x="420"/>
        <item x="78"/>
        <item x="362"/>
        <item x="116"/>
        <item x="293"/>
        <item x="408"/>
        <item x="243"/>
        <item x="471"/>
        <item x="269"/>
        <item x="16"/>
        <item x="516"/>
        <item x="206"/>
        <item x="65"/>
        <item x="108"/>
        <item x="66"/>
        <item x="257"/>
        <item x="57"/>
        <item x="130"/>
        <item x="224"/>
        <item x="435"/>
        <item x="392"/>
        <item x="472"/>
        <item x="93"/>
        <item x="84"/>
        <item x="412"/>
        <item x="525"/>
        <item x="176"/>
        <item x="488"/>
        <item x="464"/>
        <item x="306"/>
        <item x="386"/>
        <item x="58"/>
        <item x="233"/>
        <item x="388"/>
        <item x="190"/>
        <item x="383"/>
        <item x="285"/>
        <item x="200"/>
        <item x="294"/>
        <item x="314"/>
        <item x="54"/>
        <item x="318"/>
        <item x="260"/>
        <item x="185"/>
        <item x="491"/>
        <item x="432"/>
        <item x="13"/>
        <item x="325"/>
        <item x="121"/>
        <item x="407"/>
        <item x="466"/>
        <item x="82"/>
        <item x="503"/>
        <item x="271"/>
        <item x="371"/>
        <item x="530"/>
        <item x="493"/>
        <item x="333"/>
        <item x="34"/>
        <item x="523"/>
        <item x="241"/>
        <item x="459"/>
        <item x="281"/>
        <item x="96"/>
        <item x="508"/>
        <item x="403"/>
        <item x="418"/>
        <item x="112"/>
        <item x="202"/>
        <item x="117"/>
        <item x="247"/>
        <item x="91"/>
        <item x="404"/>
        <item x="500"/>
        <item x="384"/>
        <item x="335"/>
        <item x="274"/>
        <item x="183"/>
        <item x="448"/>
        <item x="29"/>
        <item x="101"/>
        <item x="336"/>
        <item x="297"/>
        <item x="77"/>
        <item x="262"/>
        <item x="331"/>
        <item x="515"/>
        <item x="61"/>
        <item x="341"/>
        <item x="152"/>
        <item x="455"/>
        <item x="317"/>
        <item x="187"/>
        <item x="360"/>
        <item x="175"/>
        <item x="147"/>
        <item x="72"/>
        <item x="521"/>
        <item x="198"/>
        <item x="327"/>
        <item x="431"/>
        <item x="126"/>
        <item x="363"/>
        <item x="365"/>
        <item x="483"/>
        <item x="248"/>
        <item x="433"/>
        <item x="321"/>
        <item x="328"/>
        <item x="498"/>
        <item x="400"/>
        <item x="394"/>
        <item x="490"/>
        <item x="390"/>
        <item x="204"/>
        <item x="45"/>
        <item x="99"/>
        <item x="22"/>
        <item x="114"/>
        <item x="389"/>
        <item x="350"/>
        <item x="157"/>
        <item x="26"/>
        <item x="264"/>
        <item x="144"/>
        <item x="63"/>
        <item x="380"/>
        <item x="86"/>
        <item x="458"/>
        <item x="11"/>
        <item x="322"/>
        <item x="25"/>
        <item x="519"/>
        <item x="231"/>
        <item x="509"/>
        <item x="139"/>
        <item x="127"/>
        <item x="313"/>
        <item x="474"/>
        <item x="189"/>
        <item x="487"/>
        <item x="329"/>
        <item x="235"/>
        <item x="494"/>
        <item x="2"/>
        <item x="142"/>
        <item x="163"/>
        <item x="443"/>
        <item x="74"/>
        <item x="8"/>
        <item x="42"/>
        <item x="370"/>
        <item x="21"/>
        <item x="136"/>
        <item x="463"/>
        <item x="52"/>
        <item x="484"/>
        <item x="517"/>
        <item x="156"/>
        <item x="382"/>
        <item x="47"/>
        <item x="36"/>
        <item x="445"/>
        <item x="148"/>
        <item x="423"/>
        <item x="234"/>
        <item x="334"/>
        <item x="272"/>
        <item x="343"/>
        <item x="427"/>
        <item x="62"/>
        <item x="358"/>
        <item x="174"/>
        <item x="526"/>
        <item x="153"/>
        <item x="506"/>
        <item x="348"/>
        <item x="179"/>
        <item x="76"/>
        <item x="129"/>
        <item x="169"/>
        <item x="64"/>
        <item x="154"/>
        <item x="340"/>
        <item x="311"/>
        <item x="115"/>
        <item x="449"/>
        <item x="369"/>
        <item x="434"/>
        <item x="150"/>
        <item x="7"/>
        <item x="132"/>
        <item x="398"/>
        <item x="442"/>
        <item x="145"/>
        <item x="454"/>
        <item x="305"/>
        <item x="3"/>
        <item x="141"/>
        <item x="10"/>
        <item x="421"/>
        <item x="135"/>
        <item x="218"/>
        <item x="379"/>
        <item x="411"/>
        <item x="279"/>
        <item x="31"/>
        <item x="239"/>
        <item x="201"/>
        <item x="213"/>
        <item x="496"/>
        <item x="105"/>
        <item x="303"/>
        <item x="502"/>
        <item x="430"/>
        <item x="446"/>
        <item x="9"/>
        <item x="289"/>
        <item x="159"/>
        <item x="296"/>
        <item x="124"/>
        <item x="532"/>
        <item x="507"/>
        <item x="460"/>
        <item x="324"/>
        <item x="89"/>
        <item x="510"/>
        <item x="238"/>
        <item t="default"/>
      </items>
    </pivotField>
    <pivotField showAll="0"/>
    <pivotField showAll="0">
      <items count="4">
        <item x="2"/>
        <item x="0"/>
        <item x="1"/>
        <item t="default"/>
      </items>
    </pivotField>
    <pivotField showAll="0"/>
    <pivotField axis="axisRow" showAll="0">
      <items count="7">
        <item x="2"/>
        <item x="0"/>
        <item x="3"/>
        <item x="1"/>
        <item x="4"/>
        <item x="5"/>
        <item t="default"/>
      </items>
    </pivotField>
    <pivotField showAll="0"/>
    <pivotField showAll="0">
      <items count="5">
        <item x="1"/>
        <item x="0"/>
        <item x="3"/>
        <item x="2"/>
        <item t="default"/>
      </items>
    </pivotField>
    <pivotField showAll="0"/>
    <pivotField showAll="0"/>
    <pivotField showAll="0"/>
    <pivotField numFmtId="164" showAll="0"/>
    <pivotField showAll="0"/>
    <pivotField dataField="1" numFmtId="164" showAll="0"/>
    <pivotField showAll="0">
      <items count="5">
        <item x="0"/>
        <item x="2"/>
        <item x="3"/>
        <item x="1"/>
        <item t="default"/>
      </items>
    </pivotField>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7">
    <i>
      <x/>
    </i>
    <i>
      <x v="1"/>
    </i>
    <i>
      <x v="2"/>
    </i>
    <i>
      <x v="3"/>
    </i>
    <i>
      <x v="4"/>
    </i>
    <i>
      <x v="5"/>
    </i>
    <i t="grand">
      <x/>
    </i>
  </rowItems>
  <colItems count="1">
    <i/>
  </colItems>
  <dataFields count="1">
    <dataField name="Sum of Sales Revenue" fld="13"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DD626E-A21E-48CA-9C47-4835773B45C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M5:N12" firstHeaderRow="1" firstDataRow="1" firstDataCol="1"/>
  <pivotFields count="21">
    <pivotField showAll="0"/>
    <pivotField numFmtId="14" showAll="0">
      <items count="535">
        <item x="441"/>
        <item x="330"/>
        <item x="254"/>
        <item x="462"/>
        <item x="102"/>
        <item x="207"/>
        <item x="368"/>
        <item x="378"/>
        <item x="312"/>
        <item x="265"/>
        <item x="38"/>
        <item x="94"/>
        <item x="469"/>
        <item x="32"/>
        <item x="155"/>
        <item x="278"/>
        <item x="495"/>
        <item x="396"/>
        <item x="511"/>
        <item x="85"/>
        <item x="351"/>
        <item x="134"/>
        <item x="304"/>
        <item x="253"/>
        <item x="440"/>
        <item x="60"/>
        <item x="37"/>
        <item x="415"/>
        <item x="405"/>
        <item x="326"/>
        <item x="140"/>
        <item x="356"/>
        <item x="125"/>
        <item x="173"/>
        <item x="298"/>
        <item x="120"/>
        <item x="481"/>
        <item x="316"/>
        <item x="259"/>
        <item x="182"/>
        <item x="338"/>
        <item x="492"/>
        <item x="512"/>
        <item x="451"/>
        <item x="395"/>
        <item x="267"/>
        <item x="354"/>
        <item x="399"/>
        <item x="276"/>
        <item x="192"/>
        <item x="20"/>
        <item x="1"/>
        <item x="191"/>
        <item x="151"/>
        <item x="53"/>
        <item x="186"/>
        <item x="486"/>
        <item x="56"/>
        <item x="261"/>
        <item x="158"/>
        <item x="122"/>
        <item x="88"/>
        <item x="450"/>
        <item x="221"/>
        <item x="123"/>
        <item x="219"/>
        <item x="270"/>
        <item x="40"/>
        <item x="475"/>
        <item x="131"/>
        <item x="41"/>
        <item x="381"/>
        <item x="387"/>
        <item x="103"/>
        <item x="497"/>
        <item x="436"/>
        <item x="164"/>
        <item x="6"/>
        <item x="347"/>
        <item x="212"/>
        <item x="290"/>
        <item x="429"/>
        <item x="355"/>
        <item x="320"/>
        <item x="319"/>
        <item x="199"/>
        <item x="232"/>
        <item x="376"/>
        <item x="208"/>
        <item x="315"/>
        <item x="476"/>
        <item x="332"/>
        <item x="438"/>
        <item x="419"/>
        <item x="17"/>
        <item x="299"/>
        <item x="167"/>
        <item x="100"/>
        <item x="375"/>
        <item x="110"/>
        <item x="90"/>
        <item x="237"/>
        <item x="48"/>
        <item x="263"/>
        <item x="193"/>
        <item x="118"/>
        <item x="385"/>
        <item x="24"/>
        <item x="352"/>
        <item x="447"/>
        <item x="225"/>
        <item x="473"/>
        <item x="119"/>
        <item x="401"/>
        <item x="216"/>
        <item x="422"/>
        <item x="214"/>
        <item x="349"/>
        <item x="339"/>
        <item x="50"/>
        <item x="410"/>
        <item x="109"/>
        <item x="229"/>
        <item x="301"/>
        <item x="71"/>
        <item x="5"/>
        <item x="92"/>
        <item x="489"/>
        <item x="230"/>
        <item x="162"/>
        <item x="273"/>
        <item x="51"/>
        <item x="439"/>
        <item x="73"/>
        <item x="377"/>
        <item x="288"/>
        <item x="226"/>
        <item x="416"/>
        <item x="402"/>
        <item x="409"/>
        <item x="146"/>
        <item x="280"/>
        <item x="522"/>
        <item x="397"/>
        <item x="344"/>
        <item x="249"/>
        <item x="240"/>
        <item x="180"/>
        <item x="520"/>
        <item x="35"/>
        <item x="68"/>
        <item x="39"/>
        <item x="133"/>
        <item x="217"/>
        <item x="251"/>
        <item x="184"/>
        <item x="236"/>
        <item x="95"/>
        <item x="250"/>
        <item x="245"/>
        <item x="27"/>
        <item x="470"/>
        <item x="361"/>
        <item x="482"/>
        <item x="373"/>
        <item x="372"/>
        <item x="19"/>
        <item x="533"/>
        <item x="277"/>
        <item x="75"/>
        <item x="268"/>
        <item x="149"/>
        <item x="172"/>
        <item x="413"/>
        <item x="171"/>
        <item x="220"/>
        <item x="364"/>
        <item x="228"/>
        <item x="165"/>
        <item x="391"/>
        <item x="215"/>
        <item x="258"/>
        <item x="160"/>
        <item x="181"/>
        <item x="309"/>
        <item x="223"/>
        <item x="367"/>
        <item x="80"/>
        <item x="15"/>
        <item x="359"/>
        <item x="531"/>
        <item x="97"/>
        <item x="513"/>
        <item x="444"/>
        <item x="196"/>
        <item x="528"/>
        <item x="275"/>
        <item x="59"/>
        <item x="357"/>
        <item x="256"/>
        <item x="252"/>
        <item x="209"/>
        <item x="168"/>
        <item x="323"/>
        <item x="428"/>
        <item x="14"/>
        <item x="342"/>
        <item x="478"/>
        <item x="69"/>
        <item x="33"/>
        <item x="79"/>
        <item x="143"/>
        <item x="417"/>
        <item x="205"/>
        <item x="353"/>
        <item x="210"/>
        <item x="83"/>
        <item x="113"/>
        <item x="310"/>
        <item x="501"/>
        <item x="286"/>
        <item x="529"/>
        <item x="81"/>
        <item x="46"/>
        <item x="452"/>
        <item x="346"/>
        <item x="177"/>
        <item x="406"/>
        <item x="55"/>
        <item x="477"/>
        <item x="70"/>
        <item x="106"/>
        <item x="194"/>
        <item x="128"/>
        <item x="465"/>
        <item x="195"/>
        <item x="67"/>
        <item x="222"/>
        <item x="197"/>
        <item x="166"/>
        <item x="87"/>
        <item x="227"/>
        <item x="284"/>
        <item x="453"/>
        <item x="28"/>
        <item x="266"/>
        <item x="307"/>
        <item x="514"/>
        <item x="12"/>
        <item x="282"/>
        <item x="485"/>
        <item x="170"/>
        <item x="292"/>
        <item x="137"/>
        <item x="499"/>
        <item x="107"/>
        <item x="527"/>
        <item x="467"/>
        <item x="366"/>
        <item x="426"/>
        <item x="295"/>
        <item x="308"/>
        <item x="437"/>
        <item x="414"/>
        <item x="244"/>
        <item x="161"/>
        <item x="505"/>
        <item x="138"/>
        <item x="456"/>
        <item x="393"/>
        <item x="300"/>
        <item x="291"/>
        <item x="424"/>
        <item x="504"/>
        <item x="468"/>
        <item x="18"/>
        <item x="302"/>
        <item x="283"/>
        <item x="461"/>
        <item x="242"/>
        <item x="211"/>
        <item x="98"/>
        <item x="111"/>
        <item x="44"/>
        <item x="255"/>
        <item x="4"/>
        <item x="457"/>
        <item x="518"/>
        <item x="43"/>
        <item x="480"/>
        <item x="374"/>
        <item x="178"/>
        <item x="479"/>
        <item x="104"/>
        <item x="287"/>
        <item x="425"/>
        <item x="0"/>
        <item x="203"/>
        <item x="337"/>
        <item x="49"/>
        <item x="524"/>
        <item x="246"/>
        <item x="345"/>
        <item x="23"/>
        <item x="188"/>
        <item x="30"/>
        <item x="420"/>
        <item x="78"/>
        <item x="362"/>
        <item x="116"/>
        <item x="293"/>
        <item x="408"/>
        <item x="243"/>
        <item x="471"/>
        <item x="269"/>
        <item x="16"/>
        <item x="516"/>
        <item x="206"/>
        <item x="65"/>
        <item x="108"/>
        <item x="66"/>
        <item x="257"/>
        <item x="57"/>
        <item x="130"/>
        <item x="224"/>
        <item x="435"/>
        <item x="392"/>
        <item x="472"/>
        <item x="93"/>
        <item x="84"/>
        <item x="412"/>
        <item x="525"/>
        <item x="176"/>
        <item x="488"/>
        <item x="464"/>
        <item x="306"/>
        <item x="386"/>
        <item x="58"/>
        <item x="233"/>
        <item x="388"/>
        <item x="190"/>
        <item x="383"/>
        <item x="285"/>
        <item x="200"/>
        <item x="294"/>
        <item x="314"/>
        <item x="54"/>
        <item x="318"/>
        <item x="260"/>
        <item x="185"/>
        <item x="491"/>
        <item x="432"/>
        <item x="13"/>
        <item x="325"/>
        <item x="121"/>
        <item x="407"/>
        <item x="466"/>
        <item x="82"/>
        <item x="503"/>
        <item x="271"/>
        <item x="371"/>
        <item x="530"/>
        <item x="493"/>
        <item x="333"/>
        <item x="34"/>
        <item x="523"/>
        <item x="241"/>
        <item x="459"/>
        <item x="281"/>
        <item x="96"/>
        <item x="508"/>
        <item x="403"/>
        <item x="418"/>
        <item x="112"/>
        <item x="202"/>
        <item x="117"/>
        <item x="247"/>
        <item x="91"/>
        <item x="404"/>
        <item x="500"/>
        <item x="384"/>
        <item x="335"/>
        <item x="274"/>
        <item x="183"/>
        <item x="448"/>
        <item x="29"/>
        <item x="101"/>
        <item x="336"/>
        <item x="297"/>
        <item x="77"/>
        <item x="262"/>
        <item x="331"/>
        <item x="515"/>
        <item x="61"/>
        <item x="341"/>
        <item x="152"/>
        <item x="455"/>
        <item x="317"/>
        <item x="187"/>
        <item x="360"/>
        <item x="175"/>
        <item x="147"/>
        <item x="72"/>
        <item x="521"/>
        <item x="198"/>
        <item x="327"/>
        <item x="431"/>
        <item x="126"/>
        <item x="363"/>
        <item x="365"/>
        <item x="483"/>
        <item x="248"/>
        <item x="433"/>
        <item x="321"/>
        <item x="328"/>
        <item x="498"/>
        <item x="400"/>
        <item x="394"/>
        <item x="490"/>
        <item x="390"/>
        <item x="204"/>
        <item x="45"/>
        <item x="99"/>
        <item x="22"/>
        <item x="114"/>
        <item x="389"/>
        <item x="350"/>
        <item x="157"/>
        <item x="26"/>
        <item x="264"/>
        <item x="144"/>
        <item x="63"/>
        <item x="380"/>
        <item x="86"/>
        <item x="458"/>
        <item x="11"/>
        <item x="322"/>
        <item x="25"/>
        <item x="519"/>
        <item x="231"/>
        <item x="509"/>
        <item x="139"/>
        <item x="127"/>
        <item x="313"/>
        <item x="474"/>
        <item x="189"/>
        <item x="487"/>
        <item x="329"/>
        <item x="235"/>
        <item x="494"/>
        <item x="2"/>
        <item x="142"/>
        <item x="163"/>
        <item x="443"/>
        <item x="74"/>
        <item x="8"/>
        <item x="42"/>
        <item x="370"/>
        <item x="21"/>
        <item x="136"/>
        <item x="463"/>
        <item x="52"/>
        <item x="484"/>
        <item x="517"/>
        <item x="156"/>
        <item x="382"/>
        <item x="47"/>
        <item x="36"/>
        <item x="445"/>
        <item x="148"/>
        <item x="423"/>
        <item x="234"/>
        <item x="334"/>
        <item x="272"/>
        <item x="343"/>
        <item x="427"/>
        <item x="62"/>
        <item x="358"/>
        <item x="174"/>
        <item x="526"/>
        <item x="153"/>
        <item x="506"/>
        <item x="348"/>
        <item x="179"/>
        <item x="76"/>
        <item x="129"/>
        <item x="169"/>
        <item x="64"/>
        <item x="154"/>
        <item x="340"/>
        <item x="311"/>
        <item x="115"/>
        <item x="449"/>
        <item x="369"/>
        <item x="434"/>
        <item x="150"/>
        <item x="7"/>
        <item x="132"/>
        <item x="398"/>
        <item x="442"/>
        <item x="145"/>
        <item x="454"/>
        <item x="305"/>
        <item x="3"/>
        <item x="141"/>
        <item x="10"/>
        <item x="421"/>
        <item x="135"/>
        <item x="218"/>
        <item x="379"/>
        <item x="411"/>
        <item x="279"/>
        <item x="31"/>
        <item x="239"/>
        <item x="201"/>
        <item x="213"/>
        <item x="496"/>
        <item x="105"/>
        <item x="303"/>
        <item x="502"/>
        <item x="430"/>
        <item x="446"/>
        <item x="9"/>
        <item x="289"/>
        <item x="159"/>
        <item x="296"/>
        <item x="124"/>
        <item x="532"/>
        <item x="507"/>
        <item x="460"/>
        <item x="324"/>
        <item x="89"/>
        <item x="510"/>
        <item x="238"/>
        <item t="default"/>
      </items>
    </pivotField>
    <pivotField showAll="0"/>
    <pivotField showAll="0">
      <items count="4">
        <item x="2"/>
        <item x="0"/>
        <item x="1"/>
        <item t="default"/>
      </items>
    </pivotField>
    <pivotField showAll="0"/>
    <pivotField axis="axisRow" showAll="0">
      <items count="7">
        <item x="2"/>
        <item x="0"/>
        <item x="3"/>
        <item x="1"/>
        <item x="4"/>
        <item x="5"/>
        <item t="default"/>
      </items>
    </pivotField>
    <pivotField showAll="0"/>
    <pivotField showAll="0">
      <items count="5">
        <item x="1"/>
        <item x="0"/>
        <item x="3"/>
        <item x="2"/>
        <item t="default"/>
      </items>
    </pivotField>
    <pivotField showAll="0"/>
    <pivotField showAll="0"/>
    <pivotField dataField="1" showAll="0"/>
    <pivotField numFmtId="164" showAll="0"/>
    <pivotField showAll="0"/>
    <pivotField numFmtId="164" showAll="0"/>
    <pivotField showAll="0">
      <items count="5">
        <item x="0"/>
        <item x="2"/>
        <item x="3"/>
        <item x="1"/>
        <item t="default"/>
      </items>
    </pivotField>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7">
    <i>
      <x/>
    </i>
    <i>
      <x v="1"/>
    </i>
    <i>
      <x v="2"/>
    </i>
    <i>
      <x v="3"/>
    </i>
    <i>
      <x v="4"/>
    </i>
    <i>
      <x v="5"/>
    </i>
    <i t="grand">
      <x/>
    </i>
  </rowItems>
  <colItems count="1">
    <i/>
  </colItems>
  <dataFields count="1">
    <dataField name="Sum of Quantity" fld="10" baseField="0" baseItem="0"/>
  </dataFields>
  <chartFormats count="5">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1C00BD-B0F6-424C-8CDA-EAED83D4AA02}" name="Sum_Of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1">
    <pivotField showAll="0"/>
    <pivotField numFmtId="14" showAll="0">
      <items count="535">
        <item x="441"/>
        <item x="330"/>
        <item x="254"/>
        <item x="462"/>
        <item x="102"/>
        <item x="207"/>
        <item x="368"/>
        <item x="378"/>
        <item x="312"/>
        <item x="265"/>
        <item x="38"/>
        <item x="94"/>
        <item x="469"/>
        <item x="32"/>
        <item x="155"/>
        <item x="278"/>
        <item x="495"/>
        <item x="396"/>
        <item x="511"/>
        <item x="85"/>
        <item x="351"/>
        <item x="134"/>
        <item x="304"/>
        <item x="253"/>
        <item x="440"/>
        <item x="60"/>
        <item x="37"/>
        <item x="415"/>
        <item x="405"/>
        <item x="326"/>
        <item x="140"/>
        <item x="356"/>
        <item x="125"/>
        <item x="173"/>
        <item x="298"/>
        <item x="120"/>
        <item x="481"/>
        <item x="316"/>
        <item x="259"/>
        <item x="182"/>
        <item x="338"/>
        <item x="492"/>
        <item x="512"/>
        <item x="451"/>
        <item x="395"/>
        <item x="267"/>
        <item x="354"/>
        <item x="399"/>
        <item x="276"/>
        <item x="192"/>
        <item x="20"/>
        <item x="1"/>
        <item x="191"/>
        <item x="151"/>
        <item x="53"/>
        <item x="186"/>
        <item x="486"/>
        <item x="56"/>
        <item x="261"/>
        <item x="158"/>
        <item x="122"/>
        <item x="88"/>
        <item x="450"/>
        <item x="221"/>
        <item x="123"/>
        <item x="219"/>
        <item x="270"/>
        <item x="40"/>
        <item x="475"/>
        <item x="131"/>
        <item x="41"/>
        <item x="381"/>
        <item x="387"/>
        <item x="103"/>
        <item x="497"/>
        <item x="436"/>
        <item x="164"/>
        <item x="6"/>
        <item x="347"/>
        <item x="212"/>
        <item x="290"/>
        <item x="429"/>
        <item x="355"/>
        <item x="320"/>
        <item x="319"/>
        <item x="199"/>
        <item x="232"/>
        <item x="376"/>
        <item x="208"/>
        <item x="315"/>
        <item x="476"/>
        <item x="332"/>
        <item x="438"/>
        <item x="419"/>
        <item x="17"/>
        <item x="299"/>
        <item x="167"/>
        <item x="100"/>
        <item x="375"/>
        <item x="110"/>
        <item x="90"/>
        <item x="237"/>
        <item x="48"/>
        <item x="263"/>
        <item x="193"/>
        <item x="118"/>
        <item x="385"/>
        <item x="24"/>
        <item x="352"/>
        <item x="447"/>
        <item x="225"/>
        <item x="473"/>
        <item x="119"/>
        <item x="401"/>
        <item x="216"/>
        <item x="422"/>
        <item x="214"/>
        <item x="349"/>
        <item x="339"/>
        <item x="50"/>
        <item x="410"/>
        <item x="109"/>
        <item x="229"/>
        <item x="301"/>
        <item x="71"/>
        <item x="5"/>
        <item x="92"/>
        <item x="489"/>
        <item x="230"/>
        <item x="162"/>
        <item x="273"/>
        <item x="51"/>
        <item x="439"/>
        <item x="73"/>
        <item x="377"/>
        <item x="288"/>
        <item x="226"/>
        <item x="416"/>
        <item x="402"/>
        <item x="409"/>
        <item x="146"/>
        <item x="280"/>
        <item x="522"/>
        <item x="397"/>
        <item x="344"/>
        <item x="249"/>
        <item x="240"/>
        <item x="180"/>
        <item x="520"/>
        <item x="35"/>
        <item x="68"/>
        <item x="39"/>
        <item x="133"/>
        <item x="217"/>
        <item x="251"/>
        <item x="184"/>
        <item x="236"/>
        <item x="95"/>
        <item x="250"/>
        <item x="245"/>
        <item x="27"/>
        <item x="470"/>
        <item x="361"/>
        <item x="482"/>
        <item x="373"/>
        <item x="372"/>
        <item x="19"/>
        <item x="533"/>
        <item x="277"/>
        <item x="75"/>
        <item x="268"/>
        <item x="149"/>
        <item x="172"/>
        <item x="413"/>
        <item x="171"/>
        <item x="220"/>
        <item x="364"/>
        <item x="228"/>
        <item x="165"/>
        <item x="391"/>
        <item x="215"/>
        <item x="258"/>
        <item x="160"/>
        <item x="181"/>
        <item x="309"/>
        <item x="223"/>
        <item x="367"/>
        <item x="80"/>
        <item x="15"/>
        <item x="359"/>
        <item x="531"/>
        <item x="97"/>
        <item x="513"/>
        <item x="444"/>
        <item x="196"/>
        <item x="528"/>
        <item x="275"/>
        <item x="59"/>
        <item x="357"/>
        <item x="256"/>
        <item x="252"/>
        <item x="209"/>
        <item x="168"/>
        <item x="323"/>
        <item x="428"/>
        <item x="14"/>
        <item x="342"/>
        <item x="478"/>
        <item x="69"/>
        <item x="33"/>
        <item x="79"/>
        <item x="143"/>
        <item x="417"/>
        <item x="205"/>
        <item x="353"/>
        <item x="210"/>
        <item x="83"/>
        <item x="113"/>
        <item x="310"/>
        <item x="501"/>
        <item x="286"/>
        <item x="529"/>
        <item x="81"/>
        <item x="46"/>
        <item x="452"/>
        <item x="346"/>
        <item x="177"/>
        <item x="406"/>
        <item x="55"/>
        <item x="477"/>
        <item x="70"/>
        <item x="106"/>
        <item x="194"/>
        <item x="128"/>
        <item x="465"/>
        <item x="195"/>
        <item x="67"/>
        <item x="222"/>
        <item x="197"/>
        <item x="166"/>
        <item x="87"/>
        <item x="227"/>
        <item x="284"/>
        <item x="453"/>
        <item x="28"/>
        <item x="266"/>
        <item x="307"/>
        <item x="514"/>
        <item x="12"/>
        <item x="282"/>
        <item x="485"/>
        <item x="170"/>
        <item x="292"/>
        <item x="137"/>
        <item x="499"/>
        <item x="107"/>
        <item x="527"/>
        <item x="467"/>
        <item x="366"/>
        <item x="426"/>
        <item x="295"/>
        <item x="308"/>
        <item x="437"/>
        <item x="414"/>
        <item x="244"/>
        <item x="161"/>
        <item x="505"/>
        <item x="138"/>
        <item x="456"/>
        <item x="393"/>
        <item x="300"/>
        <item x="291"/>
        <item x="424"/>
        <item x="504"/>
        <item x="468"/>
        <item x="18"/>
        <item x="302"/>
        <item x="283"/>
        <item x="461"/>
        <item x="242"/>
        <item x="211"/>
        <item x="98"/>
        <item x="111"/>
        <item x="44"/>
        <item x="255"/>
        <item x="4"/>
        <item x="457"/>
        <item x="518"/>
        <item x="43"/>
        <item x="480"/>
        <item x="374"/>
        <item x="178"/>
        <item x="479"/>
        <item x="104"/>
        <item x="287"/>
        <item x="425"/>
        <item x="0"/>
        <item x="203"/>
        <item x="337"/>
        <item x="49"/>
        <item x="524"/>
        <item x="246"/>
        <item x="345"/>
        <item x="23"/>
        <item x="188"/>
        <item x="30"/>
        <item x="420"/>
        <item x="78"/>
        <item x="362"/>
        <item x="116"/>
        <item x="293"/>
        <item x="408"/>
        <item x="243"/>
        <item x="471"/>
        <item x="269"/>
        <item x="16"/>
        <item x="516"/>
        <item x="206"/>
        <item x="65"/>
        <item x="108"/>
        <item x="66"/>
        <item x="257"/>
        <item x="57"/>
        <item x="130"/>
        <item x="224"/>
        <item x="435"/>
        <item x="392"/>
        <item x="472"/>
        <item x="93"/>
        <item x="84"/>
        <item x="412"/>
        <item x="525"/>
        <item x="176"/>
        <item x="488"/>
        <item x="464"/>
        <item x="306"/>
        <item x="386"/>
        <item x="58"/>
        <item x="233"/>
        <item x="388"/>
        <item x="190"/>
        <item x="383"/>
        <item x="285"/>
        <item x="200"/>
        <item x="294"/>
        <item x="314"/>
        <item x="54"/>
        <item x="318"/>
        <item x="260"/>
        <item x="185"/>
        <item x="491"/>
        <item x="432"/>
        <item x="13"/>
        <item x="325"/>
        <item x="121"/>
        <item x="407"/>
        <item x="466"/>
        <item x="82"/>
        <item x="503"/>
        <item x="271"/>
        <item x="371"/>
        <item x="530"/>
        <item x="493"/>
        <item x="333"/>
        <item x="34"/>
        <item x="523"/>
        <item x="241"/>
        <item x="459"/>
        <item x="281"/>
        <item x="96"/>
        <item x="508"/>
        <item x="403"/>
        <item x="418"/>
        <item x="112"/>
        <item x="202"/>
        <item x="117"/>
        <item x="247"/>
        <item x="91"/>
        <item x="404"/>
        <item x="500"/>
        <item x="384"/>
        <item x="335"/>
        <item x="274"/>
        <item x="183"/>
        <item x="448"/>
        <item x="29"/>
        <item x="101"/>
        <item x="336"/>
        <item x="297"/>
        <item x="77"/>
        <item x="262"/>
        <item x="331"/>
        <item x="515"/>
        <item x="61"/>
        <item x="341"/>
        <item x="152"/>
        <item x="455"/>
        <item x="317"/>
        <item x="187"/>
        <item x="360"/>
        <item x="175"/>
        <item x="147"/>
        <item x="72"/>
        <item x="521"/>
        <item x="198"/>
        <item x="327"/>
        <item x="431"/>
        <item x="126"/>
        <item x="363"/>
        <item x="365"/>
        <item x="483"/>
        <item x="248"/>
        <item x="433"/>
        <item x="321"/>
        <item x="328"/>
        <item x="498"/>
        <item x="400"/>
        <item x="394"/>
        <item x="490"/>
        <item x="390"/>
        <item x="204"/>
        <item x="45"/>
        <item x="99"/>
        <item x="22"/>
        <item x="114"/>
        <item x="389"/>
        <item x="350"/>
        <item x="157"/>
        <item x="26"/>
        <item x="264"/>
        <item x="144"/>
        <item x="63"/>
        <item x="380"/>
        <item x="86"/>
        <item x="458"/>
        <item x="11"/>
        <item x="322"/>
        <item x="25"/>
        <item x="519"/>
        <item x="231"/>
        <item x="509"/>
        <item x="139"/>
        <item x="127"/>
        <item x="313"/>
        <item x="474"/>
        <item x="189"/>
        <item x="487"/>
        <item x="329"/>
        <item x="235"/>
        <item x="494"/>
        <item x="2"/>
        <item x="142"/>
        <item x="163"/>
        <item x="443"/>
        <item x="74"/>
        <item x="8"/>
        <item x="42"/>
        <item x="370"/>
        <item x="21"/>
        <item x="136"/>
        <item x="463"/>
        <item x="52"/>
        <item x="484"/>
        <item x="517"/>
        <item x="156"/>
        <item x="382"/>
        <item x="47"/>
        <item x="36"/>
        <item x="445"/>
        <item x="148"/>
        <item x="423"/>
        <item x="234"/>
        <item x="334"/>
        <item x="272"/>
        <item x="343"/>
        <item x="427"/>
        <item x="62"/>
        <item x="358"/>
        <item x="174"/>
        <item x="526"/>
        <item x="153"/>
        <item x="506"/>
        <item x="348"/>
        <item x="179"/>
        <item x="76"/>
        <item x="129"/>
        <item x="169"/>
        <item x="64"/>
        <item x="154"/>
        <item x="340"/>
        <item x="311"/>
        <item x="115"/>
        <item x="449"/>
        <item x="369"/>
        <item x="434"/>
        <item x="150"/>
        <item x="7"/>
        <item x="132"/>
        <item x="398"/>
        <item x="442"/>
        <item x="145"/>
        <item x="454"/>
        <item x="305"/>
        <item x="3"/>
        <item x="141"/>
        <item x="10"/>
        <item x="421"/>
        <item x="135"/>
        <item x="218"/>
        <item x="379"/>
        <item x="411"/>
        <item x="279"/>
        <item x="31"/>
        <item x="239"/>
        <item x="201"/>
        <item x="213"/>
        <item x="496"/>
        <item x="105"/>
        <item x="303"/>
        <item x="502"/>
        <item x="430"/>
        <item x="446"/>
        <item x="9"/>
        <item x="289"/>
        <item x="159"/>
        <item x="296"/>
        <item x="124"/>
        <item x="532"/>
        <item x="507"/>
        <item x="460"/>
        <item x="324"/>
        <item x="89"/>
        <item x="510"/>
        <item x="238"/>
        <item t="default"/>
      </items>
    </pivotField>
    <pivotField showAll="0"/>
    <pivotField showAll="0">
      <items count="4">
        <item x="2"/>
        <item x="0"/>
        <item x="1"/>
        <item t="default"/>
      </items>
    </pivotField>
    <pivotField showAll="0"/>
    <pivotField showAll="0"/>
    <pivotField showAll="0"/>
    <pivotField showAll="0">
      <items count="5">
        <item x="1"/>
        <item x="0"/>
        <item x="3"/>
        <item x="2"/>
        <item t="default"/>
      </items>
    </pivotField>
    <pivotField showAll="0"/>
    <pivotField showAll="0"/>
    <pivotField showAll="0"/>
    <pivotField numFmtId="164" showAll="0"/>
    <pivotField showAll="0"/>
    <pivotField dataField="1" numFmtId="164" showAll="0"/>
    <pivotField showAll="0">
      <items count="5">
        <item x="0"/>
        <item x="2"/>
        <item x="3"/>
        <item x="1"/>
        <item t="default"/>
      </items>
    </pivotField>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Sales Revenue"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DC41BC-2687-4044-A85F-1EEA53109D8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21">
    <pivotField showAll="0"/>
    <pivotField numFmtId="14" showAll="0">
      <items count="535">
        <item x="441"/>
        <item x="330"/>
        <item x="254"/>
        <item x="462"/>
        <item x="102"/>
        <item x="207"/>
        <item x="368"/>
        <item x="378"/>
        <item x="312"/>
        <item x="265"/>
        <item x="38"/>
        <item x="94"/>
        <item x="469"/>
        <item x="32"/>
        <item x="155"/>
        <item x="278"/>
        <item x="495"/>
        <item x="396"/>
        <item x="511"/>
        <item x="85"/>
        <item x="351"/>
        <item x="134"/>
        <item x="304"/>
        <item x="253"/>
        <item x="440"/>
        <item x="60"/>
        <item x="37"/>
        <item x="415"/>
        <item x="405"/>
        <item x="326"/>
        <item x="140"/>
        <item x="356"/>
        <item x="125"/>
        <item x="173"/>
        <item x="298"/>
        <item x="120"/>
        <item x="481"/>
        <item x="316"/>
        <item x="259"/>
        <item x="182"/>
        <item x="338"/>
        <item x="492"/>
        <item x="512"/>
        <item x="451"/>
        <item x="395"/>
        <item x="267"/>
        <item x="354"/>
        <item x="399"/>
        <item x="276"/>
        <item x="192"/>
        <item x="20"/>
        <item x="1"/>
        <item x="191"/>
        <item x="151"/>
        <item x="53"/>
        <item x="186"/>
        <item x="486"/>
        <item x="56"/>
        <item x="261"/>
        <item x="158"/>
        <item x="122"/>
        <item x="88"/>
        <item x="450"/>
        <item x="221"/>
        <item x="123"/>
        <item x="219"/>
        <item x="270"/>
        <item x="40"/>
        <item x="475"/>
        <item x="131"/>
        <item x="41"/>
        <item x="381"/>
        <item x="387"/>
        <item x="103"/>
        <item x="497"/>
        <item x="436"/>
        <item x="164"/>
        <item x="6"/>
        <item x="347"/>
        <item x="212"/>
        <item x="290"/>
        <item x="429"/>
        <item x="355"/>
        <item x="320"/>
        <item x="319"/>
        <item x="199"/>
        <item x="232"/>
        <item x="376"/>
        <item x="208"/>
        <item x="315"/>
        <item x="476"/>
        <item x="332"/>
        <item x="438"/>
        <item x="419"/>
        <item x="17"/>
        <item x="299"/>
        <item x="167"/>
        <item x="100"/>
        <item x="375"/>
        <item x="110"/>
        <item x="90"/>
        <item x="237"/>
        <item x="48"/>
        <item x="263"/>
        <item x="193"/>
        <item x="118"/>
        <item x="385"/>
        <item x="24"/>
        <item x="352"/>
        <item x="447"/>
        <item x="225"/>
        <item x="473"/>
        <item x="119"/>
        <item x="401"/>
        <item x="216"/>
        <item x="422"/>
        <item x="214"/>
        <item x="349"/>
        <item x="339"/>
        <item x="50"/>
        <item x="410"/>
        <item x="109"/>
        <item x="229"/>
        <item x="301"/>
        <item x="71"/>
        <item x="5"/>
        <item x="92"/>
        <item x="489"/>
        <item x="230"/>
        <item x="162"/>
        <item x="273"/>
        <item x="51"/>
        <item x="439"/>
        <item x="73"/>
        <item x="377"/>
        <item x="288"/>
        <item x="226"/>
        <item x="416"/>
        <item x="402"/>
        <item x="409"/>
        <item x="146"/>
        <item x="280"/>
        <item x="522"/>
        <item x="397"/>
        <item x="344"/>
        <item x="249"/>
        <item x="240"/>
        <item x="180"/>
        <item x="520"/>
        <item x="35"/>
        <item x="68"/>
        <item x="39"/>
        <item x="133"/>
        <item x="217"/>
        <item x="251"/>
        <item x="184"/>
        <item x="236"/>
        <item x="95"/>
        <item x="250"/>
        <item x="245"/>
        <item x="27"/>
        <item x="470"/>
        <item x="361"/>
        <item x="482"/>
        <item x="373"/>
        <item x="372"/>
        <item x="19"/>
        <item x="533"/>
        <item x="277"/>
        <item x="75"/>
        <item x="268"/>
        <item x="149"/>
        <item x="172"/>
        <item x="413"/>
        <item x="171"/>
        <item x="220"/>
        <item x="364"/>
        <item x="228"/>
        <item x="165"/>
        <item x="391"/>
        <item x="215"/>
        <item x="258"/>
        <item x="160"/>
        <item x="181"/>
        <item x="309"/>
        <item x="223"/>
        <item x="367"/>
        <item x="80"/>
        <item x="15"/>
        <item x="359"/>
        <item x="531"/>
        <item x="97"/>
        <item x="513"/>
        <item x="444"/>
        <item x="196"/>
        <item x="528"/>
        <item x="275"/>
        <item x="59"/>
        <item x="357"/>
        <item x="256"/>
        <item x="252"/>
        <item x="209"/>
        <item x="168"/>
        <item x="323"/>
        <item x="428"/>
        <item x="14"/>
        <item x="342"/>
        <item x="478"/>
        <item x="69"/>
        <item x="33"/>
        <item x="79"/>
        <item x="143"/>
        <item x="417"/>
        <item x="205"/>
        <item x="353"/>
        <item x="210"/>
        <item x="83"/>
        <item x="113"/>
        <item x="310"/>
        <item x="501"/>
        <item x="286"/>
        <item x="529"/>
        <item x="81"/>
        <item x="46"/>
        <item x="452"/>
        <item x="346"/>
        <item x="177"/>
        <item x="406"/>
        <item x="55"/>
        <item x="477"/>
        <item x="70"/>
        <item x="106"/>
        <item x="194"/>
        <item x="128"/>
        <item x="465"/>
        <item x="195"/>
        <item x="67"/>
        <item x="222"/>
        <item x="197"/>
        <item x="166"/>
        <item x="87"/>
        <item x="227"/>
        <item x="284"/>
        <item x="453"/>
        <item x="28"/>
        <item x="266"/>
        <item x="307"/>
        <item x="514"/>
        <item x="12"/>
        <item x="282"/>
        <item x="485"/>
        <item x="170"/>
        <item x="292"/>
        <item x="137"/>
        <item x="499"/>
        <item x="107"/>
        <item x="527"/>
        <item x="467"/>
        <item x="366"/>
        <item x="426"/>
        <item x="295"/>
        <item x="308"/>
        <item x="437"/>
        <item x="414"/>
        <item x="244"/>
        <item x="161"/>
        <item x="505"/>
        <item x="138"/>
        <item x="456"/>
        <item x="393"/>
        <item x="300"/>
        <item x="291"/>
        <item x="424"/>
        <item x="504"/>
        <item x="468"/>
        <item x="18"/>
        <item x="302"/>
        <item x="283"/>
        <item x="461"/>
        <item x="242"/>
        <item x="211"/>
        <item x="98"/>
        <item x="111"/>
        <item x="44"/>
        <item x="255"/>
        <item x="4"/>
        <item x="457"/>
        <item x="518"/>
        <item x="43"/>
        <item x="480"/>
        <item x="374"/>
        <item x="178"/>
        <item x="479"/>
        <item x="104"/>
        <item x="287"/>
        <item x="425"/>
        <item x="0"/>
        <item x="203"/>
        <item x="337"/>
        <item x="49"/>
        <item x="524"/>
        <item x="246"/>
        <item x="345"/>
        <item x="23"/>
        <item x="188"/>
        <item x="30"/>
        <item x="420"/>
        <item x="78"/>
        <item x="362"/>
        <item x="116"/>
        <item x="293"/>
        <item x="408"/>
        <item x="243"/>
        <item x="471"/>
        <item x="269"/>
        <item x="16"/>
        <item x="516"/>
        <item x="206"/>
        <item x="65"/>
        <item x="108"/>
        <item x="66"/>
        <item x="257"/>
        <item x="57"/>
        <item x="130"/>
        <item x="224"/>
        <item x="435"/>
        <item x="392"/>
        <item x="472"/>
        <item x="93"/>
        <item x="84"/>
        <item x="412"/>
        <item x="525"/>
        <item x="176"/>
        <item x="488"/>
        <item x="464"/>
        <item x="306"/>
        <item x="386"/>
        <item x="58"/>
        <item x="233"/>
        <item x="388"/>
        <item x="190"/>
        <item x="383"/>
        <item x="285"/>
        <item x="200"/>
        <item x="294"/>
        <item x="314"/>
        <item x="54"/>
        <item x="318"/>
        <item x="260"/>
        <item x="185"/>
        <item x="491"/>
        <item x="432"/>
        <item x="13"/>
        <item x="325"/>
        <item x="121"/>
        <item x="407"/>
        <item x="466"/>
        <item x="82"/>
        <item x="503"/>
        <item x="271"/>
        <item x="371"/>
        <item x="530"/>
        <item x="493"/>
        <item x="333"/>
        <item x="34"/>
        <item x="523"/>
        <item x="241"/>
        <item x="459"/>
        <item x="281"/>
        <item x="96"/>
        <item x="508"/>
        <item x="403"/>
        <item x="418"/>
        <item x="112"/>
        <item x="202"/>
        <item x="117"/>
        <item x="247"/>
        <item x="91"/>
        <item x="404"/>
        <item x="500"/>
        <item x="384"/>
        <item x="335"/>
        <item x="274"/>
        <item x="183"/>
        <item x="448"/>
        <item x="29"/>
        <item x="101"/>
        <item x="336"/>
        <item x="297"/>
        <item x="77"/>
        <item x="262"/>
        <item x="331"/>
        <item x="515"/>
        <item x="61"/>
        <item x="341"/>
        <item x="152"/>
        <item x="455"/>
        <item x="317"/>
        <item x="187"/>
        <item x="360"/>
        <item x="175"/>
        <item x="147"/>
        <item x="72"/>
        <item x="521"/>
        <item x="198"/>
        <item x="327"/>
        <item x="431"/>
        <item x="126"/>
        <item x="363"/>
        <item x="365"/>
        <item x="483"/>
        <item x="248"/>
        <item x="433"/>
        <item x="321"/>
        <item x="328"/>
        <item x="498"/>
        <item x="400"/>
        <item x="394"/>
        <item x="490"/>
        <item x="390"/>
        <item x="204"/>
        <item x="45"/>
        <item x="99"/>
        <item x="22"/>
        <item x="114"/>
        <item x="389"/>
        <item x="350"/>
        <item x="157"/>
        <item x="26"/>
        <item x="264"/>
        <item x="144"/>
        <item x="63"/>
        <item x="380"/>
        <item x="86"/>
        <item x="458"/>
        <item x="11"/>
        <item x="322"/>
        <item x="25"/>
        <item x="519"/>
        <item x="231"/>
        <item x="509"/>
        <item x="139"/>
        <item x="127"/>
        <item x="313"/>
        <item x="474"/>
        <item x="189"/>
        <item x="487"/>
        <item x="329"/>
        <item x="235"/>
        <item x="494"/>
        <item x="2"/>
        <item x="142"/>
        <item x="163"/>
        <item x="443"/>
        <item x="74"/>
        <item x="8"/>
        <item x="42"/>
        <item x="370"/>
        <item x="21"/>
        <item x="136"/>
        <item x="463"/>
        <item x="52"/>
        <item x="484"/>
        <item x="517"/>
        <item x="156"/>
        <item x="382"/>
        <item x="47"/>
        <item x="36"/>
        <item x="445"/>
        <item x="148"/>
        <item x="423"/>
        <item x="234"/>
        <item x="334"/>
        <item x="272"/>
        <item x="343"/>
        <item x="427"/>
        <item x="62"/>
        <item x="358"/>
        <item x="174"/>
        <item x="526"/>
        <item x="153"/>
        <item x="506"/>
        <item x="348"/>
        <item x="179"/>
        <item x="76"/>
        <item x="129"/>
        <item x="169"/>
        <item x="64"/>
        <item x="154"/>
        <item x="340"/>
        <item x="311"/>
        <item x="115"/>
        <item x="449"/>
        <item x="369"/>
        <item x="434"/>
        <item x="150"/>
        <item x="7"/>
        <item x="132"/>
        <item x="398"/>
        <item x="442"/>
        <item x="145"/>
        <item x="454"/>
        <item x="305"/>
        <item x="3"/>
        <item x="141"/>
        <item x="10"/>
        <item x="421"/>
        <item x="135"/>
        <item x="218"/>
        <item x="379"/>
        <item x="411"/>
        <item x="279"/>
        <item x="31"/>
        <item x="239"/>
        <item x="201"/>
        <item x="213"/>
        <item x="496"/>
        <item x="105"/>
        <item x="303"/>
        <item x="502"/>
        <item x="430"/>
        <item x="446"/>
        <item x="9"/>
        <item x="289"/>
        <item x="159"/>
        <item x="296"/>
        <item x="124"/>
        <item x="532"/>
        <item x="507"/>
        <item x="460"/>
        <item x="324"/>
        <item x="89"/>
        <item x="510"/>
        <item x="238"/>
        <item t="default"/>
      </items>
    </pivotField>
    <pivotField showAll="0"/>
    <pivotField showAll="0">
      <items count="4">
        <item x="2"/>
        <item x="0"/>
        <item x="1"/>
        <item t="default"/>
      </items>
    </pivotField>
    <pivotField showAll="0"/>
    <pivotField showAll="0"/>
    <pivotField showAll="0"/>
    <pivotField showAll="0">
      <items count="5">
        <item x="1"/>
        <item x="0"/>
        <item x="3"/>
        <item x="2"/>
        <item t="default"/>
      </items>
    </pivotField>
    <pivotField showAll="0"/>
    <pivotField showAll="0"/>
    <pivotField dataField="1" showAll="0"/>
    <pivotField numFmtId="164" showAll="0"/>
    <pivotField showAll="0"/>
    <pivotField numFmtId="164" showAll="0"/>
    <pivotField showAll="0">
      <items count="5">
        <item x="0"/>
        <item x="2"/>
        <item x="3"/>
        <item x="1"/>
        <item t="default"/>
      </items>
    </pivotField>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617308-2AA8-4259-951E-0D643DCA513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5:H10" firstHeaderRow="1" firstDataRow="1" firstDataCol="1"/>
  <pivotFields count="21">
    <pivotField showAll="0"/>
    <pivotField numFmtId="14" showAll="0">
      <items count="535">
        <item x="441"/>
        <item x="330"/>
        <item x="254"/>
        <item x="462"/>
        <item x="102"/>
        <item x="207"/>
        <item x="368"/>
        <item x="378"/>
        <item x="312"/>
        <item x="265"/>
        <item x="38"/>
        <item x="94"/>
        <item x="469"/>
        <item x="32"/>
        <item x="155"/>
        <item x="278"/>
        <item x="495"/>
        <item x="396"/>
        <item x="511"/>
        <item x="85"/>
        <item x="351"/>
        <item x="134"/>
        <item x="304"/>
        <item x="253"/>
        <item x="440"/>
        <item x="60"/>
        <item x="37"/>
        <item x="415"/>
        <item x="405"/>
        <item x="326"/>
        <item x="140"/>
        <item x="356"/>
        <item x="125"/>
        <item x="173"/>
        <item x="298"/>
        <item x="120"/>
        <item x="481"/>
        <item x="316"/>
        <item x="259"/>
        <item x="182"/>
        <item x="338"/>
        <item x="492"/>
        <item x="512"/>
        <item x="451"/>
        <item x="395"/>
        <item x="267"/>
        <item x="354"/>
        <item x="399"/>
        <item x="276"/>
        <item x="192"/>
        <item x="20"/>
        <item x="1"/>
        <item x="191"/>
        <item x="151"/>
        <item x="53"/>
        <item x="186"/>
        <item x="486"/>
        <item x="56"/>
        <item x="261"/>
        <item x="158"/>
        <item x="122"/>
        <item x="88"/>
        <item x="450"/>
        <item x="221"/>
        <item x="123"/>
        <item x="219"/>
        <item x="270"/>
        <item x="40"/>
        <item x="475"/>
        <item x="131"/>
        <item x="41"/>
        <item x="381"/>
        <item x="387"/>
        <item x="103"/>
        <item x="497"/>
        <item x="436"/>
        <item x="164"/>
        <item x="6"/>
        <item x="347"/>
        <item x="212"/>
        <item x="290"/>
        <item x="429"/>
        <item x="355"/>
        <item x="320"/>
        <item x="319"/>
        <item x="199"/>
        <item x="232"/>
        <item x="376"/>
        <item x="208"/>
        <item x="315"/>
        <item x="476"/>
        <item x="332"/>
        <item x="438"/>
        <item x="419"/>
        <item x="17"/>
        <item x="299"/>
        <item x="167"/>
        <item x="100"/>
        <item x="375"/>
        <item x="110"/>
        <item x="90"/>
        <item x="237"/>
        <item x="48"/>
        <item x="263"/>
        <item x="193"/>
        <item x="118"/>
        <item x="385"/>
        <item x="24"/>
        <item x="352"/>
        <item x="447"/>
        <item x="225"/>
        <item x="473"/>
        <item x="119"/>
        <item x="401"/>
        <item x="216"/>
        <item x="422"/>
        <item x="214"/>
        <item x="349"/>
        <item x="339"/>
        <item x="50"/>
        <item x="410"/>
        <item x="109"/>
        <item x="229"/>
        <item x="301"/>
        <item x="71"/>
        <item x="5"/>
        <item x="92"/>
        <item x="489"/>
        <item x="230"/>
        <item x="162"/>
        <item x="273"/>
        <item x="51"/>
        <item x="439"/>
        <item x="73"/>
        <item x="377"/>
        <item x="288"/>
        <item x="226"/>
        <item x="416"/>
        <item x="402"/>
        <item x="409"/>
        <item x="146"/>
        <item x="280"/>
        <item x="522"/>
        <item x="397"/>
        <item x="344"/>
        <item x="249"/>
        <item x="240"/>
        <item x="180"/>
        <item x="520"/>
        <item x="35"/>
        <item x="68"/>
        <item x="39"/>
        <item x="133"/>
        <item x="217"/>
        <item x="251"/>
        <item x="184"/>
        <item x="236"/>
        <item x="95"/>
        <item x="250"/>
        <item x="245"/>
        <item x="27"/>
        <item x="470"/>
        <item x="361"/>
        <item x="482"/>
        <item x="373"/>
        <item x="372"/>
        <item x="19"/>
        <item x="533"/>
        <item x="277"/>
        <item x="75"/>
        <item x="268"/>
        <item x="149"/>
        <item x="172"/>
        <item x="413"/>
        <item x="171"/>
        <item x="220"/>
        <item x="364"/>
        <item x="228"/>
        <item x="165"/>
        <item x="391"/>
        <item x="215"/>
        <item x="258"/>
        <item x="160"/>
        <item x="181"/>
        <item x="309"/>
        <item x="223"/>
        <item x="367"/>
        <item x="80"/>
        <item x="15"/>
        <item x="359"/>
        <item x="531"/>
        <item x="97"/>
        <item x="513"/>
        <item x="444"/>
        <item x="196"/>
        <item x="528"/>
        <item x="275"/>
        <item x="59"/>
        <item x="357"/>
        <item x="256"/>
        <item x="252"/>
        <item x="209"/>
        <item x="168"/>
        <item x="323"/>
        <item x="428"/>
        <item x="14"/>
        <item x="342"/>
        <item x="478"/>
        <item x="69"/>
        <item x="33"/>
        <item x="79"/>
        <item x="143"/>
        <item x="417"/>
        <item x="205"/>
        <item x="353"/>
        <item x="210"/>
        <item x="83"/>
        <item x="113"/>
        <item x="310"/>
        <item x="501"/>
        <item x="286"/>
        <item x="529"/>
        <item x="81"/>
        <item x="46"/>
        <item x="452"/>
        <item x="346"/>
        <item x="177"/>
        <item x="406"/>
        <item x="55"/>
        <item x="477"/>
        <item x="70"/>
        <item x="106"/>
        <item x="194"/>
        <item x="128"/>
        <item x="465"/>
        <item x="195"/>
        <item x="67"/>
        <item x="222"/>
        <item x="197"/>
        <item x="166"/>
        <item x="87"/>
        <item x="227"/>
        <item x="284"/>
        <item x="453"/>
        <item x="28"/>
        <item x="266"/>
        <item x="307"/>
        <item x="514"/>
        <item x="12"/>
        <item x="282"/>
        <item x="485"/>
        <item x="170"/>
        <item x="292"/>
        <item x="137"/>
        <item x="499"/>
        <item x="107"/>
        <item x="527"/>
        <item x="467"/>
        <item x="366"/>
        <item x="426"/>
        <item x="295"/>
        <item x="308"/>
        <item x="437"/>
        <item x="414"/>
        <item x="244"/>
        <item x="161"/>
        <item x="505"/>
        <item x="138"/>
        <item x="456"/>
        <item x="393"/>
        <item x="300"/>
        <item x="291"/>
        <item x="424"/>
        <item x="504"/>
        <item x="468"/>
        <item x="18"/>
        <item x="302"/>
        <item x="283"/>
        <item x="461"/>
        <item x="242"/>
        <item x="211"/>
        <item x="98"/>
        <item x="111"/>
        <item x="44"/>
        <item x="255"/>
        <item x="4"/>
        <item x="457"/>
        <item x="518"/>
        <item x="43"/>
        <item x="480"/>
        <item x="374"/>
        <item x="178"/>
        <item x="479"/>
        <item x="104"/>
        <item x="287"/>
        <item x="425"/>
        <item x="0"/>
        <item x="203"/>
        <item x="337"/>
        <item x="49"/>
        <item x="524"/>
        <item x="246"/>
        <item x="345"/>
        <item x="23"/>
        <item x="188"/>
        <item x="30"/>
        <item x="420"/>
        <item x="78"/>
        <item x="362"/>
        <item x="116"/>
        <item x="293"/>
        <item x="408"/>
        <item x="243"/>
        <item x="471"/>
        <item x="269"/>
        <item x="16"/>
        <item x="516"/>
        <item x="206"/>
        <item x="65"/>
        <item x="108"/>
        <item x="66"/>
        <item x="257"/>
        <item x="57"/>
        <item x="130"/>
        <item x="224"/>
        <item x="435"/>
        <item x="392"/>
        <item x="472"/>
        <item x="93"/>
        <item x="84"/>
        <item x="412"/>
        <item x="525"/>
        <item x="176"/>
        <item x="488"/>
        <item x="464"/>
        <item x="306"/>
        <item x="386"/>
        <item x="58"/>
        <item x="233"/>
        <item x="388"/>
        <item x="190"/>
        <item x="383"/>
        <item x="285"/>
        <item x="200"/>
        <item x="294"/>
        <item x="314"/>
        <item x="54"/>
        <item x="318"/>
        <item x="260"/>
        <item x="185"/>
        <item x="491"/>
        <item x="432"/>
        <item x="13"/>
        <item x="325"/>
        <item x="121"/>
        <item x="407"/>
        <item x="466"/>
        <item x="82"/>
        <item x="503"/>
        <item x="271"/>
        <item x="371"/>
        <item x="530"/>
        <item x="493"/>
        <item x="333"/>
        <item x="34"/>
        <item x="523"/>
        <item x="241"/>
        <item x="459"/>
        <item x="281"/>
        <item x="96"/>
        <item x="508"/>
        <item x="403"/>
        <item x="418"/>
        <item x="112"/>
        <item x="202"/>
        <item x="117"/>
        <item x="247"/>
        <item x="91"/>
        <item x="404"/>
        <item x="500"/>
        <item x="384"/>
        <item x="335"/>
        <item x="274"/>
        <item x="183"/>
        <item x="448"/>
        <item x="29"/>
        <item x="101"/>
        <item x="336"/>
        <item x="297"/>
        <item x="77"/>
        <item x="262"/>
        <item x="331"/>
        <item x="515"/>
        <item x="61"/>
        <item x="341"/>
        <item x="152"/>
        <item x="455"/>
        <item x="317"/>
        <item x="187"/>
        <item x="360"/>
        <item x="175"/>
        <item x="147"/>
        <item x="72"/>
        <item x="521"/>
        <item x="198"/>
        <item x="327"/>
        <item x="431"/>
        <item x="126"/>
        <item x="363"/>
        <item x="365"/>
        <item x="483"/>
        <item x="248"/>
        <item x="433"/>
        <item x="321"/>
        <item x="328"/>
        <item x="498"/>
        <item x="400"/>
        <item x="394"/>
        <item x="490"/>
        <item x="390"/>
        <item x="204"/>
        <item x="45"/>
        <item x="99"/>
        <item x="22"/>
        <item x="114"/>
        <item x="389"/>
        <item x="350"/>
        <item x="157"/>
        <item x="26"/>
        <item x="264"/>
        <item x="144"/>
        <item x="63"/>
        <item x="380"/>
        <item x="86"/>
        <item x="458"/>
        <item x="11"/>
        <item x="322"/>
        <item x="25"/>
        <item x="519"/>
        <item x="231"/>
        <item x="509"/>
        <item x="139"/>
        <item x="127"/>
        <item x="313"/>
        <item x="474"/>
        <item x="189"/>
        <item x="487"/>
        <item x="329"/>
        <item x="235"/>
        <item x="494"/>
        <item x="2"/>
        <item x="142"/>
        <item x="163"/>
        <item x="443"/>
        <item x="74"/>
        <item x="8"/>
        <item x="42"/>
        <item x="370"/>
        <item x="21"/>
        <item x="136"/>
        <item x="463"/>
        <item x="52"/>
        <item x="484"/>
        <item x="517"/>
        <item x="156"/>
        <item x="382"/>
        <item x="47"/>
        <item x="36"/>
        <item x="445"/>
        <item x="148"/>
        <item x="423"/>
        <item x="234"/>
        <item x="334"/>
        <item x="272"/>
        <item x="343"/>
        <item x="427"/>
        <item x="62"/>
        <item x="358"/>
        <item x="174"/>
        <item x="526"/>
        <item x="153"/>
        <item x="506"/>
        <item x="348"/>
        <item x="179"/>
        <item x="76"/>
        <item x="129"/>
        <item x="169"/>
        <item x="64"/>
        <item x="154"/>
        <item x="340"/>
        <item x="311"/>
        <item x="115"/>
        <item x="449"/>
        <item x="369"/>
        <item x="434"/>
        <item x="150"/>
        <item x="7"/>
        <item x="132"/>
        <item x="398"/>
        <item x="442"/>
        <item x="145"/>
        <item x="454"/>
        <item x="305"/>
        <item x="3"/>
        <item x="141"/>
        <item x="10"/>
        <item x="421"/>
        <item x="135"/>
        <item x="218"/>
        <item x="379"/>
        <item x="411"/>
        <item x="279"/>
        <item x="31"/>
        <item x="239"/>
        <item x="201"/>
        <item x="213"/>
        <item x="496"/>
        <item x="105"/>
        <item x="303"/>
        <item x="502"/>
        <item x="430"/>
        <item x="446"/>
        <item x="9"/>
        <item x="289"/>
        <item x="159"/>
        <item x="296"/>
        <item x="124"/>
        <item x="532"/>
        <item x="507"/>
        <item x="460"/>
        <item x="324"/>
        <item x="89"/>
        <item x="510"/>
        <item x="238"/>
        <item t="default"/>
      </items>
    </pivotField>
    <pivotField showAll="0"/>
    <pivotField showAll="0">
      <items count="4">
        <item x="2"/>
        <item x="0"/>
        <item x="1"/>
        <item t="default"/>
      </items>
    </pivotField>
    <pivotField showAll="0"/>
    <pivotField showAll="0"/>
    <pivotField showAll="0"/>
    <pivotField axis="axisRow" showAll="0">
      <items count="5">
        <item x="1"/>
        <item x="0"/>
        <item x="3"/>
        <item x="2"/>
        <item t="default"/>
      </items>
    </pivotField>
    <pivotField showAll="0"/>
    <pivotField showAll="0"/>
    <pivotField showAll="0"/>
    <pivotField numFmtId="164" showAll="0"/>
    <pivotField showAll="0"/>
    <pivotField dataField="1" numFmtId="164" showAll="0"/>
    <pivotField showAll="0">
      <items count="5">
        <item x="0"/>
        <item x="2"/>
        <item x="3"/>
        <item x="1"/>
        <item t="default"/>
      </items>
    </pivotField>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5">
    <i>
      <x/>
    </i>
    <i>
      <x v="1"/>
    </i>
    <i>
      <x v="2"/>
    </i>
    <i>
      <x v="3"/>
    </i>
    <i t="grand">
      <x/>
    </i>
  </rowItems>
  <colItems count="1">
    <i/>
  </colItems>
  <dataFields count="1">
    <dataField name="Sum of Sales Revenue" fld="13"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E01684-DB0A-4EE3-A738-001BEF40CBA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I2" firstHeaderRow="1" firstDataRow="1" firstDataCol="0"/>
  <pivotFields count="21">
    <pivotField showAll="0"/>
    <pivotField numFmtId="14" showAll="0">
      <items count="535">
        <item x="441"/>
        <item x="330"/>
        <item x="254"/>
        <item x="462"/>
        <item x="102"/>
        <item x="207"/>
        <item x="368"/>
        <item x="378"/>
        <item x="312"/>
        <item x="265"/>
        <item x="38"/>
        <item x="94"/>
        <item x="469"/>
        <item x="32"/>
        <item x="155"/>
        <item x="278"/>
        <item x="495"/>
        <item x="396"/>
        <item x="511"/>
        <item x="85"/>
        <item x="351"/>
        <item x="134"/>
        <item x="304"/>
        <item x="253"/>
        <item x="440"/>
        <item x="60"/>
        <item x="37"/>
        <item x="415"/>
        <item x="405"/>
        <item x="326"/>
        <item x="140"/>
        <item x="356"/>
        <item x="125"/>
        <item x="173"/>
        <item x="298"/>
        <item x="120"/>
        <item x="481"/>
        <item x="316"/>
        <item x="259"/>
        <item x="182"/>
        <item x="338"/>
        <item x="492"/>
        <item x="512"/>
        <item x="451"/>
        <item x="395"/>
        <item x="267"/>
        <item x="354"/>
        <item x="399"/>
        <item x="276"/>
        <item x="192"/>
        <item x="20"/>
        <item x="1"/>
        <item x="191"/>
        <item x="151"/>
        <item x="53"/>
        <item x="186"/>
        <item x="486"/>
        <item x="56"/>
        <item x="261"/>
        <item x="158"/>
        <item x="122"/>
        <item x="88"/>
        <item x="450"/>
        <item x="221"/>
        <item x="123"/>
        <item x="219"/>
        <item x="270"/>
        <item x="40"/>
        <item x="475"/>
        <item x="131"/>
        <item x="41"/>
        <item x="381"/>
        <item x="387"/>
        <item x="103"/>
        <item x="497"/>
        <item x="436"/>
        <item x="164"/>
        <item x="6"/>
        <item x="347"/>
        <item x="212"/>
        <item x="290"/>
        <item x="429"/>
        <item x="355"/>
        <item x="320"/>
        <item x="319"/>
        <item x="199"/>
        <item x="232"/>
        <item x="376"/>
        <item x="208"/>
        <item x="315"/>
        <item x="476"/>
        <item x="332"/>
        <item x="438"/>
        <item x="419"/>
        <item x="17"/>
        <item x="299"/>
        <item x="167"/>
        <item x="100"/>
        <item x="375"/>
        <item x="110"/>
        <item x="90"/>
        <item x="237"/>
        <item x="48"/>
        <item x="263"/>
        <item x="193"/>
        <item x="118"/>
        <item x="385"/>
        <item x="24"/>
        <item x="352"/>
        <item x="447"/>
        <item x="225"/>
        <item x="473"/>
        <item x="119"/>
        <item x="401"/>
        <item x="216"/>
        <item x="422"/>
        <item x="214"/>
        <item x="349"/>
        <item x="339"/>
        <item x="50"/>
        <item x="410"/>
        <item x="109"/>
        <item x="229"/>
        <item x="301"/>
        <item x="71"/>
        <item x="5"/>
        <item x="92"/>
        <item x="489"/>
        <item x="230"/>
        <item x="162"/>
        <item x="273"/>
        <item x="51"/>
        <item x="439"/>
        <item x="73"/>
        <item x="377"/>
        <item x="288"/>
        <item x="226"/>
        <item x="416"/>
        <item x="402"/>
        <item x="409"/>
        <item x="146"/>
        <item x="280"/>
        <item x="522"/>
        <item x="397"/>
        <item x="344"/>
        <item x="249"/>
        <item x="240"/>
        <item x="180"/>
        <item x="520"/>
        <item x="35"/>
        <item x="68"/>
        <item x="39"/>
        <item x="133"/>
        <item x="217"/>
        <item x="251"/>
        <item x="184"/>
        <item x="236"/>
        <item x="95"/>
        <item x="250"/>
        <item x="245"/>
        <item x="27"/>
        <item x="470"/>
        <item x="361"/>
        <item x="482"/>
        <item x="373"/>
        <item x="372"/>
        <item x="19"/>
        <item x="533"/>
        <item x="277"/>
        <item x="75"/>
        <item x="268"/>
        <item x="149"/>
        <item x="172"/>
        <item x="413"/>
        <item x="171"/>
        <item x="220"/>
        <item x="364"/>
        <item x="228"/>
        <item x="165"/>
        <item x="391"/>
        <item x="215"/>
        <item x="258"/>
        <item x="160"/>
        <item x="181"/>
        <item x="309"/>
        <item x="223"/>
        <item x="367"/>
        <item x="80"/>
        <item x="15"/>
        <item x="359"/>
        <item x="531"/>
        <item x="97"/>
        <item x="513"/>
        <item x="444"/>
        <item x="196"/>
        <item x="528"/>
        <item x="275"/>
        <item x="59"/>
        <item x="357"/>
        <item x="256"/>
        <item x="252"/>
        <item x="209"/>
        <item x="168"/>
        <item x="323"/>
        <item x="428"/>
        <item x="14"/>
        <item x="342"/>
        <item x="478"/>
        <item x="69"/>
        <item x="33"/>
        <item x="79"/>
        <item x="143"/>
        <item x="417"/>
        <item x="205"/>
        <item x="353"/>
        <item x="210"/>
        <item x="83"/>
        <item x="113"/>
        <item x="310"/>
        <item x="501"/>
        <item x="286"/>
        <item x="529"/>
        <item x="81"/>
        <item x="46"/>
        <item x="452"/>
        <item x="346"/>
        <item x="177"/>
        <item x="406"/>
        <item x="55"/>
        <item x="477"/>
        <item x="70"/>
        <item x="106"/>
        <item x="194"/>
        <item x="128"/>
        <item x="465"/>
        <item x="195"/>
        <item x="67"/>
        <item x="222"/>
        <item x="197"/>
        <item x="166"/>
        <item x="87"/>
        <item x="227"/>
        <item x="284"/>
        <item x="453"/>
        <item x="28"/>
        <item x="266"/>
        <item x="307"/>
        <item x="514"/>
        <item x="12"/>
        <item x="282"/>
        <item x="485"/>
        <item x="170"/>
        <item x="292"/>
        <item x="137"/>
        <item x="499"/>
        <item x="107"/>
        <item x="527"/>
        <item x="467"/>
        <item x="366"/>
        <item x="426"/>
        <item x="295"/>
        <item x="308"/>
        <item x="437"/>
        <item x="414"/>
        <item x="244"/>
        <item x="161"/>
        <item x="505"/>
        <item x="138"/>
        <item x="456"/>
        <item x="393"/>
        <item x="300"/>
        <item x="291"/>
        <item x="424"/>
        <item x="504"/>
        <item x="468"/>
        <item x="18"/>
        <item x="302"/>
        <item x="283"/>
        <item x="461"/>
        <item x="242"/>
        <item x="211"/>
        <item x="98"/>
        <item x="111"/>
        <item x="44"/>
        <item x="255"/>
        <item x="4"/>
        <item x="457"/>
        <item x="518"/>
        <item x="43"/>
        <item x="480"/>
        <item x="374"/>
        <item x="178"/>
        <item x="479"/>
        <item x="104"/>
        <item x="287"/>
        <item x="425"/>
        <item x="0"/>
        <item x="203"/>
        <item x="337"/>
        <item x="49"/>
        <item x="524"/>
        <item x="246"/>
        <item x="345"/>
        <item x="23"/>
        <item x="188"/>
        <item x="30"/>
        <item x="420"/>
        <item x="78"/>
        <item x="362"/>
        <item x="116"/>
        <item x="293"/>
        <item x="408"/>
        <item x="243"/>
        <item x="471"/>
        <item x="269"/>
        <item x="16"/>
        <item x="516"/>
        <item x="206"/>
        <item x="65"/>
        <item x="108"/>
        <item x="66"/>
        <item x="257"/>
        <item x="57"/>
        <item x="130"/>
        <item x="224"/>
        <item x="435"/>
        <item x="392"/>
        <item x="472"/>
        <item x="93"/>
        <item x="84"/>
        <item x="412"/>
        <item x="525"/>
        <item x="176"/>
        <item x="488"/>
        <item x="464"/>
        <item x="306"/>
        <item x="386"/>
        <item x="58"/>
        <item x="233"/>
        <item x="388"/>
        <item x="190"/>
        <item x="383"/>
        <item x="285"/>
        <item x="200"/>
        <item x="294"/>
        <item x="314"/>
        <item x="54"/>
        <item x="318"/>
        <item x="260"/>
        <item x="185"/>
        <item x="491"/>
        <item x="432"/>
        <item x="13"/>
        <item x="325"/>
        <item x="121"/>
        <item x="407"/>
        <item x="466"/>
        <item x="82"/>
        <item x="503"/>
        <item x="271"/>
        <item x="371"/>
        <item x="530"/>
        <item x="493"/>
        <item x="333"/>
        <item x="34"/>
        <item x="523"/>
        <item x="241"/>
        <item x="459"/>
        <item x="281"/>
        <item x="96"/>
        <item x="508"/>
        <item x="403"/>
        <item x="418"/>
        <item x="112"/>
        <item x="202"/>
        <item x="117"/>
        <item x="247"/>
        <item x="91"/>
        <item x="404"/>
        <item x="500"/>
        <item x="384"/>
        <item x="335"/>
        <item x="274"/>
        <item x="183"/>
        <item x="448"/>
        <item x="29"/>
        <item x="101"/>
        <item x="336"/>
        <item x="297"/>
        <item x="77"/>
        <item x="262"/>
        <item x="331"/>
        <item x="515"/>
        <item x="61"/>
        <item x="341"/>
        <item x="152"/>
        <item x="455"/>
        <item x="317"/>
        <item x="187"/>
        <item x="360"/>
        <item x="175"/>
        <item x="147"/>
        <item x="72"/>
        <item x="521"/>
        <item x="198"/>
        <item x="327"/>
        <item x="431"/>
        <item x="126"/>
        <item x="363"/>
        <item x="365"/>
        <item x="483"/>
        <item x="248"/>
        <item x="433"/>
        <item x="321"/>
        <item x="328"/>
        <item x="498"/>
        <item x="400"/>
        <item x="394"/>
        <item x="490"/>
        <item x="390"/>
        <item x="204"/>
        <item x="45"/>
        <item x="99"/>
        <item x="22"/>
        <item x="114"/>
        <item x="389"/>
        <item x="350"/>
        <item x="157"/>
        <item x="26"/>
        <item x="264"/>
        <item x="144"/>
        <item x="63"/>
        <item x="380"/>
        <item x="86"/>
        <item x="458"/>
        <item x="11"/>
        <item x="322"/>
        <item x="25"/>
        <item x="519"/>
        <item x="231"/>
        <item x="509"/>
        <item x="139"/>
        <item x="127"/>
        <item x="313"/>
        <item x="474"/>
        <item x="189"/>
        <item x="487"/>
        <item x="329"/>
        <item x="235"/>
        <item x="494"/>
        <item x="2"/>
        <item x="142"/>
        <item x="163"/>
        <item x="443"/>
        <item x="74"/>
        <item x="8"/>
        <item x="42"/>
        <item x="370"/>
        <item x="21"/>
        <item x="136"/>
        <item x="463"/>
        <item x="52"/>
        <item x="484"/>
        <item x="517"/>
        <item x="156"/>
        <item x="382"/>
        <item x="47"/>
        <item x="36"/>
        <item x="445"/>
        <item x="148"/>
        <item x="423"/>
        <item x="234"/>
        <item x="334"/>
        <item x="272"/>
        <item x="343"/>
        <item x="427"/>
        <item x="62"/>
        <item x="358"/>
        <item x="174"/>
        <item x="526"/>
        <item x="153"/>
        <item x="506"/>
        <item x="348"/>
        <item x="179"/>
        <item x="76"/>
        <item x="129"/>
        <item x="169"/>
        <item x="64"/>
        <item x="154"/>
        <item x="340"/>
        <item x="311"/>
        <item x="115"/>
        <item x="449"/>
        <item x="369"/>
        <item x="434"/>
        <item x="150"/>
        <item x="7"/>
        <item x="132"/>
        <item x="398"/>
        <item x="442"/>
        <item x="145"/>
        <item x="454"/>
        <item x="305"/>
        <item x="3"/>
        <item x="141"/>
        <item x="10"/>
        <item x="421"/>
        <item x="135"/>
        <item x="218"/>
        <item x="379"/>
        <item x="411"/>
        <item x="279"/>
        <item x="31"/>
        <item x="239"/>
        <item x="201"/>
        <item x="213"/>
        <item x="496"/>
        <item x="105"/>
        <item x="303"/>
        <item x="502"/>
        <item x="430"/>
        <item x="446"/>
        <item x="9"/>
        <item x="289"/>
        <item x="159"/>
        <item x="296"/>
        <item x="124"/>
        <item x="532"/>
        <item x="507"/>
        <item x="460"/>
        <item x="324"/>
        <item x="89"/>
        <item x="510"/>
        <item x="238"/>
        <item t="default"/>
      </items>
    </pivotField>
    <pivotField showAll="0"/>
    <pivotField showAll="0">
      <items count="4">
        <item x="2"/>
        <item x="0"/>
        <item x="1"/>
        <item t="default"/>
      </items>
    </pivotField>
    <pivotField showAll="0"/>
    <pivotField showAll="0"/>
    <pivotField showAll="0"/>
    <pivotField showAll="0">
      <items count="5">
        <item x="1"/>
        <item x="0"/>
        <item x="3"/>
        <item x="2"/>
        <item t="default"/>
      </items>
    </pivotField>
    <pivotField showAll="0"/>
    <pivotField showAll="0"/>
    <pivotField showAll="0"/>
    <pivotField numFmtId="164" showAll="0"/>
    <pivotField showAll="0"/>
    <pivotField dataField="1" numFmtId="164" showAll="0"/>
    <pivotField showAll="0">
      <items count="5">
        <item x="0"/>
        <item x="2"/>
        <item x="3"/>
        <item x="1"/>
        <item t="default"/>
      </items>
    </pivotField>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Sales Revenue" fld="13"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07238B-B076-415E-8750-B084A4F7AEE0}"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H22:O28" firstHeaderRow="1" firstDataRow="2" firstDataCol="1"/>
  <pivotFields count="21">
    <pivotField showAll="0"/>
    <pivotField numFmtId="14" showAll="0">
      <items count="535">
        <item x="441"/>
        <item x="330"/>
        <item x="254"/>
        <item x="462"/>
        <item x="102"/>
        <item x="207"/>
        <item x="368"/>
        <item x="378"/>
        <item x="312"/>
        <item x="265"/>
        <item x="38"/>
        <item x="94"/>
        <item x="469"/>
        <item x="32"/>
        <item x="155"/>
        <item x="278"/>
        <item x="495"/>
        <item x="396"/>
        <item x="511"/>
        <item x="85"/>
        <item x="351"/>
        <item x="134"/>
        <item x="304"/>
        <item x="253"/>
        <item x="440"/>
        <item x="60"/>
        <item x="37"/>
        <item x="415"/>
        <item x="405"/>
        <item x="326"/>
        <item x="140"/>
        <item x="356"/>
        <item x="125"/>
        <item x="173"/>
        <item x="298"/>
        <item x="120"/>
        <item x="481"/>
        <item x="316"/>
        <item x="259"/>
        <item x="182"/>
        <item x="338"/>
        <item x="492"/>
        <item x="512"/>
        <item x="451"/>
        <item x="395"/>
        <item x="267"/>
        <item x="354"/>
        <item x="399"/>
        <item x="276"/>
        <item x="192"/>
        <item x="20"/>
        <item x="1"/>
        <item x="191"/>
        <item x="151"/>
        <item x="53"/>
        <item x="186"/>
        <item x="486"/>
        <item x="56"/>
        <item x="261"/>
        <item x="158"/>
        <item x="122"/>
        <item x="88"/>
        <item x="450"/>
        <item x="221"/>
        <item x="123"/>
        <item x="219"/>
        <item x="270"/>
        <item x="40"/>
        <item x="475"/>
        <item x="131"/>
        <item x="41"/>
        <item x="381"/>
        <item x="387"/>
        <item x="103"/>
        <item x="497"/>
        <item x="436"/>
        <item x="164"/>
        <item x="6"/>
        <item x="347"/>
        <item x="212"/>
        <item x="290"/>
        <item x="429"/>
        <item x="355"/>
        <item x="320"/>
        <item x="319"/>
        <item x="199"/>
        <item x="232"/>
        <item x="376"/>
        <item x="208"/>
        <item x="315"/>
        <item x="476"/>
        <item x="332"/>
        <item x="438"/>
        <item x="419"/>
        <item x="17"/>
        <item x="299"/>
        <item x="167"/>
        <item x="100"/>
        <item x="375"/>
        <item x="110"/>
        <item x="90"/>
        <item x="237"/>
        <item x="48"/>
        <item x="263"/>
        <item x="193"/>
        <item x="118"/>
        <item x="385"/>
        <item x="24"/>
        <item x="352"/>
        <item x="447"/>
        <item x="225"/>
        <item x="473"/>
        <item x="119"/>
        <item x="401"/>
        <item x="216"/>
        <item x="422"/>
        <item x="214"/>
        <item x="349"/>
        <item x="339"/>
        <item x="50"/>
        <item x="410"/>
        <item x="109"/>
        <item x="229"/>
        <item x="301"/>
        <item x="71"/>
        <item x="5"/>
        <item x="92"/>
        <item x="489"/>
        <item x="230"/>
        <item x="162"/>
        <item x="273"/>
        <item x="51"/>
        <item x="439"/>
        <item x="73"/>
        <item x="377"/>
        <item x="288"/>
        <item x="226"/>
        <item x="416"/>
        <item x="402"/>
        <item x="409"/>
        <item x="146"/>
        <item x="280"/>
        <item x="522"/>
        <item x="397"/>
        <item x="344"/>
        <item x="249"/>
        <item x="240"/>
        <item x="180"/>
        <item x="520"/>
        <item x="35"/>
        <item x="68"/>
        <item x="39"/>
        <item x="133"/>
        <item x="217"/>
        <item x="251"/>
        <item x="184"/>
        <item x="236"/>
        <item x="95"/>
        <item x="250"/>
        <item x="245"/>
        <item x="27"/>
        <item x="470"/>
        <item x="361"/>
        <item x="482"/>
        <item x="373"/>
        <item x="372"/>
        <item x="19"/>
        <item x="533"/>
        <item x="277"/>
        <item x="75"/>
        <item x="268"/>
        <item x="149"/>
        <item x="172"/>
        <item x="413"/>
        <item x="171"/>
        <item x="220"/>
        <item x="364"/>
        <item x="228"/>
        <item x="165"/>
        <item x="391"/>
        <item x="215"/>
        <item x="258"/>
        <item x="160"/>
        <item x="181"/>
        <item x="309"/>
        <item x="223"/>
        <item x="367"/>
        <item x="80"/>
        <item x="15"/>
        <item x="359"/>
        <item x="531"/>
        <item x="97"/>
        <item x="513"/>
        <item x="444"/>
        <item x="196"/>
        <item x="528"/>
        <item x="275"/>
        <item x="59"/>
        <item x="357"/>
        <item x="256"/>
        <item x="252"/>
        <item x="209"/>
        <item x="168"/>
        <item x="323"/>
        <item x="428"/>
        <item x="14"/>
        <item x="342"/>
        <item x="478"/>
        <item x="69"/>
        <item x="33"/>
        <item x="79"/>
        <item x="143"/>
        <item x="417"/>
        <item x="205"/>
        <item x="353"/>
        <item x="210"/>
        <item x="83"/>
        <item x="113"/>
        <item x="310"/>
        <item x="501"/>
        <item x="286"/>
        <item x="529"/>
        <item x="81"/>
        <item x="46"/>
        <item x="452"/>
        <item x="346"/>
        <item x="177"/>
        <item x="406"/>
        <item x="55"/>
        <item x="477"/>
        <item x="70"/>
        <item x="106"/>
        <item x="194"/>
        <item x="128"/>
        <item x="465"/>
        <item x="195"/>
        <item x="67"/>
        <item x="222"/>
        <item x="197"/>
        <item x="166"/>
        <item x="87"/>
        <item x="227"/>
        <item x="284"/>
        <item x="453"/>
        <item x="28"/>
        <item x="266"/>
        <item x="307"/>
        <item x="514"/>
        <item x="12"/>
        <item x="282"/>
        <item x="485"/>
        <item x="170"/>
        <item x="292"/>
        <item x="137"/>
        <item x="499"/>
        <item x="107"/>
        <item x="527"/>
        <item x="467"/>
        <item x="366"/>
        <item x="426"/>
        <item x="295"/>
        <item x="308"/>
        <item x="437"/>
        <item x="414"/>
        <item x="244"/>
        <item x="161"/>
        <item x="505"/>
        <item x="138"/>
        <item x="456"/>
        <item x="393"/>
        <item x="300"/>
        <item x="291"/>
        <item x="424"/>
        <item x="504"/>
        <item x="468"/>
        <item x="18"/>
        <item x="302"/>
        <item x="283"/>
        <item x="461"/>
        <item x="242"/>
        <item x="211"/>
        <item x="98"/>
        <item x="111"/>
        <item x="44"/>
        <item x="255"/>
        <item x="4"/>
        <item x="457"/>
        <item x="518"/>
        <item x="43"/>
        <item x="480"/>
        <item x="374"/>
        <item x="178"/>
        <item x="479"/>
        <item x="104"/>
        <item x="287"/>
        <item x="425"/>
        <item x="0"/>
        <item x="203"/>
        <item x="337"/>
        <item x="49"/>
        <item x="524"/>
        <item x="246"/>
        <item x="345"/>
        <item x="23"/>
        <item x="188"/>
        <item x="30"/>
        <item x="420"/>
        <item x="78"/>
        <item x="362"/>
        <item x="116"/>
        <item x="293"/>
        <item x="408"/>
        <item x="243"/>
        <item x="471"/>
        <item x="269"/>
        <item x="16"/>
        <item x="516"/>
        <item x="206"/>
        <item x="65"/>
        <item x="108"/>
        <item x="66"/>
        <item x="257"/>
        <item x="57"/>
        <item x="130"/>
        <item x="224"/>
        <item x="435"/>
        <item x="392"/>
        <item x="472"/>
        <item x="93"/>
        <item x="84"/>
        <item x="412"/>
        <item x="525"/>
        <item x="176"/>
        <item x="488"/>
        <item x="464"/>
        <item x="306"/>
        <item x="386"/>
        <item x="58"/>
        <item x="233"/>
        <item x="388"/>
        <item x="190"/>
        <item x="383"/>
        <item x="285"/>
        <item x="200"/>
        <item x="294"/>
        <item x="314"/>
        <item x="54"/>
        <item x="318"/>
        <item x="260"/>
        <item x="185"/>
        <item x="491"/>
        <item x="432"/>
        <item x="13"/>
        <item x="325"/>
        <item x="121"/>
        <item x="407"/>
        <item x="466"/>
        <item x="82"/>
        <item x="503"/>
        <item x="271"/>
        <item x="371"/>
        <item x="530"/>
        <item x="493"/>
        <item x="333"/>
        <item x="34"/>
        <item x="523"/>
        <item x="241"/>
        <item x="459"/>
        <item x="281"/>
        <item x="96"/>
        <item x="508"/>
        <item x="403"/>
        <item x="418"/>
        <item x="112"/>
        <item x="202"/>
        <item x="117"/>
        <item x="247"/>
        <item x="91"/>
        <item x="404"/>
        <item x="500"/>
        <item x="384"/>
        <item x="335"/>
        <item x="274"/>
        <item x="183"/>
        <item x="448"/>
        <item x="29"/>
        <item x="101"/>
        <item x="336"/>
        <item x="297"/>
        <item x="77"/>
        <item x="262"/>
        <item x="331"/>
        <item x="515"/>
        <item x="61"/>
        <item x="341"/>
        <item x="152"/>
        <item x="455"/>
        <item x="317"/>
        <item x="187"/>
        <item x="360"/>
        <item x="175"/>
        <item x="147"/>
        <item x="72"/>
        <item x="521"/>
        <item x="198"/>
        <item x="327"/>
        <item x="431"/>
        <item x="126"/>
        <item x="363"/>
        <item x="365"/>
        <item x="483"/>
        <item x="248"/>
        <item x="433"/>
        <item x="321"/>
        <item x="328"/>
        <item x="498"/>
        <item x="400"/>
        <item x="394"/>
        <item x="490"/>
        <item x="390"/>
        <item x="204"/>
        <item x="45"/>
        <item x="99"/>
        <item x="22"/>
        <item x="114"/>
        <item x="389"/>
        <item x="350"/>
        <item x="157"/>
        <item x="26"/>
        <item x="264"/>
        <item x="144"/>
        <item x="63"/>
        <item x="380"/>
        <item x="86"/>
        <item x="458"/>
        <item x="11"/>
        <item x="322"/>
        <item x="25"/>
        <item x="519"/>
        <item x="231"/>
        <item x="509"/>
        <item x="139"/>
        <item x="127"/>
        <item x="313"/>
        <item x="474"/>
        <item x="189"/>
        <item x="487"/>
        <item x="329"/>
        <item x="235"/>
        <item x="494"/>
        <item x="2"/>
        <item x="142"/>
        <item x="163"/>
        <item x="443"/>
        <item x="74"/>
        <item x="8"/>
        <item x="42"/>
        <item x="370"/>
        <item x="21"/>
        <item x="136"/>
        <item x="463"/>
        <item x="52"/>
        <item x="484"/>
        <item x="517"/>
        <item x="156"/>
        <item x="382"/>
        <item x="47"/>
        <item x="36"/>
        <item x="445"/>
        <item x="148"/>
        <item x="423"/>
        <item x="234"/>
        <item x="334"/>
        <item x="272"/>
        <item x="343"/>
        <item x="427"/>
        <item x="62"/>
        <item x="358"/>
        <item x="174"/>
        <item x="526"/>
        <item x="153"/>
        <item x="506"/>
        <item x="348"/>
        <item x="179"/>
        <item x="76"/>
        <item x="129"/>
        <item x="169"/>
        <item x="64"/>
        <item x="154"/>
        <item x="340"/>
        <item x="311"/>
        <item x="115"/>
        <item x="449"/>
        <item x="369"/>
        <item x="434"/>
        <item x="150"/>
        <item x="7"/>
        <item x="132"/>
        <item x="398"/>
        <item x="442"/>
        <item x="145"/>
        <item x="454"/>
        <item x="305"/>
        <item x="3"/>
        <item x="141"/>
        <item x="10"/>
        <item x="421"/>
        <item x="135"/>
        <item x="218"/>
        <item x="379"/>
        <item x="411"/>
        <item x="279"/>
        <item x="31"/>
        <item x="239"/>
        <item x="201"/>
        <item x="213"/>
        <item x="496"/>
        <item x="105"/>
        <item x="303"/>
        <item x="502"/>
        <item x="430"/>
        <item x="446"/>
        <item x="9"/>
        <item x="289"/>
        <item x="159"/>
        <item x="296"/>
        <item x="124"/>
        <item x="532"/>
        <item x="507"/>
        <item x="460"/>
        <item x="324"/>
        <item x="89"/>
        <item x="510"/>
        <item x="238"/>
        <item t="default"/>
      </items>
    </pivotField>
    <pivotField showAll="0"/>
    <pivotField showAll="0">
      <items count="4">
        <item x="2"/>
        <item x="0"/>
        <item x="1"/>
        <item t="default"/>
      </items>
    </pivotField>
    <pivotField showAll="0"/>
    <pivotField showAll="0"/>
    <pivotField showAll="0"/>
    <pivotField axis="axisRow" showAll="0">
      <items count="5">
        <item x="1"/>
        <item x="0"/>
        <item x="3"/>
        <item x="2"/>
        <item t="default"/>
      </items>
    </pivotField>
    <pivotField showAll="0"/>
    <pivotField showAll="0"/>
    <pivotField showAll="0"/>
    <pivotField numFmtId="164" showAll="0"/>
    <pivotField showAll="0"/>
    <pivotField numFmtId="164" showAll="0"/>
    <pivotField showAll="0">
      <items count="5">
        <item x="0"/>
        <item x="2"/>
        <item x="3"/>
        <item x="1"/>
        <item t="default"/>
      </items>
    </pivotField>
    <pivotField axis="axisCol" dataField="1" showAll="0">
      <items count="7">
        <item x="2"/>
        <item x="4"/>
        <item x="3"/>
        <item x="5"/>
        <item x="1"/>
        <item x="0"/>
        <item t="default"/>
      </items>
    </pivotField>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15"/>
  </colFields>
  <colItems count="7">
    <i>
      <x/>
    </i>
    <i>
      <x v="1"/>
    </i>
    <i>
      <x v="2"/>
    </i>
    <i>
      <x v="3"/>
    </i>
    <i>
      <x v="4"/>
    </i>
    <i>
      <x v="5"/>
    </i>
    <i t="grand">
      <x/>
    </i>
  </colItems>
  <dataFields count="1">
    <dataField name="Sum of Customer Rating" fld="15" baseField="0" baseItem="0"/>
  </dataFields>
  <chartFormats count="6">
    <chartFormat chart="4" format="12" series="1">
      <pivotArea type="data" outline="0" fieldPosition="0">
        <references count="2">
          <reference field="4294967294" count="1" selected="0">
            <x v="0"/>
          </reference>
          <reference field="15" count="1" selected="0">
            <x v="0"/>
          </reference>
        </references>
      </pivotArea>
    </chartFormat>
    <chartFormat chart="4" format="13" series="1">
      <pivotArea type="data" outline="0" fieldPosition="0">
        <references count="2">
          <reference field="4294967294" count="1" selected="0">
            <x v="0"/>
          </reference>
          <reference field="15" count="1" selected="0">
            <x v="1"/>
          </reference>
        </references>
      </pivotArea>
    </chartFormat>
    <chartFormat chart="4" format="14" series="1">
      <pivotArea type="data" outline="0" fieldPosition="0">
        <references count="2">
          <reference field="4294967294" count="1" selected="0">
            <x v="0"/>
          </reference>
          <reference field="15" count="1" selected="0">
            <x v="2"/>
          </reference>
        </references>
      </pivotArea>
    </chartFormat>
    <chartFormat chart="4" format="15" series="1">
      <pivotArea type="data" outline="0" fieldPosition="0">
        <references count="2">
          <reference field="4294967294" count="1" selected="0">
            <x v="0"/>
          </reference>
          <reference field="15" count="1" selected="0">
            <x v="3"/>
          </reference>
        </references>
      </pivotArea>
    </chartFormat>
    <chartFormat chart="4" format="16" series="1">
      <pivotArea type="data" outline="0" fieldPosition="0">
        <references count="2">
          <reference field="4294967294" count="1" selected="0">
            <x v="0"/>
          </reference>
          <reference field="15" count="1" selected="0">
            <x v="4"/>
          </reference>
        </references>
      </pivotArea>
    </chartFormat>
    <chartFormat chart="4" format="17" series="1">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D7CD4D-D8EE-4CA4-9D16-C3BD13CB1600}"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22:F30" firstHeaderRow="1" firstDataRow="2" firstDataCol="1"/>
  <pivotFields count="21">
    <pivotField showAll="0"/>
    <pivotField numFmtId="14" showAll="0">
      <items count="535">
        <item x="441"/>
        <item x="330"/>
        <item x="254"/>
        <item x="462"/>
        <item x="102"/>
        <item x="207"/>
        <item x="368"/>
        <item x="378"/>
        <item x="312"/>
        <item x="265"/>
        <item x="38"/>
        <item x="94"/>
        <item x="469"/>
        <item x="32"/>
        <item x="155"/>
        <item x="278"/>
        <item x="495"/>
        <item x="396"/>
        <item x="511"/>
        <item x="85"/>
        <item x="351"/>
        <item x="134"/>
        <item x="304"/>
        <item x="253"/>
        <item x="440"/>
        <item x="60"/>
        <item x="37"/>
        <item x="415"/>
        <item x="405"/>
        <item x="326"/>
        <item x="140"/>
        <item x="356"/>
        <item x="125"/>
        <item x="173"/>
        <item x="298"/>
        <item x="120"/>
        <item x="481"/>
        <item x="316"/>
        <item x="259"/>
        <item x="182"/>
        <item x="338"/>
        <item x="492"/>
        <item x="512"/>
        <item x="451"/>
        <item x="395"/>
        <item x="267"/>
        <item x="354"/>
        <item x="399"/>
        <item x="276"/>
        <item x="192"/>
        <item x="20"/>
        <item x="1"/>
        <item x="191"/>
        <item x="151"/>
        <item x="53"/>
        <item x="186"/>
        <item x="486"/>
        <item x="56"/>
        <item x="261"/>
        <item x="158"/>
        <item x="122"/>
        <item x="88"/>
        <item x="450"/>
        <item x="221"/>
        <item x="123"/>
        <item x="219"/>
        <item x="270"/>
        <item x="40"/>
        <item x="475"/>
        <item x="131"/>
        <item x="41"/>
        <item x="381"/>
        <item x="387"/>
        <item x="103"/>
        <item x="497"/>
        <item x="436"/>
        <item x="164"/>
        <item x="6"/>
        <item x="347"/>
        <item x="212"/>
        <item x="290"/>
        <item x="429"/>
        <item x="355"/>
        <item x="320"/>
        <item x="319"/>
        <item x="199"/>
        <item x="232"/>
        <item x="376"/>
        <item x="208"/>
        <item x="315"/>
        <item x="476"/>
        <item x="332"/>
        <item x="438"/>
        <item x="419"/>
        <item x="17"/>
        <item x="299"/>
        <item x="167"/>
        <item x="100"/>
        <item x="375"/>
        <item x="110"/>
        <item x="90"/>
        <item x="237"/>
        <item x="48"/>
        <item x="263"/>
        <item x="193"/>
        <item x="118"/>
        <item x="385"/>
        <item x="24"/>
        <item x="352"/>
        <item x="447"/>
        <item x="225"/>
        <item x="473"/>
        <item x="119"/>
        <item x="401"/>
        <item x="216"/>
        <item x="422"/>
        <item x="214"/>
        <item x="349"/>
        <item x="339"/>
        <item x="50"/>
        <item x="410"/>
        <item x="109"/>
        <item x="229"/>
        <item x="301"/>
        <item x="71"/>
        <item x="5"/>
        <item x="92"/>
        <item x="489"/>
        <item x="230"/>
        <item x="162"/>
        <item x="273"/>
        <item x="51"/>
        <item x="439"/>
        <item x="73"/>
        <item x="377"/>
        <item x="288"/>
        <item x="226"/>
        <item x="416"/>
        <item x="402"/>
        <item x="409"/>
        <item x="146"/>
        <item x="280"/>
        <item x="522"/>
        <item x="397"/>
        <item x="344"/>
        <item x="249"/>
        <item x="240"/>
        <item x="180"/>
        <item x="520"/>
        <item x="35"/>
        <item x="68"/>
        <item x="39"/>
        <item x="133"/>
        <item x="217"/>
        <item x="251"/>
        <item x="184"/>
        <item x="236"/>
        <item x="95"/>
        <item x="250"/>
        <item x="245"/>
        <item x="27"/>
        <item x="470"/>
        <item x="361"/>
        <item x="482"/>
        <item x="373"/>
        <item x="372"/>
        <item x="19"/>
        <item x="533"/>
        <item x="277"/>
        <item x="75"/>
        <item x="268"/>
        <item x="149"/>
        <item x="172"/>
        <item x="413"/>
        <item x="171"/>
        <item x="220"/>
        <item x="364"/>
        <item x="228"/>
        <item x="165"/>
        <item x="391"/>
        <item x="215"/>
        <item x="258"/>
        <item x="160"/>
        <item x="181"/>
        <item x="309"/>
        <item x="223"/>
        <item x="367"/>
        <item x="80"/>
        <item x="15"/>
        <item x="359"/>
        <item x="531"/>
        <item x="97"/>
        <item x="513"/>
        <item x="444"/>
        <item x="196"/>
        <item x="528"/>
        <item x="275"/>
        <item x="59"/>
        <item x="357"/>
        <item x="256"/>
        <item x="252"/>
        <item x="209"/>
        <item x="168"/>
        <item x="323"/>
        <item x="428"/>
        <item x="14"/>
        <item x="342"/>
        <item x="478"/>
        <item x="69"/>
        <item x="33"/>
        <item x="79"/>
        <item x="143"/>
        <item x="417"/>
        <item x="205"/>
        <item x="353"/>
        <item x="210"/>
        <item x="83"/>
        <item x="113"/>
        <item x="310"/>
        <item x="501"/>
        <item x="286"/>
        <item x="529"/>
        <item x="81"/>
        <item x="46"/>
        <item x="452"/>
        <item x="346"/>
        <item x="177"/>
        <item x="406"/>
        <item x="55"/>
        <item x="477"/>
        <item x="70"/>
        <item x="106"/>
        <item x="194"/>
        <item x="128"/>
        <item x="465"/>
        <item x="195"/>
        <item x="67"/>
        <item x="222"/>
        <item x="197"/>
        <item x="166"/>
        <item x="87"/>
        <item x="227"/>
        <item x="284"/>
        <item x="453"/>
        <item x="28"/>
        <item x="266"/>
        <item x="307"/>
        <item x="514"/>
        <item x="12"/>
        <item x="282"/>
        <item x="485"/>
        <item x="170"/>
        <item x="292"/>
        <item x="137"/>
        <item x="499"/>
        <item x="107"/>
        <item x="527"/>
        <item x="467"/>
        <item x="366"/>
        <item x="426"/>
        <item x="295"/>
        <item x="308"/>
        <item x="437"/>
        <item x="414"/>
        <item x="244"/>
        <item x="161"/>
        <item x="505"/>
        <item x="138"/>
        <item x="456"/>
        <item x="393"/>
        <item x="300"/>
        <item x="291"/>
        <item x="424"/>
        <item x="504"/>
        <item x="468"/>
        <item x="18"/>
        <item x="302"/>
        <item x="283"/>
        <item x="461"/>
        <item x="242"/>
        <item x="211"/>
        <item x="98"/>
        <item x="111"/>
        <item x="44"/>
        <item x="255"/>
        <item x="4"/>
        <item x="457"/>
        <item x="518"/>
        <item x="43"/>
        <item x="480"/>
        <item x="374"/>
        <item x="178"/>
        <item x="479"/>
        <item x="104"/>
        <item x="287"/>
        <item x="425"/>
        <item x="0"/>
        <item x="203"/>
        <item x="337"/>
        <item x="49"/>
        <item x="524"/>
        <item x="246"/>
        <item x="345"/>
        <item x="23"/>
        <item x="188"/>
        <item x="30"/>
        <item x="420"/>
        <item x="78"/>
        <item x="362"/>
        <item x="116"/>
        <item x="293"/>
        <item x="408"/>
        <item x="243"/>
        <item x="471"/>
        <item x="269"/>
        <item x="16"/>
        <item x="516"/>
        <item x="206"/>
        <item x="65"/>
        <item x="108"/>
        <item x="66"/>
        <item x="257"/>
        <item x="57"/>
        <item x="130"/>
        <item x="224"/>
        <item x="435"/>
        <item x="392"/>
        <item x="472"/>
        <item x="93"/>
        <item x="84"/>
        <item x="412"/>
        <item x="525"/>
        <item x="176"/>
        <item x="488"/>
        <item x="464"/>
        <item x="306"/>
        <item x="386"/>
        <item x="58"/>
        <item x="233"/>
        <item x="388"/>
        <item x="190"/>
        <item x="383"/>
        <item x="285"/>
        <item x="200"/>
        <item x="294"/>
        <item x="314"/>
        <item x="54"/>
        <item x="318"/>
        <item x="260"/>
        <item x="185"/>
        <item x="491"/>
        <item x="432"/>
        <item x="13"/>
        <item x="325"/>
        <item x="121"/>
        <item x="407"/>
        <item x="466"/>
        <item x="82"/>
        <item x="503"/>
        <item x="271"/>
        <item x="371"/>
        <item x="530"/>
        <item x="493"/>
        <item x="333"/>
        <item x="34"/>
        <item x="523"/>
        <item x="241"/>
        <item x="459"/>
        <item x="281"/>
        <item x="96"/>
        <item x="508"/>
        <item x="403"/>
        <item x="418"/>
        <item x="112"/>
        <item x="202"/>
        <item x="117"/>
        <item x="247"/>
        <item x="91"/>
        <item x="404"/>
        <item x="500"/>
        <item x="384"/>
        <item x="335"/>
        <item x="274"/>
        <item x="183"/>
        <item x="448"/>
        <item x="29"/>
        <item x="101"/>
        <item x="336"/>
        <item x="297"/>
        <item x="77"/>
        <item x="262"/>
        <item x="331"/>
        <item x="515"/>
        <item x="61"/>
        <item x="341"/>
        <item x="152"/>
        <item x="455"/>
        <item x="317"/>
        <item x="187"/>
        <item x="360"/>
        <item x="175"/>
        <item x="147"/>
        <item x="72"/>
        <item x="521"/>
        <item x="198"/>
        <item x="327"/>
        <item x="431"/>
        <item x="126"/>
        <item x="363"/>
        <item x="365"/>
        <item x="483"/>
        <item x="248"/>
        <item x="433"/>
        <item x="321"/>
        <item x="328"/>
        <item x="498"/>
        <item x="400"/>
        <item x="394"/>
        <item x="490"/>
        <item x="390"/>
        <item x="204"/>
        <item x="45"/>
        <item x="99"/>
        <item x="22"/>
        <item x="114"/>
        <item x="389"/>
        <item x="350"/>
        <item x="157"/>
        <item x="26"/>
        <item x="264"/>
        <item x="144"/>
        <item x="63"/>
        <item x="380"/>
        <item x="86"/>
        <item x="458"/>
        <item x="11"/>
        <item x="322"/>
        <item x="25"/>
        <item x="519"/>
        <item x="231"/>
        <item x="509"/>
        <item x="139"/>
        <item x="127"/>
        <item x="313"/>
        <item x="474"/>
        <item x="189"/>
        <item x="487"/>
        <item x="329"/>
        <item x="235"/>
        <item x="494"/>
        <item x="2"/>
        <item x="142"/>
        <item x="163"/>
        <item x="443"/>
        <item x="74"/>
        <item x="8"/>
        <item x="42"/>
        <item x="370"/>
        <item x="21"/>
        <item x="136"/>
        <item x="463"/>
        <item x="52"/>
        <item x="484"/>
        <item x="517"/>
        <item x="156"/>
        <item x="382"/>
        <item x="47"/>
        <item x="36"/>
        <item x="445"/>
        <item x="148"/>
        <item x="423"/>
        <item x="234"/>
        <item x="334"/>
        <item x="272"/>
        <item x="343"/>
        <item x="427"/>
        <item x="62"/>
        <item x="358"/>
        <item x="174"/>
        <item x="526"/>
        <item x="153"/>
        <item x="506"/>
        <item x="348"/>
        <item x="179"/>
        <item x="76"/>
        <item x="129"/>
        <item x="169"/>
        <item x="64"/>
        <item x="154"/>
        <item x="340"/>
        <item x="311"/>
        <item x="115"/>
        <item x="449"/>
        <item x="369"/>
        <item x="434"/>
        <item x="150"/>
        <item x="7"/>
        <item x="132"/>
        <item x="398"/>
        <item x="442"/>
        <item x="145"/>
        <item x="454"/>
        <item x="305"/>
        <item x="3"/>
        <item x="141"/>
        <item x="10"/>
        <item x="421"/>
        <item x="135"/>
        <item x="218"/>
        <item x="379"/>
        <item x="411"/>
        <item x="279"/>
        <item x="31"/>
        <item x="239"/>
        <item x="201"/>
        <item x="213"/>
        <item x="496"/>
        <item x="105"/>
        <item x="303"/>
        <item x="502"/>
        <item x="430"/>
        <item x="446"/>
        <item x="9"/>
        <item x="289"/>
        <item x="159"/>
        <item x="296"/>
        <item x="124"/>
        <item x="532"/>
        <item x="507"/>
        <item x="460"/>
        <item x="324"/>
        <item x="89"/>
        <item x="510"/>
        <item x="238"/>
        <item t="default"/>
      </items>
    </pivotField>
    <pivotField showAll="0"/>
    <pivotField showAll="0">
      <items count="4">
        <item x="2"/>
        <item x="0"/>
        <item x="1"/>
        <item t="default"/>
      </items>
    </pivotField>
    <pivotField showAll="0"/>
    <pivotField axis="axisRow" showAll="0">
      <items count="7">
        <item x="2"/>
        <item x="0"/>
        <item x="3"/>
        <item x="1"/>
        <item x="4"/>
        <item x="5"/>
        <item t="default"/>
      </items>
    </pivotField>
    <pivotField showAll="0"/>
    <pivotField showAll="0">
      <items count="5">
        <item x="1"/>
        <item x="0"/>
        <item x="3"/>
        <item x="2"/>
        <item t="default"/>
      </items>
    </pivotField>
    <pivotField showAll="0"/>
    <pivotField showAll="0"/>
    <pivotField dataField="1" showAll="0"/>
    <pivotField numFmtId="164" showAll="0"/>
    <pivotField showAll="0"/>
    <pivotField numFmtId="164" showAll="0"/>
    <pivotField showAll="0">
      <items count="5">
        <item x="0"/>
        <item x="2"/>
        <item x="3"/>
        <item x="1"/>
        <item t="default"/>
      </items>
    </pivotField>
    <pivotField showAll="0"/>
    <pivotField axis="axisCol" showAll="0">
      <items count="5">
        <item x="3"/>
        <item x="1"/>
        <item x="0"/>
        <item x="2"/>
        <item t="default"/>
      </items>
    </pivotField>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7">
    <i>
      <x/>
    </i>
    <i>
      <x v="1"/>
    </i>
    <i>
      <x v="2"/>
    </i>
    <i>
      <x v="3"/>
    </i>
    <i>
      <x v="4"/>
    </i>
    <i>
      <x v="5"/>
    </i>
    <i t="grand">
      <x/>
    </i>
  </rowItems>
  <colFields count="1">
    <field x="16"/>
  </colFields>
  <colItems count="5">
    <i>
      <x/>
    </i>
    <i>
      <x v="1"/>
    </i>
    <i>
      <x v="2"/>
    </i>
    <i>
      <x v="3"/>
    </i>
    <i t="grand">
      <x/>
    </i>
  </colItems>
  <dataFields count="1">
    <dataField name="Sum of Quantity" fld="10" baseField="0" baseItem="0"/>
  </dataFields>
  <chartFormats count="4">
    <chartFormat chart="5" format="12" series="1">
      <pivotArea type="data" outline="0" fieldPosition="0">
        <references count="2">
          <reference field="4294967294" count="1" selected="0">
            <x v="0"/>
          </reference>
          <reference field="16" count="1" selected="0">
            <x v="0"/>
          </reference>
        </references>
      </pivotArea>
    </chartFormat>
    <chartFormat chart="5" format="13" series="1">
      <pivotArea type="data" outline="0" fieldPosition="0">
        <references count="2">
          <reference field="4294967294" count="1" selected="0">
            <x v="0"/>
          </reference>
          <reference field="16" count="1" selected="0">
            <x v="1"/>
          </reference>
        </references>
      </pivotArea>
    </chartFormat>
    <chartFormat chart="5" format="14" series="1">
      <pivotArea type="data" outline="0" fieldPosition="0">
        <references count="2">
          <reference field="4294967294" count="1" selected="0">
            <x v="0"/>
          </reference>
          <reference field="16" count="1" selected="0">
            <x v="2"/>
          </reference>
        </references>
      </pivotArea>
    </chartFormat>
    <chartFormat chart="5" format="15"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48D40C-8643-43FE-9B0C-DAF07AA33EC1}"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1:E2" firstHeaderRow="1" firstDataRow="1" firstDataCol="0"/>
  <pivotFields count="21">
    <pivotField showAll="0"/>
    <pivotField numFmtId="14" showAll="0">
      <items count="535">
        <item x="441"/>
        <item x="330"/>
        <item x="254"/>
        <item x="462"/>
        <item x="102"/>
        <item x="207"/>
        <item x="368"/>
        <item x="378"/>
        <item x="312"/>
        <item x="265"/>
        <item x="38"/>
        <item x="94"/>
        <item x="469"/>
        <item x="32"/>
        <item x="155"/>
        <item x="278"/>
        <item x="495"/>
        <item x="396"/>
        <item x="511"/>
        <item x="85"/>
        <item x="351"/>
        <item x="134"/>
        <item x="304"/>
        <item x="253"/>
        <item x="440"/>
        <item x="60"/>
        <item x="37"/>
        <item x="415"/>
        <item x="405"/>
        <item x="326"/>
        <item x="140"/>
        <item x="356"/>
        <item x="125"/>
        <item x="173"/>
        <item x="298"/>
        <item x="120"/>
        <item x="481"/>
        <item x="316"/>
        <item x="259"/>
        <item x="182"/>
        <item x="338"/>
        <item x="492"/>
        <item x="512"/>
        <item x="451"/>
        <item x="395"/>
        <item x="267"/>
        <item x="354"/>
        <item x="399"/>
        <item x="276"/>
        <item x="192"/>
        <item x="20"/>
        <item x="1"/>
        <item x="191"/>
        <item x="151"/>
        <item x="53"/>
        <item x="186"/>
        <item x="486"/>
        <item x="56"/>
        <item x="261"/>
        <item x="158"/>
        <item x="122"/>
        <item x="88"/>
        <item x="450"/>
        <item x="221"/>
        <item x="123"/>
        <item x="219"/>
        <item x="270"/>
        <item x="40"/>
        <item x="475"/>
        <item x="131"/>
        <item x="41"/>
        <item x="381"/>
        <item x="387"/>
        <item x="103"/>
        <item x="497"/>
        <item x="436"/>
        <item x="164"/>
        <item x="6"/>
        <item x="347"/>
        <item x="212"/>
        <item x="290"/>
        <item x="429"/>
        <item x="355"/>
        <item x="320"/>
        <item x="319"/>
        <item x="199"/>
        <item x="232"/>
        <item x="376"/>
        <item x="208"/>
        <item x="315"/>
        <item x="476"/>
        <item x="332"/>
        <item x="438"/>
        <item x="419"/>
        <item x="17"/>
        <item x="299"/>
        <item x="167"/>
        <item x="100"/>
        <item x="375"/>
        <item x="110"/>
        <item x="90"/>
        <item x="237"/>
        <item x="48"/>
        <item x="263"/>
        <item x="193"/>
        <item x="118"/>
        <item x="385"/>
        <item x="24"/>
        <item x="352"/>
        <item x="447"/>
        <item x="225"/>
        <item x="473"/>
        <item x="119"/>
        <item x="401"/>
        <item x="216"/>
        <item x="422"/>
        <item x="214"/>
        <item x="349"/>
        <item x="339"/>
        <item x="50"/>
        <item x="410"/>
        <item x="109"/>
        <item x="229"/>
        <item x="301"/>
        <item x="71"/>
        <item x="5"/>
        <item x="92"/>
        <item x="489"/>
        <item x="230"/>
        <item x="162"/>
        <item x="273"/>
        <item x="51"/>
        <item x="439"/>
        <item x="73"/>
        <item x="377"/>
        <item x="288"/>
        <item x="226"/>
        <item x="416"/>
        <item x="402"/>
        <item x="409"/>
        <item x="146"/>
        <item x="280"/>
        <item x="522"/>
        <item x="397"/>
        <item x="344"/>
        <item x="249"/>
        <item x="240"/>
        <item x="180"/>
        <item x="520"/>
        <item x="35"/>
        <item x="68"/>
        <item x="39"/>
        <item x="133"/>
        <item x="217"/>
        <item x="251"/>
        <item x="184"/>
        <item x="236"/>
        <item x="95"/>
        <item x="250"/>
        <item x="245"/>
        <item x="27"/>
        <item x="470"/>
        <item x="361"/>
        <item x="482"/>
        <item x="373"/>
        <item x="372"/>
        <item x="19"/>
        <item x="533"/>
        <item x="277"/>
        <item x="75"/>
        <item x="268"/>
        <item x="149"/>
        <item x="172"/>
        <item x="413"/>
        <item x="171"/>
        <item x="220"/>
        <item x="364"/>
        <item x="228"/>
        <item x="165"/>
        <item x="391"/>
        <item x="215"/>
        <item x="258"/>
        <item x="160"/>
        <item x="181"/>
        <item x="309"/>
        <item x="223"/>
        <item x="367"/>
        <item x="80"/>
        <item x="15"/>
        <item x="359"/>
        <item x="531"/>
        <item x="97"/>
        <item x="513"/>
        <item x="444"/>
        <item x="196"/>
        <item x="528"/>
        <item x="275"/>
        <item x="59"/>
        <item x="357"/>
        <item x="256"/>
        <item x="252"/>
        <item x="209"/>
        <item x="168"/>
        <item x="323"/>
        <item x="428"/>
        <item x="14"/>
        <item x="342"/>
        <item x="478"/>
        <item x="69"/>
        <item x="33"/>
        <item x="79"/>
        <item x="143"/>
        <item x="417"/>
        <item x="205"/>
        <item x="353"/>
        <item x="210"/>
        <item x="83"/>
        <item x="113"/>
        <item x="310"/>
        <item x="501"/>
        <item x="286"/>
        <item x="529"/>
        <item x="81"/>
        <item x="46"/>
        <item x="452"/>
        <item x="346"/>
        <item x="177"/>
        <item x="406"/>
        <item x="55"/>
        <item x="477"/>
        <item x="70"/>
        <item x="106"/>
        <item x="194"/>
        <item x="128"/>
        <item x="465"/>
        <item x="195"/>
        <item x="67"/>
        <item x="222"/>
        <item x="197"/>
        <item x="166"/>
        <item x="87"/>
        <item x="227"/>
        <item x="284"/>
        <item x="453"/>
        <item x="28"/>
        <item x="266"/>
        <item x="307"/>
        <item x="514"/>
        <item x="12"/>
        <item x="282"/>
        <item x="485"/>
        <item x="170"/>
        <item x="292"/>
        <item x="137"/>
        <item x="499"/>
        <item x="107"/>
        <item x="527"/>
        <item x="467"/>
        <item x="366"/>
        <item x="426"/>
        <item x="295"/>
        <item x="308"/>
        <item x="437"/>
        <item x="414"/>
        <item x="244"/>
        <item x="161"/>
        <item x="505"/>
        <item x="138"/>
        <item x="456"/>
        <item x="393"/>
        <item x="300"/>
        <item x="291"/>
        <item x="424"/>
        <item x="504"/>
        <item x="468"/>
        <item x="18"/>
        <item x="302"/>
        <item x="283"/>
        <item x="461"/>
        <item x="242"/>
        <item x="211"/>
        <item x="98"/>
        <item x="111"/>
        <item x="44"/>
        <item x="255"/>
        <item x="4"/>
        <item x="457"/>
        <item x="518"/>
        <item x="43"/>
        <item x="480"/>
        <item x="374"/>
        <item x="178"/>
        <item x="479"/>
        <item x="104"/>
        <item x="287"/>
        <item x="425"/>
        <item x="0"/>
        <item x="203"/>
        <item x="337"/>
        <item x="49"/>
        <item x="524"/>
        <item x="246"/>
        <item x="345"/>
        <item x="23"/>
        <item x="188"/>
        <item x="30"/>
        <item x="420"/>
        <item x="78"/>
        <item x="362"/>
        <item x="116"/>
        <item x="293"/>
        <item x="408"/>
        <item x="243"/>
        <item x="471"/>
        <item x="269"/>
        <item x="16"/>
        <item x="516"/>
        <item x="206"/>
        <item x="65"/>
        <item x="108"/>
        <item x="66"/>
        <item x="257"/>
        <item x="57"/>
        <item x="130"/>
        <item x="224"/>
        <item x="435"/>
        <item x="392"/>
        <item x="472"/>
        <item x="93"/>
        <item x="84"/>
        <item x="412"/>
        <item x="525"/>
        <item x="176"/>
        <item x="488"/>
        <item x="464"/>
        <item x="306"/>
        <item x="386"/>
        <item x="58"/>
        <item x="233"/>
        <item x="388"/>
        <item x="190"/>
        <item x="383"/>
        <item x="285"/>
        <item x="200"/>
        <item x="294"/>
        <item x="314"/>
        <item x="54"/>
        <item x="318"/>
        <item x="260"/>
        <item x="185"/>
        <item x="491"/>
        <item x="432"/>
        <item x="13"/>
        <item x="325"/>
        <item x="121"/>
        <item x="407"/>
        <item x="466"/>
        <item x="82"/>
        <item x="503"/>
        <item x="271"/>
        <item x="371"/>
        <item x="530"/>
        <item x="493"/>
        <item x="333"/>
        <item x="34"/>
        <item x="523"/>
        <item x="241"/>
        <item x="459"/>
        <item x="281"/>
        <item x="96"/>
        <item x="508"/>
        <item x="403"/>
        <item x="418"/>
        <item x="112"/>
        <item x="202"/>
        <item x="117"/>
        <item x="247"/>
        <item x="91"/>
        <item x="404"/>
        <item x="500"/>
        <item x="384"/>
        <item x="335"/>
        <item x="274"/>
        <item x="183"/>
        <item x="448"/>
        <item x="29"/>
        <item x="101"/>
        <item x="336"/>
        <item x="297"/>
        <item x="77"/>
        <item x="262"/>
        <item x="331"/>
        <item x="515"/>
        <item x="61"/>
        <item x="341"/>
        <item x="152"/>
        <item x="455"/>
        <item x="317"/>
        <item x="187"/>
        <item x="360"/>
        <item x="175"/>
        <item x="147"/>
        <item x="72"/>
        <item x="521"/>
        <item x="198"/>
        <item x="327"/>
        <item x="431"/>
        <item x="126"/>
        <item x="363"/>
        <item x="365"/>
        <item x="483"/>
        <item x="248"/>
        <item x="433"/>
        <item x="321"/>
        <item x="328"/>
        <item x="498"/>
        <item x="400"/>
        <item x="394"/>
        <item x="490"/>
        <item x="390"/>
        <item x="204"/>
        <item x="45"/>
        <item x="99"/>
        <item x="22"/>
        <item x="114"/>
        <item x="389"/>
        <item x="350"/>
        <item x="157"/>
        <item x="26"/>
        <item x="264"/>
        <item x="144"/>
        <item x="63"/>
        <item x="380"/>
        <item x="86"/>
        <item x="458"/>
        <item x="11"/>
        <item x="322"/>
        <item x="25"/>
        <item x="519"/>
        <item x="231"/>
        <item x="509"/>
        <item x="139"/>
        <item x="127"/>
        <item x="313"/>
        <item x="474"/>
        <item x="189"/>
        <item x="487"/>
        <item x="329"/>
        <item x="235"/>
        <item x="494"/>
        <item x="2"/>
        <item x="142"/>
        <item x="163"/>
        <item x="443"/>
        <item x="74"/>
        <item x="8"/>
        <item x="42"/>
        <item x="370"/>
        <item x="21"/>
        <item x="136"/>
        <item x="463"/>
        <item x="52"/>
        <item x="484"/>
        <item x="517"/>
        <item x="156"/>
        <item x="382"/>
        <item x="47"/>
        <item x="36"/>
        <item x="445"/>
        <item x="148"/>
        <item x="423"/>
        <item x="234"/>
        <item x="334"/>
        <item x="272"/>
        <item x="343"/>
        <item x="427"/>
        <item x="62"/>
        <item x="358"/>
        <item x="174"/>
        <item x="526"/>
        <item x="153"/>
        <item x="506"/>
        <item x="348"/>
        <item x="179"/>
        <item x="76"/>
        <item x="129"/>
        <item x="169"/>
        <item x="64"/>
        <item x="154"/>
        <item x="340"/>
        <item x="311"/>
        <item x="115"/>
        <item x="449"/>
        <item x="369"/>
        <item x="434"/>
        <item x="150"/>
        <item x="7"/>
        <item x="132"/>
        <item x="398"/>
        <item x="442"/>
        <item x="145"/>
        <item x="454"/>
        <item x="305"/>
        <item x="3"/>
        <item x="141"/>
        <item x="10"/>
        <item x="421"/>
        <item x="135"/>
        <item x="218"/>
        <item x="379"/>
        <item x="411"/>
        <item x="279"/>
        <item x="31"/>
        <item x="239"/>
        <item x="201"/>
        <item x="213"/>
        <item x="496"/>
        <item x="105"/>
        <item x="303"/>
        <item x="502"/>
        <item x="430"/>
        <item x="446"/>
        <item x="9"/>
        <item x="289"/>
        <item x="159"/>
        <item x="296"/>
        <item x="124"/>
        <item x="532"/>
        <item x="507"/>
        <item x="460"/>
        <item x="324"/>
        <item x="89"/>
        <item x="510"/>
        <item x="238"/>
        <item t="default"/>
      </items>
    </pivotField>
    <pivotField showAll="0"/>
    <pivotField showAll="0">
      <items count="4">
        <item x="2"/>
        <item x="0"/>
        <item x="1"/>
        <item t="default"/>
      </items>
    </pivotField>
    <pivotField showAll="0"/>
    <pivotField showAll="0"/>
    <pivotField showAll="0"/>
    <pivotField showAll="0">
      <items count="5">
        <item x="1"/>
        <item x="0"/>
        <item x="3"/>
        <item x="2"/>
        <item t="default"/>
      </items>
    </pivotField>
    <pivotField showAll="0"/>
    <pivotField showAll="0"/>
    <pivotField showAll="0"/>
    <pivotField numFmtId="164" showAll="0"/>
    <pivotField showAll="0"/>
    <pivotField numFmtId="164" showAll="0"/>
    <pivotField showAll="0">
      <items count="5">
        <item x="0"/>
        <item x="2"/>
        <item x="3"/>
        <item x="1"/>
        <item t="default"/>
      </items>
    </pivotField>
    <pivotField showAll="0"/>
    <pivotField showAll="0">
      <items count="5">
        <item x="3"/>
        <item x="1"/>
        <item x="0"/>
        <item x="2"/>
        <item t="default"/>
      </items>
    </pivotField>
    <pivotField dataField="1"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elivery Scor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BB20C18-4E1D-49D0-BA61-0119BA6800A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5:E12" firstHeaderRow="1" firstDataRow="1" firstDataCol="1"/>
  <pivotFields count="21">
    <pivotField showAll="0"/>
    <pivotField numFmtId="14" showAll="0">
      <items count="535">
        <item x="441"/>
        <item x="330"/>
        <item x="254"/>
        <item x="462"/>
        <item x="102"/>
        <item x="207"/>
        <item x="368"/>
        <item x="378"/>
        <item x="312"/>
        <item x="265"/>
        <item x="38"/>
        <item x="94"/>
        <item x="469"/>
        <item x="32"/>
        <item x="155"/>
        <item x="278"/>
        <item x="495"/>
        <item x="396"/>
        <item x="511"/>
        <item x="85"/>
        <item x="351"/>
        <item x="134"/>
        <item x="304"/>
        <item x="253"/>
        <item x="440"/>
        <item x="60"/>
        <item x="37"/>
        <item x="415"/>
        <item x="405"/>
        <item x="326"/>
        <item x="140"/>
        <item x="356"/>
        <item x="125"/>
        <item x="173"/>
        <item x="298"/>
        <item x="120"/>
        <item x="481"/>
        <item x="316"/>
        <item x="259"/>
        <item x="182"/>
        <item x="338"/>
        <item x="492"/>
        <item x="512"/>
        <item x="451"/>
        <item x="395"/>
        <item x="267"/>
        <item x="354"/>
        <item x="399"/>
        <item x="276"/>
        <item x="192"/>
        <item x="20"/>
        <item x="1"/>
        <item x="191"/>
        <item x="151"/>
        <item x="53"/>
        <item x="186"/>
        <item x="486"/>
        <item x="56"/>
        <item x="261"/>
        <item x="158"/>
        <item x="122"/>
        <item x="88"/>
        <item x="450"/>
        <item x="221"/>
        <item x="123"/>
        <item x="219"/>
        <item x="270"/>
        <item x="40"/>
        <item x="475"/>
        <item x="131"/>
        <item x="41"/>
        <item x="381"/>
        <item x="387"/>
        <item x="103"/>
        <item x="497"/>
        <item x="436"/>
        <item x="164"/>
        <item x="6"/>
        <item x="347"/>
        <item x="212"/>
        <item x="290"/>
        <item x="429"/>
        <item x="355"/>
        <item x="320"/>
        <item x="319"/>
        <item x="199"/>
        <item x="232"/>
        <item x="376"/>
        <item x="208"/>
        <item x="315"/>
        <item x="476"/>
        <item x="332"/>
        <item x="438"/>
        <item x="419"/>
        <item x="17"/>
        <item x="299"/>
        <item x="167"/>
        <item x="100"/>
        <item x="375"/>
        <item x="110"/>
        <item x="90"/>
        <item x="237"/>
        <item x="48"/>
        <item x="263"/>
        <item x="193"/>
        <item x="118"/>
        <item x="385"/>
        <item x="24"/>
        <item x="352"/>
        <item x="447"/>
        <item x="225"/>
        <item x="473"/>
        <item x="119"/>
        <item x="401"/>
        <item x="216"/>
        <item x="422"/>
        <item x="214"/>
        <item x="349"/>
        <item x="339"/>
        <item x="50"/>
        <item x="410"/>
        <item x="109"/>
        <item x="229"/>
        <item x="301"/>
        <item x="71"/>
        <item x="5"/>
        <item x="92"/>
        <item x="489"/>
        <item x="230"/>
        <item x="162"/>
        <item x="273"/>
        <item x="51"/>
        <item x="439"/>
        <item x="73"/>
        <item x="377"/>
        <item x="288"/>
        <item x="226"/>
        <item x="416"/>
        <item x="402"/>
        <item x="409"/>
        <item x="146"/>
        <item x="280"/>
        <item x="522"/>
        <item x="397"/>
        <item x="344"/>
        <item x="249"/>
        <item x="240"/>
        <item x="180"/>
        <item x="520"/>
        <item x="35"/>
        <item x="68"/>
        <item x="39"/>
        <item x="133"/>
        <item x="217"/>
        <item x="251"/>
        <item x="184"/>
        <item x="236"/>
        <item x="95"/>
        <item x="250"/>
        <item x="245"/>
        <item x="27"/>
        <item x="470"/>
        <item x="361"/>
        <item x="482"/>
        <item x="373"/>
        <item x="372"/>
        <item x="19"/>
        <item x="533"/>
        <item x="277"/>
        <item x="75"/>
        <item x="268"/>
        <item x="149"/>
        <item x="172"/>
        <item x="413"/>
        <item x="171"/>
        <item x="220"/>
        <item x="364"/>
        <item x="228"/>
        <item x="165"/>
        <item x="391"/>
        <item x="215"/>
        <item x="258"/>
        <item x="160"/>
        <item x="181"/>
        <item x="309"/>
        <item x="223"/>
        <item x="367"/>
        <item x="80"/>
        <item x="15"/>
        <item x="359"/>
        <item x="531"/>
        <item x="97"/>
        <item x="513"/>
        <item x="444"/>
        <item x="196"/>
        <item x="528"/>
        <item x="275"/>
        <item x="59"/>
        <item x="357"/>
        <item x="256"/>
        <item x="252"/>
        <item x="209"/>
        <item x="168"/>
        <item x="323"/>
        <item x="428"/>
        <item x="14"/>
        <item x="342"/>
        <item x="478"/>
        <item x="69"/>
        <item x="33"/>
        <item x="79"/>
        <item x="143"/>
        <item x="417"/>
        <item x="205"/>
        <item x="353"/>
        <item x="210"/>
        <item x="83"/>
        <item x="113"/>
        <item x="310"/>
        <item x="501"/>
        <item x="286"/>
        <item x="529"/>
        <item x="81"/>
        <item x="46"/>
        <item x="452"/>
        <item x="346"/>
        <item x="177"/>
        <item x="406"/>
        <item x="55"/>
        <item x="477"/>
        <item x="70"/>
        <item x="106"/>
        <item x="194"/>
        <item x="128"/>
        <item x="465"/>
        <item x="195"/>
        <item x="67"/>
        <item x="222"/>
        <item x="197"/>
        <item x="166"/>
        <item x="87"/>
        <item x="227"/>
        <item x="284"/>
        <item x="453"/>
        <item x="28"/>
        <item x="266"/>
        <item x="307"/>
        <item x="514"/>
        <item x="12"/>
        <item x="282"/>
        <item x="485"/>
        <item x="170"/>
        <item x="292"/>
        <item x="137"/>
        <item x="499"/>
        <item x="107"/>
        <item x="527"/>
        <item x="467"/>
        <item x="366"/>
        <item x="426"/>
        <item x="295"/>
        <item x="308"/>
        <item x="437"/>
        <item x="414"/>
        <item x="244"/>
        <item x="161"/>
        <item x="505"/>
        <item x="138"/>
        <item x="456"/>
        <item x="393"/>
        <item x="300"/>
        <item x="291"/>
        <item x="424"/>
        <item x="504"/>
        <item x="468"/>
        <item x="18"/>
        <item x="302"/>
        <item x="283"/>
        <item x="461"/>
        <item x="242"/>
        <item x="211"/>
        <item x="98"/>
        <item x="111"/>
        <item x="44"/>
        <item x="255"/>
        <item x="4"/>
        <item x="457"/>
        <item x="518"/>
        <item x="43"/>
        <item x="480"/>
        <item x="374"/>
        <item x="178"/>
        <item x="479"/>
        <item x="104"/>
        <item x="287"/>
        <item x="425"/>
        <item x="0"/>
        <item x="203"/>
        <item x="337"/>
        <item x="49"/>
        <item x="524"/>
        <item x="246"/>
        <item x="345"/>
        <item x="23"/>
        <item x="188"/>
        <item x="30"/>
        <item x="420"/>
        <item x="78"/>
        <item x="362"/>
        <item x="116"/>
        <item x="293"/>
        <item x="408"/>
        <item x="243"/>
        <item x="471"/>
        <item x="269"/>
        <item x="16"/>
        <item x="516"/>
        <item x="206"/>
        <item x="65"/>
        <item x="108"/>
        <item x="66"/>
        <item x="257"/>
        <item x="57"/>
        <item x="130"/>
        <item x="224"/>
        <item x="435"/>
        <item x="392"/>
        <item x="472"/>
        <item x="93"/>
        <item x="84"/>
        <item x="412"/>
        <item x="525"/>
        <item x="176"/>
        <item x="488"/>
        <item x="464"/>
        <item x="306"/>
        <item x="386"/>
        <item x="58"/>
        <item x="233"/>
        <item x="388"/>
        <item x="190"/>
        <item x="383"/>
        <item x="285"/>
        <item x="200"/>
        <item x="294"/>
        <item x="314"/>
        <item x="54"/>
        <item x="318"/>
        <item x="260"/>
        <item x="185"/>
        <item x="491"/>
        <item x="432"/>
        <item x="13"/>
        <item x="325"/>
        <item x="121"/>
        <item x="407"/>
        <item x="466"/>
        <item x="82"/>
        <item x="503"/>
        <item x="271"/>
        <item x="371"/>
        <item x="530"/>
        <item x="493"/>
        <item x="333"/>
        <item x="34"/>
        <item x="523"/>
        <item x="241"/>
        <item x="459"/>
        <item x="281"/>
        <item x="96"/>
        <item x="508"/>
        <item x="403"/>
        <item x="418"/>
        <item x="112"/>
        <item x="202"/>
        <item x="117"/>
        <item x="247"/>
        <item x="91"/>
        <item x="404"/>
        <item x="500"/>
        <item x="384"/>
        <item x="335"/>
        <item x="274"/>
        <item x="183"/>
        <item x="448"/>
        <item x="29"/>
        <item x="101"/>
        <item x="336"/>
        <item x="297"/>
        <item x="77"/>
        <item x="262"/>
        <item x="331"/>
        <item x="515"/>
        <item x="61"/>
        <item x="341"/>
        <item x="152"/>
        <item x="455"/>
        <item x="317"/>
        <item x="187"/>
        <item x="360"/>
        <item x="175"/>
        <item x="147"/>
        <item x="72"/>
        <item x="521"/>
        <item x="198"/>
        <item x="327"/>
        <item x="431"/>
        <item x="126"/>
        <item x="363"/>
        <item x="365"/>
        <item x="483"/>
        <item x="248"/>
        <item x="433"/>
        <item x="321"/>
        <item x="328"/>
        <item x="498"/>
        <item x="400"/>
        <item x="394"/>
        <item x="490"/>
        <item x="390"/>
        <item x="204"/>
        <item x="45"/>
        <item x="99"/>
        <item x="22"/>
        <item x="114"/>
        <item x="389"/>
        <item x="350"/>
        <item x="157"/>
        <item x="26"/>
        <item x="264"/>
        <item x="144"/>
        <item x="63"/>
        <item x="380"/>
        <item x="86"/>
        <item x="458"/>
        <item x="11"/>
        <item x="322"/>
        <item x="25"/>
        <item x="519"/>
        <item x="231"/>
        <item x="509"/>
        <item x="139"/>
        <item x="127"/>
        <item x="313"/>
        <item x="474"/>
        <item x="189"/>
        <item x="487"/>
        <item x="329"/>
        <item x="235"/>
        <item x="494"/>
        <item x="2"/>
        <item x="142"/>
        <item x="163"/>
        <item x="443"/>
        <item x="74"/>
        <item x="8"/>
        <item x="42"/>
        <item x="370"/>
        <item x="21"/>
        <item x="136"/>
        <item x="463"/>
        <item x="52"/>
        <item x="484"/>
        <item x="517"/>
        <item x="156"/>
        <item x="382"/>
        <item x="47"/>
        <item x="36"/>
        <item x="445"/>
        <item x="148"/>
        <item x="423"/>
        <item x="234"/>
        <item x="334"/>
        <item x="272"/>
        <item x="343"/>
        <item x="427"/>
        <item x="62"/>
        <item x="358"/>
        <item x="174"/>
        <item x="526"/>
        <item x="153"/>
        <item x="506"/>
        <item x="348"/>
        <item x="179"/>
        <item x="76"/>
        <item x="129"/>
        <item x="169"/>
        <item x="64"/>
        <item x="154"/>
        <item x="340"/>
        <item x="311"/>
        <item x="115"/>
        <item x="449"/>
        <item x="369"/>
        <item x="434"/>
        <item x="150"/>
        <item x="7"/>
        <item x="132"/>
        <item x="398"/>
        <item x="442"/>
        <item x="145"/>
        <item x="454"/>
        <item x="305"/>
        <item x="3"/>
        <item x="141"/>
        <item x="10"/>
        <item x="421"/>
        <item x="135"/>
        <item x="218"/>
        <item x="379"/>
        <item x="411"/>
        <item x="279"/>
        <item x="31"/>
        <item x="239"/>
        <item x="201"/>
        <item x="213"/>
        <item x="496"/>
        <item x="105"/>
        <item x="303"/>
        <item x="502"/>
        <item x="430"/>
        <item x="446"/>
        <item x="9"/>
        <item x="289"/>
        <item x="159"/>
        <item x="296"/>
        <item x="124"/>
        <item x="532"/>
        <item x="507"/>
        <item x="460"/>
        <item x="324"/>
        <item x="89"/>
        <item x="510"/>
        <item x="238"/>
        <item t="default"/>
      </items>
    </pivotField>
    <pivotField showAll="0"/>
    <pivotField showAll="0">
      <items count="4">
        <item x="2"/>
        <item x="0"/>
        <item x="1"/>
        <item t="default"/>
      </items>
    </pivotField>
    <pivotField showAll="0"/>
    <pivotField showAll="0"/>
    <pivotField showAll="0"/>
    <pivotField showAll="0">
      <items count="5">
        <item x="1"/>
        <item x="0"/>
        <item x="3"/>
        <item x="2"/>
        <item t="default"/>
      </items>
    </pivotField>
    <pivotField showAll="0"/>
    <pivotField axis="axisRow" showAll="0">
      <items count="7">
        <item x="4"/>
        <item x="2"/>
        <item x="0"/>
        <item x="1"/>
        <item x="5"/>
        <item x="3"/>
        <item t="default"/>
      </items>
    </pivotField>
    <pivotField showAll="0"/>
    <pivotField numFmtId="164" showAll="0"/>
    <pivotField showAll="0"/>
    <pivotField dataField="1" numFmtId="164" showAll="0"/>
    <pivotField showAll="0">
      <items count="5">
        <item x="0"/>
        <item x="2"/>
        <item x="3"/>
        <item x="1"/>
        <item t="default"/>
      </items>
    </pivotField>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7">
    <i>
      <x/>
    </i>
    <i>
      <x v="1"/>
    </i>
    <i>
      <x v="2"/>
    </i>
    <i>
      <x v="3"/>
    </i>
    <i>
      <x v="4"/>
    </i>
    <i>
      <x v="5"/>
    </i>
    <i t="grand">
      <x/>
    </i>
  </rowItems>
  <colItems count="1">
    <i/>
  </colItems>
  <dataFields count="1">
    <dataField name="Sum of Sales Revenue" fld="13"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3D038D0-B10D-443A-86A0-78D2B7C36D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5:K12" firstHeaderRow="1" firstDataRow="1" firstDataCol="1"/>
  <pivotFields count="21">
    <pivotField showAll="0"/>
    <pivotField numFmtId="14" showAll="0">
      <items count="535">
        <item x="441"/>
        <item x="330"/>
        <item x="254"/>
        <item x="462"/>
        <item x="102"/>
        <item x="207"/>
        <item x="368"/>
        <item x="378"/>
        <item x="312"/>
        <item x="265"/>
        <item x="38"/>
        <item x="94"/>
        <item x="469"/>
        <item x="32"/>
        <item x="155"/>
        <item x="278"/>
        <item x="495"/>
        <item x="396"/>
        <item x="511"/>
        <item x="85"/>
        <item x="351"/>
        <item x="134"/>
        <item x="304"/>
        <item x="253"/>
        <item x="440"/>
        <item x="60"/>
        <item x="37"/>
        <item x="415"/>
        <item x="405"/>
        <item x="326"/>
        <item x="140"/>
        <item x="356"/>
        <item x="125"/>
        <item x="173"/>
        <item x="298"/>
        <item x="120"/>
        <item x="481"/>
        <item x="316"/>
        <item x="259"/>
        <item x="182"/>
        <item x="338"/>
        <item x="492"/>
        <item x="512"/>
        <item x="451"/>
        <item x="395"/>
        <item x="267"/>
        <item x="354"/>
        <item x="399"/>
        <item x="276"/>
        <item x="192"/>
        <item x="20"/>
        <item x="1"/>
        <item x="191"/>
        <item x="151"/>
        <item x="53"/>
        <item x="186"/>
        <item x="486"/>
        <item x="56"/>
        <item x="261"/>
        <item x="158"/>
        <item x="122"/>
        <item x="88"/>
        <item x="450"/>
        <item x="221"/>
        <item x="123"/>
        <item x="219"/>
        <item x="270"/>
        <item x="40"/>
        <item x="475"/>
        <item x="131"/>
        <item x="41"/>
        <item x="381"/>
        <item x="387"/>
        <item x="103"/>
        <item x="497"/>
        <item x="436"/>
        <item x="164"/>
        <item x="6"/>
        <item x="347"/>
        <item x="212"/>
        <item x="290"/>
        <item x="429"/>
        <item x="355"/>
        <item x="320"/>
        <item x="319"/>
        <item x="199"/>
        <item x="232"/>
        <item x="376"/>
        <item x="208"/>
        <item x="315"/>
        <item x="476"/>
        <item x="332"/>
        <item x="438"/>
        <item x="419"/>
        <item x="17"/>
        <item x="299"/>
        <item x="167"/>
        <item x="100"/>
        <item x="375"/>
        <item x="110"/>
        <item x="90"/>
        <item x="237"/>
        <item x="48"/>
        <item x="263"/>
        <item x="193"/>
        <item x="118"/>
        <item x="385"/>
        <item x="24"/>
        <item x="352"/>
        <item x="447"/>
        <item x="225"/>
        <item x="473"/>
        <item x="119"/>
        <item x="401"/>
        <item x="216"/>
        <item x="422"/>
        <item x="214"/>
        <item x="349"/>
        <item x="339"/>
        <item x="50"/>
        <item x="410"/>
        <item x="109"/>
        <item x="229"/>
        <item x="301"/>
        <item x="71"/>
        <item x="5"/>
        <item x="92"/>
        <item x="489"/>
        <item x="230"/>
        <item x="162"/>
        <item x="273"/>
        <item x="51"/>
        <item x="439"/>
        <item x="73"/>
        <item x="377"/>
        <item x="288"/>
        <item x="226"/>
        <item x="416"/>
        <item x="402"/>
        <item x="409"/>
        <item x="146"/>
        <item x="280"/>
        <item x="522"/>
        <item x="397"/>
        <item x="344"/>
        <item x="249"/>
        <item x="240"/>
        <item x="180"/>
        <item x="520"/>
        <item x="35"/>
        <item x="68"/>
        <item x="39"/>
        <item x="133"/>
        <item x="217"/>
        <item x="251"/>
        <item x="184"/>
        <item x="236"/>
        <item x="95"/>
        <item x="250"/>
        <item x="245"/>
        <item x="27"/>
        <item x="470"/>
        <item x="361"/>
        <item x="482"/>
        <item x="373"/>
        <item x="372"/>
        <item x="19"/>
        <item x="533"/>
        <item x="277"/>
        <item x="75"/>
        <item x="268"/>
        <item x="149"/>
        <item x="172"/>
        <item x="413"/>
        <item x="171"/>
        <item x="220"/>
        <item x="364"/>
        <item x="228"/>
        <item x="165"/>
        <item x="391"/>
        <item x="215"/>
        <item x="258"/>
        <item x="160"/>
        <item x="181"/>
        <item x="309"/>
        <item x="223"/>
        <item x="367"/>
        <item x="80"/>
        <item x="15"/>
        <item x="359"/>
        <item x="531"/>
        <item x="97"/>
        <item x="513"/>
        <item x="444"/>
        <item x="196"/>
        <item x="528"/>
        <item x="275"/>
        <item x="59"/>
        <item x="357"/>
        <item x="256"/>
        <item x="252"/>
        <item x="209"/>
        <item x="168"/>
        <item x="323"/>
        <item x="428"/>
        <item x="14"/>
        <item x="342"/>
        <item x="478"/>
        <item x="69"/>
        <item x="33"/>
        <item x="79"/>
        <item x="143"/>
        <item x="417"/>
        <item x="205"/>
        <item x="353"/>
        <item x="210"/>
        <item x="83"/>
        <item x="113"/>
        <item x="310"/>
        <item x="501"/>
        <item x="286"/>
        <item x="529"/>
        <item x="81"/>
        <item x="46"/>
        <item x="452"/>
        <item x="346"/>
        <item x="177"/>
        <item x="406"/>
        <item x="55"/>
        <item x="477"/>
        <item x="70"/>
        <item x="106"/>
        <item x="194"/>
        <item x="128"/>
        <item x="465"/>
        <item x="195"/>
        <item x="67"/>
        <item x="222"/>
        <item x="197"/>
        <item x="166"/>
        <item x="87"/>
        <item x="227"/>
        <item x="284"/>
        <item x="453"/>
        <item x="28"/>
        <item x="266"/>
        <item x="307"/>
        <item x="514"/>
        <item x="12"/>
        <item x="282"/>
        <item x="485"/>
        <item x="170"/>
        <item x="292"/>
        <item x="137"/>
        <item x="499"/>
        <item x="107"/>
        <item x="527"/>
        <item x="467"/>
        <item x="366"/>
        <item x="426"/>
        <item x="295"/>
        <item x="308"/>
        <item x="437"/>
        <item x="414"/>
        <item x="244"/>
        <item x="161"/>
        <item x="505"/>
        <item x="138"/>
        <item x="456"/>
        <item x="393"/>
        <item x="300"/>
        <item x="291"/>
        <item x="424"/>
        <item x="504"/>
        <item x="468"/>
        <item x="18"/>
        <item x="302"/>
        <item x="283"/>
        <item x="461"/>
        <item x="242"/>
        <item x="211"/>
        <item x="98"/>
        <item x="111"/>
        <item x="44"/>
        <item x="255"/>
        <item x="4"/>
        <item x="457"/>
        <item x="518"/>
        <item x="43"/>
        <item x="480"/>
        <item x="374"/>
        <item x="178"/>
        <item x="479"/>
        <item x="104"/>
        <item x="287"/>
        <item x="425"/>
        <item x="0"/>
        <item x="203"/>
        <item x="337"/>
        <item x="49"/>
        <item x="524"/>
        <item x="246"/>
        <item x="345"/>
        <item x="23"/>
        <item x="188"/>
        <item x="30"/>
        <item x="420"/>
        <item x="78"/>
        <item x="362"/>
        <item x="116"/>
        <item x="293"/>
        <item x="408"/>
        <item x="243"/>
        <item x="471"/>
        <item x="269"/>
        <item x="16"/>
        <item x="516"/>
        <item x="206"/>
        <item x="65"/>
        <item x="108"/>
        <item x="66"/>
        <item x="257"/>
        <item x="57"/>
        <item x="130"/>
        <item x="224"/>
        <item x="435"/>
        <item x="392"/>
        <item x="472"/>
        <item x="93"/>
        <item x="84"/>
        <item x="412"/>
        <item x="525"/>
        <item x="176"/>
        <item x="488"/>
        <item x="464"/>
        <item x="306"/>
        <item x="386"/>
        <item x="58"/>
        <item x="233"/>
        <item x="388"/>
        <item x="190"/>
        <item x="383"/>
        <item x="285"/>
        <item x="200"/>
        <item x="294"/>
        <item x="314"/>
        <item x="54"/>
        <item x="318"/>
        <item x="260"/>
        <item x="185"/>
        <item x="491"/>
        <item x="432"/>
        <item x="13"/>
        <item x="325"/>
        <item x="121"/>
        <item x="407"/>
        <item x="466"/>
        <item x="82"/>
        <item x="503"/>
        <item x="271"/>
        <item x="371"/>
        <item x="530"/>
        <item x="493"/>
        <item x="333"/>
        <item x="34"/>
        <item x="523"/>
        <item x="241"/>
        <item x="459"/>
        <item x="281"/>
        <item x="96"/>
        <item x="508"/>
        <item x="403"/>
        <item x="418"/>
        <item x="112"/>
        <item x="202"/>
        <item x="117"/>
        <item x="247"/>
        <item x="91"/>
        <item x="404"/>
        <item x="500"/>
        <item x="384"/>
        <item x="335"/>
        <item x="274"/>
        <item x="183"/>
        <item x="448"/>
        <item x="29"/>
        <item x="101"/>
        <item x="336"/>
        <item x="297"/>
        <item x="77"/>
        <item x="262"/>
        <item x="331"/>
        <item x="515"/>
        <item x="61"/>
        <item x="341"/>
        <item x="152"/>
        <item x="455"/>
        <item x="317"/>
        <item x="187"/>
        <item x="360"/>
        <item x="175"/>
        <item x="147"/>
        <item x="72"/>
        <item x="521"/>
        <item x="198"/>
        <item x="327"/>
        <item x="431"/>
        <item x="126"/>
        <item x="363"/>
        <item x="365"/>
        <item x="483"/>
        <item x="248"/>
        <item x="433"/>
        <item x="321"/>
        <item x="328"/>
        <item x="498"/>
        <item x="400"/>
        <item x="394"/>
        <item x="490"/>
        <item x="390"/>
        <item x="204"/>
        <item x="45"/>
        <item x="99"/>
        <item x="22"/>
        <item x="114"/>
        <item x="389"/>
        <item x="350"/>
        <item x="157"/>
        <item x="26"/>
        <item x="264"/>
        <item x="144"/>
        <item x="63"/>
        <item x="380"/>
        <item x="86"/>
        <item x="458"/>
        <item x="11"/>
        <item x="322"/>
        <item x="25"/>
        <item x="519"/>
        <item x="231"/>
        <item x="509"/>
        <item x="139"/>
        <item x="127"/>
        <item x="313"/>
        <item x="474"/>
        <item x="189"/>
        <item x="487"/>
        <item x="329"/>
        <item x="235"/>
        <item x="494"/>
        <item x="2"/>
        <item x="142"/>
        <item x="163"/>
        <item x="443"/>
        <item x="74"/>
        <item x="8"/>
        <item x="42"/>
        <item x="370"/>
        <item x="21"/>
        <item x="136"/>
        <item x="463"/>
        <item x="52"/>
        <item x="484"/>
        <item x="517"/>
        <item x="156"/>
        <item x="382"/>
        <item x="47"/>
        <item x="36"/>
        <item x="445"/>
        <item x="148"/>
        <item x="423"/>
        <item x="234"/>
        <item x="334"/>
        <item x="272"/>
        <item x="343"/>
        <item x="427"/>
        <item x="62"/>
        <item x="358"/>
        <item x="174"/>
        <item x="526"/>
        <item x="153"/>
        <item x="506"/>
        <item x="348"/>
        <item x="179"/>
        <item x="76"/>
        <item x="129"/>
        <item x="169"/>
        <item x="64"/>
        <item x="154"/>
        <item x="340"/>
        <item x="311"/>
        <item x="115"/>
        <item x="449"/>
        <item x="369"/>
        <item x="434"/>
        <item x="150"/>
        <item x="7"/>
        <item x="132"/>
        <item x="398"/>
        <item x="442"/>
        <item x="145"/>
        <item x="454"/>
        <item x="305"/>
        <item x="3"/>
        <item x="141"/>
        <item x="10"/>
        <item x="421"/>
        <item x="135"/>
        <item x="218"/>
        <item x="379"/>
        <item x="411"/>
        <item x="279"/>
        <item x="31"/>
        <item x="239"/>
        <item x="201"/>
        <item x="213"/>
        <item x="496"/>
        <item x="105"/>
        <item x="303"/>
        <item x="502"/>
        <item x="430"/>
        <item x="446"/>
        <item x="9"/>
        <item x="289"/>
        <item x="159"/>
        <item x="296"/>
        <item x="124"/>
        <item x="532"/>
        <item x="507"/>
        <item x="460"/>
        <item x="324"/>
        <item x="89"/>
        <item x="510"/>
        <item x="238"/>
        <item t="default"/>
      </items>
    </pivotField>
    <pivotField showAll="0"/>
    <pivotField showAll="0">
      <items count="4">
        <item x="2"/>
        <item x="0"/>
        <item x="1"/>
        <item t="default"/>
      </items>
    </pivotField>
    <pivotField showAll="0"/>
    <pivotField showAll="0"/>
    <pivotField showAll="0"/>
    <pivotField showAll="0">
      <items count="5">
        <item x="1"/>
        <item x="0"/>
        <item x="3"/>
        <item x="2"/>
        <item t="default"/>
      </items>
    </pivotField>
    <pivotField showAll="0"/>
    <pivotField axis="axisRow" showAll="0">
      <items count="7">
        <item x="4"/>
        <item x="2"/>
        <item x="0"/>
        <item x="1"/>
        <item x="5"/>
        <item x="3"/>
        <item t="default"/>
      </items>
    </pivotField>
    <pivotField dataField="1" showAll="0"/>
    <pivotField numFmtId="164" showAll="0"/>
    <pivotField showAll="0"/>
    <pivotField numFmtId="164" showAll="0"/>
    <pivotField showAll="0">
      <items count="5">
        <item x="0"/>
        <item x="2"/>
        <item x="3"/>
        <item x="1"/>
        <item t="default"/>
      </items>
    </pivotField>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7">
    <i>
      <x/>
    </i>
    <i>
      <x v="1"/>
    </i>
    <i>
      <x v="2"/>
    </i>
    <i>
      <x v="3"/>
    </i>
    <i>
      <x v="4"/>
    </i>
    <i>
      <x v="5"/>
    </i>
    <i t="grand">
      <x/>
    </i>
  </rowItems>
  <colItems count="1">
    <i/>
  </colItems>
  <dataFields count="1">
    <dataField name="Sum of Quantity" fld="10" baseField="0" baseItem="0"/>
  </dataField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9" count="1" selected="0">
            <x v="0"/>
          </reference>
        </references>
      </pivotArea>
    </chartFormat>
    <chartFormat chart="4" format="10">
      <pivotArea type="data" outline="0" fieldPosition="0">
        <references count="2">
          <reference field="4294967294" count="1" selected="0">
            <x v="0"/>
          </reference>
          <reference field="9" count="1" selected="0">
            <x v="1"/>
          </reference>
        </references>
      </pivotArea>
    </chartFormat>
    <chartFormat chart="4" format="11">
      <pivotArea type="data" outline="0" fieldPosition="0">
        <references count="2">
          <reference field="4294967294" count="1" selected="0">
            <x v="0"/>
          </reference>
          <reference field="9" count="1" selected="0">
            <x v="2"/>
          </reference>
        </references>
      </pivotArea>
    </chartFormat>
    <chartFormat chart="4" format="12">
      <pivotArea type="data" outline="0" fieldPosition="0">
        <references count="2">
          <reference field="4294967294" count="1" selected="0">
            <x v="0"/>
          </reference>
          <reference field="9" count="1" selected="0">
            <x v="3"/>
          </reference>
        </references>
      </pivotArea>
    </chartFormat>
    <chartFormat chart="4" format="13">
      <pivotArea type="data" outline="0" fieldPosition="0">
        <references count="2">
          <reference field="4294967294" count="1" selected="0">
            <x v="0"/>
          </reference>
          <reference field="9" count="1" selected="0">
            <x v="4"/>
          </reference>
        </references>
      </pivotArea>
    </chartFormat>
    <chartFormat chart="4" format="14">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37C7F3-609F-49A4-A183-BD6FF7AEAFF5}" autoFormatId="16" applyNumberFormats="0" applyBorderFormats="0" applyFontFormats="0" applyPatternFormats="0" applyAlignmentFormats="0" applyWidthHeightFormats="0">
  <queryTableRefresh nextId="19">
    <queryTableFields count="18">
      <queryTableField id="1" name="Order ID" tableColumnId="1"/>
      <queryTableField id="2" name="Order Date" tableColumnId="2"/>
      <queryTableField id="3" name="Customer Name" tableColumnId="3"/>
      <queryTableField id="4" name="Gender" tableColumnId="4"/>
      <queryTableField id="5" name="Age" tableColumnId="5"/>
      <queryTableField id="6" name="State" tableColumnId="6"/>
      <queryTableField id="7" name="City" tableColumnId="7"/>
      <queryTableField id="8" name="Product Category" tableColumnId="8"/>
      <queryTableField id="9" name="Product Name" tableColumnId="9"/>
      <queryTableField id="10" name="Sales Representative" tableColumnId="10"/>
      <queryTableField id="11" name="Quantity" tableColumnId="11"/>
      <queryTableField id="12" name="Unit Price" tableColumnId="12"/>
      <queryTableField id="13" name="Discount (%)" tableColumnId="13"/>
      <queryTableField id="14" name="Sales Revenue" tableColumnId="14"/>
      <queryTableField id="15" name="Payment Method" tableColumnId="15"/>
      <queryTableField id="16" name="Customer Rating" tableColumnId="16"/>
      <queryTableField id="17" name="Delivery Status" tableColumnId="17"/>
      <queryTableField id="18" name="Delivery Score"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FD1981B-3A48-4A0E-B4EA-CAEB7906D322}" sourceName="Gender">
  <pivotTables>
    <pivotTable tabId="4" name="PivotTable7"/>
    <pivotTable tabId="4" name="PivotTable1"/>
    <pivotTable tabId="4" name="PivotTable10"/>
    <pivotTable tabId="4" name="PivotTable11"/>
    <pivotTable tabId="4" name="PivotTable13"/>
    <pivotTable tabId="4" name="PivotTable2"/>
    <pivotTable tabId="4" name="PivotTable3"/>
    <pivotTable tabId="4" name="PivotTable4"/>
    <pivotTable tabId="4" name="PivotTable5"/>
    <pivotTable tabId="4" name="PivotTable6"/>
    <pivotTable tabId="4" name="PivotTable8"/>
    <pivotTable tabId="4" name="PivotTable9"/>
    <pivotTable tabId="4" name="Sum_Of_Revenue"/>
    <pivotTable tabId="4" name="PivotTable12"/>
  </pivotTables>
  <data>
    <tabular pivotCacheId="84885063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7F82E3C-7B0C-40FC-9F26-5C8AEF36DD5B}" sourceName="Product Category">
  <pivotTables>
    <pivotTable tabId="4" name="PivotTable7"/>
    <pivotTable tabId="4" name="PivotTable1"/>
    <pivotTable tabId="4" name="PivotTable10"/>
    <pivotTable tabId="4" name="PivotTable11"/>
    <pivotTable tabId="4" name="PivotTable13"/>
    <pivotTable tabId="4" name="PivotTable2"/>
    <pivotTable tabId="4" name="PivotTable3"/>
    <pivotTable tabId="4" name="PivotTable4"/>
    <pivotTable tabId="4" name="PivotTable5"/>
    <pivotTable tabId="4" name="PivotTable6"/>
    <pivotTable tabId="4" name="PivotTable8"/>
    <pivotTable tabId="4" name="PivotTable9"/>
    <pivotTable tabId="4" name="Sum_Of_Revenue"/>
    <pivotTable tabId="4" name="PivotTable12"/>
  </pivotTables>
  <data>
    <tabular pivotCacheId="848850639">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FC33644-7B0A-4023-9121-C18D0575C077}" sourceName="Payment Method">
  <pivotTables>
    <pivotTable tabId="4" name="PivotTable7"/>
    <pivotTable tabId="4" name="PivotTable1"/>
    <pivotTable tabId="4" name="PivotTable10"/>
    <pivotTable tabId="4" name="PivotTable11"/>
    <pivotTable tabId="4" name="PivotTable13"/>
    <pivotTable tabId="4" name="PivotTable2"/>
    <pivotTable tabId="4" name="PivotTable3"/>
    <pivotTable tabId="4" name="PivotTable4"/>
    <pivotTable tabId="4" name="PivotTable5"/>
    <pivotTable tabId="4" name="PivotTable6"/>
    <pivotTable tabId="4" name="PivotTable8"/>
    <pivotTable tabId="4" name="PivotTable9"/>
    <pivotTable tabId="4" name="Sum_Of_Revenue"/>
    <pivotTable tabId="4" name="PivotTable12"/>
  </pivotTables>
  <data>
    <tabular pivotCacheId="848850639">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core" xr10:uid="{14E29193-CF07-4859-A4A8-9951BC6DCE66}" sourceName="Delivery Score">
  <pivotTables>
    <pivotTable tabId="4" name="PivotTable7"/>
    <pivotTable tabId="4" name="PivotTable1"/>
    <pivotTable tabId="4" name="PivotTable10"/>
    <pivotTable tabId="4" name="PivotTable11"/>
    <pivotTable tabId="4" name="PivotTable13"/>
    <pivotTable tabId="4" name="PivotTable2"/>
    <pivotTable tabId="4" name="PivotTable3"/>
    <pivotTable tabId="4" name="PivotTable4"/>
    <pivotTable tabId="4" name="PivotTable5"/>
    <pivotTable tabId="4" name="PivotTable6"/>
    <pivotTable tabId="4" name="PivotTable8"/>
    <pivotTable tabId="4" name="PivotTable9"/>
    <pivotTable tabId="4" name="Sum_Of_Revenue"/>
    <pivotTable tabId="4" name="PivotTable12"/>
  </pivotTables>
  <data>
    <tabular pivotCacheId="84885063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E02915B0-BC52-46E3-9565-5E7B1728A1CA}" sourceName="Months (Order Date)">
  <pivotTables>
    <pivotTable tabId="4" name="PivotTable7"/>
    <pivotTable tabId="4" name="PivotTable1"/>
    <pivotTable tabId="4" name="PivotTable10"/>
    <pivotTable tabId="4" name="PivotTable11"/>
    <pivotTable tabId="4" name="PivotTable13"/>
    <pivotTable tabId="4" name="PivotTable2"/>
    <pivotTable tabId="4" name="PivotTable3"/>
    <pivotTable tabId="4" name="PivotTable4"/>
    <pivotTable tabId="4" name="PivotTable5"/>
    <pivotTable tabId="4" name="PivotTable6"/>
    <pivotTable tabId="4" name="PivotTable8"/>
    <pivotTable tabId="4" name="PivotTable9"/>
    <pivotTable tabId="4" name="Sum_Of_Revenue"/>
    <pivotTable tabId="4" name="PivotTable12"/>
  </pivotTables>
  <data>
    <tabular pivotCacheId="84885063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129B59C-512F-4241-AB60-47B68A2FEE35}" cache="Slicer_Gender" caption="Gender" style="SlicerStyleDark1" rowHeight="234950"/>
  <slicer name="Product Category" xr10:uid="{A298E195-36EA-4587-BDD4-A16C268D62E8}" cache="Slicer_Product_Category" caption="Product Category" style="SlicerStyleDark1" rowHeight="234950"/>
  <slicer name="Payment Method" xr10:uid="{8FDDD23A-C4D4-4615-B7C7-0F9248CD804B}" cache="Slicer_Payment_Method" caption="Payment Method" style="SlicerStyleDark1" rowHeight="234950"/>
  <slicer name="Delivery Score" xr10:uid="{947D49E5-0F7C-4EA2-BCFC-B35B0DD19468}" cache="Slicer_Delivery_Score" caption="Delivery Score" style="SlicerStyleDark1" rowHeight="234950"/>
  <slicer name="Months (Order Date)" xr10:uid="{8AF83716-DCC4-481C-97AD-BD3E475E657D}" cache="Slicer_Months__Order_Date" caption="Months (Order Date)" columnCount="3"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7A01A7-E92A-4DC7-8B3C-38FACC63006A}" name="Retail_Sales" displayName="Retail_Sales" ref="A1:R1534" tableType="queryTable" totalsRowShown="0">
  <autoFilter ref="A1:R1534" xr:uid="{627A01A7-E92A-4DC7-8B3C-38FACC63006A}"/>
  <tableColumns count="18">
    <tableColumn id="1" xr3:uid="{A41A3BBC-D0D3-441F-B8A7-6B5C3B57D6E9}" uniqueName="1" name="Order ID" queryTableFieldId="1" dataDxfId="12"/>
    <tableColumn id="2" xr3:uid="{736FE0CD-B6C2-43F0-BC92-C8E13C37A030}" uniqueName="2" name="Order Date" queryTableFieldId="2" dataDxfId="11"/>
    <tableColumn id="3" xr3:uid="{13F040F2-EDC3-4EBD-B647-9C7ACBC46931}" uniqueName="3" name="Customer Name" queryTableFieldId="3" dataDxfId="10"/>
    <tableColumn id="4" xr3:uid="{75803124-CE27-4B66-BBF7-6F7EB89E60D1}" uniqueName="4" name="Gender" queryTableFieldId="4" dataDxfId="9"/>
    <tableColumn id="5" xr3:uid="{FEAD0E29-343E-449F-A45F-B0C0981FD9FF}" uniqueName="5" name="Age" queryTableFieldId="5"/>
    <tableColumn id="6" xr3:uid="{4F8B793A-7A02-4DE2-B424-A4A09FBF781D}" uniqueName="6" name="State" queryTableFieldId="6" dataDxfId="8"/>
    <tableColumn id="7" xr3:uid="{B3DA4584-508F-433B-86E5-5EA206C9A630}" uniqueName="7" name="City" queryTableFieldId="7" dataDxfId="7"/>
    <tableColumn id="8" xr3:uid="{1C3710D7-6391-4369-9A68-659B10018F30}" uniqueName="8" name="Product Category" queryTableFieldId="8" dataDxfId="6"/>
    <tableColumn id="9" xr3:uid="{5C9CEA72-258C-4F44-9F8F-F00434A3F0E8}" uniqueName="9" name="Product Name" queryTableFieldId="9" dataDxfId="5"/>
    <tableColumn id="10" xr3:uid="{AEABE5BB-7A31-47D9-A308-3BBEFC0EA08F}" uniqueName="10" name="Sales Representative" queryTableFieldId="10" dataDxfId="4"/>
    <tableColumn id="11" xr3:uid="{C4E8FB0B-D521-47BD-8BCB-5A6909D378A9}" uniqueName="11" name="Quantity" queryTableFieldId="11"/>
    <tableColumn id="12" xr3:uid="{13B03E85-1A0E-4913-83F5-D80549BDD6D0}" uniqueName="12" name="Unit Price" queryTableFieldId="12" dataDxfId="3"/>
    <tableColumn id="13" xr3:uid="{96F7580F-5AB8-4209-AE49-97AC2B966A7A}" uniqueName="13" name="Discount (%)" queryTableFieldId="13"/>
    <tableColumn id="14" xr3:uid="{C4FEC810-81AD-42C3-9F15-72EEFAC51E1C}" uniqueName="14" name="Sales Revenue" queryTableFieldId="14" dataDxfId="2"/>
    <tableColumn id="15" xr3:uid="{9EF5D85B-C30C-4876-832E-BC418FC58163}" uniqueName="15" name="Payment Method" queryTableFieldId="15" dataDxfId="1"/>
    <tableColumn id="16" xr3:uid="{604E2291-FEBB-43EA-A696-F3D2D6B5F6D2}" uniqueName="16" name="Customer Rating" queryTableFieldId="16"/>
    <tableColumn id="17" xr3:uid="{C87956F7-445E-4AC5-94FE-2D91D2658587}" uniqueName="17" name="Delivery Status" queryTableFieldId="17" dataDxfId="0"/>
    <tableColumn id="18" xr3:uid="{C5B433DC-DD5C-4DB2-9500-F1A9441040D7}" uniqueName="18" name="Delivery Score" queryTableFieldId="1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2021"/>
  <sheetViews>
    <sheetView tabSelected="1" topLeftCell="H1" workbookViewId="0">
      <selection activeCell="P13" sqref="A1:Q2021"/>
    </sheetView>
  </sheetViews>
  <sheetFormatPr defaultRowHeight="14.4" x14ac:dyDescent="0.3"/>
  <cols>
    <col min="1" max="1" width="9.88671875" customWidth="1"/>
    <col min="2" max="2" width="12" customWidth="1"/>
    <col min="3" max="3" width="16.44140625" customWidth="1"/>
    <col min="4" max="4" width="9" customWidth="1"/>
    <col min="5" max="5" width="6.109375" customWidth="1"/>
    <col min="6" max="6" width="7.21875" bestFit="1" customWidth="1"/>
    <col min="7" max="7" width="12.109375" bestFit="1" customWidth="1"/>
    <col min="8" max="8" width="17.5546875" customWidth="1"/>
    <col min="9" max="9" width="15" customWidth="1"/>
    <col min="10" max="10" width="20.109375" customWidth="1"/>
    <col min="11" max="11" width="10.21875" customWidth="1"/>
    <col min="12" max="12" width="11" customWidth="1"/>
    <col min="13" max="13" width="13.44140625" customWidth="1"/>
    <col min="14" max="14" width="14.88671875" customWidth="1"/>
    <col min="15" max="15" width="17.6640625" customWidth="1"/>
    <col min="16" max="16" width="16.77734375" customWidth="1"/>
    <col min="17" max="17" width="15.3320312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v>22</v>
      </c>
      <c r="F2" t="s">
        <v>21</v>
      </c>
      <c r="G2" t="s">
        <v>21</v>
      </c>
      <c r="H2" t="s">
        <v>22</v>
      </c>
      <c r="I2" t="s">
        <v>23</v>
      </c>
      <c r="J2" t="s">
        <v>24</v>
      </c>
      <c r="K2">
        <v>7</v>
      </c>
      <c r="L2">
        <v>26500</v>
      </c>
      <c r="M2">
        <v>0</v>
      </c>
      <c r="N2">
        <v>185500</v>
      </c>
      <c r="O2" t="s">
        <v>25</v>
      </c>
      <c r="Q2" t="s">
        <v>26</v>
      </c>
    </row>
    <row r="3" spans="1:17" x14ac:dyDescent="0.3">
      <c r="A3" t="s">
        <v>27</v>
      </c>
      <c r="B3" t="s">
        <v>28</v>
      </c>
      <c r="C3" t="s">
        <v>29</v>
      </c>
      <c r="D3" t="s">
        <v>20</v>
      </c>
      <c r="E3">
        <v>62</v>
      </c>
      <c r="F3" t="s">
        <v>30</v>
      </c>
      <c r="G3" t="s">
        <v>31</v>
      </c>
      <c r="H3" t="s">
        <v>32</v>
      </c>
      <c r="I3" t="s">
        <v>33</v>
      </c>
      <c r="J3" t="s">
        <v>34</v>
      </c>
      <c r="K3">
        <v>5</v>
      </c>
      <c r="L3">
        <v>36300</v>
      </c>
      <c r="M3">
        <v>10</v>
      </c>
      <c r="N3">
        <v>163350</v>
      </c>
      <c r="O3" t="s">
        <v>35</v>
      </c>
      <c r="P3">
        <v>2</v>
      </c>
      <c r="Q3" t="s">
        <v>26</v>
      </c>
    </row>
    <row r="4" spans="1:17" x14ac:dyDescent="0.3">
      <c r="A4" t="s">
        <v>36</v>
      </c>
      <c r="B4" t="s">
        <v>37</v>
      </c>
      <c r="C4" t="s">
        <v>38</v>
      </c>
      <c r="D4" t="s">
        <v>39</v>
      </c>
      <c r="E4">
        <v>60</v>
      </c>
      <c r="F4" t="s">
        <v>21</v>
      </c>
      <c r="G4" t="s">
        <v>21</v>
      </c>
      <c r="H4" t="s">
        <v>22</v>
      </c>
      <c r="I4" t="s">
        <v>23</v>
      </c>
      <c r="J4" t="s">
        <v>34</v>
      </c>
      <c r="K4">
        <v>1</v>
      </c>
      <c r="L4">
        <v>42900</v>
      </c>
      <c r="M4">
        <v>0</v>
      </c>
      <c r="N4">
        <v>42900</v>
      </c>
      <c r="O4" t="s">
        <v>40</v>
      </c>
      <c r="P4">
        <v>5</v>
      </c>
      <c r="Q4" t="s">
        <v>41</v>
      </c>
    </row>
    <row r="5" spans="1:17" x14ac:dyDescent="0.3">
      <c r="A5" t="s">
        <v>42</v>
      </c>
      <c r="B5" t="s">
        <v>43</v>
      </c>
      <c r="C5" t="s">
        <v>19</v>
      </c>
      <c r="D5" t="s">
        <v>20</v>
      </c>
      <c r="E5">
        <v>45</v>
      </c>
      <c r="F5" t="s">
        <v>44</v>
      </c>
      <c r="G5" t="s">
        <v>45</v>
      </c>
      <c r="H5" t="s">
        <v>46</v>
      </c>
      <c r="I5" t="s">
        <v>47</v>
      </c>
      <c r="J5" t="s">
        <v>34</v>
      </c>
      <c r="K5">
        <v>7</v>
      </c>
      <c r="L5">
        <v>7600</v>
      </c>
      <c r="M5">
        <v>0</v>
      </c>
      <c r="N5">
        <v>53200</v>
      </c>
      <c r="O5" t="s">
        <v>48</v>
      </c>
      <c r="Q5" t="s">
        <v>41</v>
      </c>
    </row>
    <row r="6" spans="1:17" x14ac:dyDescent="0.3">
      <c r="A6" t="s">
        <v>49</v>
      </c>
      <c r="B6" t="s">
        <v>50</v>
      </c>
      <c r="C6" t="s">
        <v>19</v>
      </c>
      <c r="E6">
        <v>24</v>
      </c>
      <c r="F6" t="s">
        <v>51</v>
      </c>
      <c r="G6" t="s">
        <v>52</v>
      </c>
      <c r="H6" t="s">
        <v>32</v>
      </c>
      <c r="I6" t="s">
        <v>53</v>
      </c>
      <c r="J6" t="s">
        <v>34</v>
      </c>
      <c r="K6">
        <v>10</v>
      </c>
      <c r="L6">
        <v>3600</v>
      </c>
      <c r="M6">
        <v>20</v>
      </c>
      <c r="N6">
        <v>28800</v>
      </c>
      <c r="O6" t="s">
        <v>25</v>
      </c>
      <c r="P6">
        <v>5</v>
      </c>
      <c r="Q6" t="s">
        <v>41</v>
      </c>
    </row>
    <row r="7" spans="1:17" x14ac:dyDescent="0.3">
      <c r="A7" t="s">
        <v>54</v>
      </c>
      <c r="B7" t="s">
        <v>55</v>
      </c>
      <c r="C7" t="s">
        <v>29</v>
      </c>
      <c r="E7">
        <v>44</v>
      </c>
      <c r="F7" t="s">
        <v>56</v>
      </c>
      <c r="G7" t="s">
        <v>57</v>
      </c>
      <c r="H7" t="s">
        <v>46</v>
      </c>
      <c r="I7" t="s">
        <v>47</v>
      </c>
      <c r="J7" t="s">
        <v>24</v>
      </c>
      <c r="K7">
        <v>3</v>
      </c>
      <c r="L7">
        <v>46300</v>
      </c>
      <c r="M7">
        <v>0</v>
      </c>
      <c r="N7">
        <v>138900</v>
      </c>
      <c r="O7" t="s">
        <v>25</v>
      </c>
      <c r="P7">
        <v>1</v>
      </c>
      <c r="Q7" t="s">
        <v>41</v>
      </c>
    </row>
    <row r="8" spans="1:17" x14ac:dyDescent="0.3">
      <c r="A8" t="s">
        <v>58</v>
      </c>
      <c r="B8" t="s">
        <v>59</v>
      </c>
      <c r="C8" t="s">
        <v>60</v>
      </c>
      <c r="E8">
        <v>39</v>
      </c>
      <c r="F8" t="s">
        <v>61</v>
      </c>
      <c r="G8" t="s">
        <v>61</v>
      </c>
      <c r="H8" t="s">
        <v>62</v>
      </c>
      <c r="I8" t="s">
        <v>63</v>
      </c>
      <c r="J8" t="s">
        <v>64</v>
      </c>
      <c r="K8">
        <v>1</v>
      </c>
      <c r="L8">
        <v>48800</v>
      </c>
      <c r="M8">
        <v>25</v>
      </c>
      <c r="N8">
        <v>36600</v>
      </c>
      <c r="O8" t="s">
        <v>40</v>
      </c>
      <c r="P8">
        <v>3</v>
      </c>
      <c r="Q8" t="s">
        <v>65</v>
      </c>
    </row>
    <row r="9" spans="1:17" x14ac:dyDescent="0.3">
      <c r="A9" t="s">
        <v>66</v>
      </c>
      <c r="B9" t="s">
        <v>67</v>
      </c>
      <c r="C9" t="s">
        <v>68</v>
      </c>
      <c r="E9">
        <v>37</v>
      </c>
      <c r="F9" t="s">
        <v>44</v>
      </c>
      <c r="G9" t="s">
        <v>45</v>
      </c>
      <c r="H9" t="s">
        <v>32</v>
      </c>
      <c r="I9" t="s">
        <v>53</v>
      </c>
      <c r="J9" t="s">
        <v>24</v>
      </c>
      <c r="K9">
        <v>3</v>
      </c>
      <c r="L9">
        <v>26200</v>
      </c>
      <c r="M9">
        <v>10</v>
      </c>
      <c r="N9">
        <v>70740</v>
      </c>
      <c r="O9" t="s">
        <v>48</v>
      </c>
      <c r="Q9" t="s">
        <v>65</v>
      </c>
    </row>
    <row r="10" spans="1:17" x14ac:dyDescent="0.3">
      <c r="A10" t="s">
        <v>69</v>
      </c>
      <c r="B10" t="s">
        <v>70</v>
      </c>
      <c r="C10" t="s">
        <v>71</v>
      </c>
      <c r="D10" t="s">
        <v>39</v>
      </c>
      <c r="E10">
        <v>61</v>
      </c>
      <c r="F10" t="s">
        <v>61</v>
      </c>
      <c r="G10" t="s">
        <v>61</v>
      </c>
      <c r="H10" t="s">
        <v>46</v>
      </c>
      <c r="I10" t="s">
        <v>47</v>
      </c>
      <c r="J10" t="s">
        <v>72</v>
      </c>
      <c r="K10">
        <v>2</v>
      </c>
      <c r="L10">
        <v>35400</v>
      </c>
      <c r="M10">
        <v>15</v>
      </c>
      <c r="N10">
        <v>60180</v>
      </c>
      <c r="O10" t="s">
        <v>73</v>
      </c>
      <c r="P10">
        <v>2</v>
      </c>
      <c r="Q10" t="s">
        <v>74</v>
      </c>
    </row>
    <row r="11" spans="1:17" x14ac:dyDescent="0.3">
      <c r="A11" t="s">
        <v>75</v>
      </c>
      <c r="B11" t="s">
        <v>76</v>
      </c>
      <c r="C11" t="s">
        <v>71</v>
      </c>
      <c r="E11">
        <v>25</v>
      </c>
      <c r="F11" t="s">
        <v>77</v>
      </c>
      <c r="G11" t="s">
        <v>78</v>
      </c>
      <c r="H11" t="s">
        <v>46</v>
      </c>
      <c r="I11" t="s">
        <v>79</v>
      </c>
      <c r="J11" t="s">
        <v>80</v>
      </c>
      <c r="K11">
        <v>3</v>
      </c>
      <c r="L11">
        <v>31200</v>
      </c>
      <c r="M11">
        <v>0</v>
      </c>
      <c r="N11">
        <v>93600</v>
      </c>
      <c r="O11" t="s">
        <v>73</v>
      </c>
      <c r="P11">
        <v>4</v>
      </c>
      <c r="Q11" t="s">
        <v>41</v>
      </c>
    </row>
    <row r="12" spans="1:17" x14ac:dyDescent="0.3">
      <c r="A12" t="s">
        <v>81</v>
      </c>
      <c r="B12" t="s">
        <v>82</v>
      </c>
      <c r="C12" t="s">
        <v>38</v>
      </c>
      <c r="D12" t="s">
        <v>83</v>
      </c>
      <c r="E12">
        <v>47</v>
      </c>
      <c r="F12" t="s">
        <v>77</v>
      </c>
      <c r="G12" t="s">
        <v>78</v>
      </c>
      <c r="H12" t="s">
        <v>22</v>
      </c>
      <c r="I12" t="s">
        <v>84</v>
      </c>
      <c r="J12" t="s">
        <v>34</v>
      </c>
      <c r="K12">
        <v>5</v>
      </c>
      <c r="L12">
        <v>37800</v>
      </c>
      <c r="M12">
        <v>10</v>
      </c>
      <c r="N12">
        <v>170100</v>
      </c>
      <c r="O12" t="s">
        <v>85</v>
      </c>
      <c r="P12">
        <v>2</v>
      </c>
      <c r="Q12" t="s">
        <v>26</v>
      </c>
    </row>
    <row r="13" spans="1:17" x14ac:dyDescent="0.3">
      <c r="A13" t="s">
        <v>86</v>
      </c>
      <c r="B13" t="s">
        <v>87</v>
      </c>
      <c r="C13" t="s">
        <v>88</v>
      </c>
      <c r="D13" t="s">
        <v>39</v>
      </c>
      <c r="E13">
        <v>34</v>
      </c>
      <c r="F13" t="s">
        <v>21</v>
      </c>
      <c r="G13" t="s">
        <v>21</v>
      </c>
      <c r="H13" t="s">
        <v>32</v>
      </c>
      <c r="I13" t="s">
        <v>33</v>
      </c>
      <c r="J13" t="s">
        <v>89</v>
      </c>
      <c r="K13">
        <v>3</v>
      </c>
      <c r="L13">
        <v>31600</v>
      </c>
      <c r="M13">
        <v>15</v>
      </c>
      <c r="N13">
        <v>80580</v>
      </c>
      <c r="O13" t="s">
        <v>85</v>
      </c>
      <c r="P13">
        <v>4</v>
      </c>
      <c r="Q13" t="s">
        <v>65</v>
      </c>
    </row>
    <row r="14" spans="1:17" x14ac:dyDescent="0.3">
      <c r="A14" t="s">
        <v>90</v>
      </c>
      <c r="B14" t="s">
        <v>91</v>
      </c>
      <c r="C14" t="s">
        <v>29</v>
      </c>
      <c r="D14" t="s">
        <v>83</v>
      </c>
      <c r="E14">
        <v>31</v>
      </c>
      <c r="F14" t="s">
        <v>30</v>
      </c>
      <c r="G14" t="s">
        <v>57</v>
      </c>
      <c r="H14" t="s">
        <v>46</v>
      </c>
      <c r="I14" t="s">
        <v>79</v>
      </c>
      <c r="J14" t="s">
        <v>89</v>
      </c>
      <c r="K14">
        <v>10</v>
      </c>
      <c r="L14">
        <v>43900</v>
      </c>
      <c r="M14">
        <v>25</v>
      </c>
      <c r="N14">
        <v>329250</v>
      </c>
      <c r="O14" t="s">
        <v>35</v>
      </c>
      <c r="P14">
        <v>5</v>
      </c>
      <c r="Q14" t="s">
        <v>41</v>
      </c>
    </row>
    <row r="15" spans="1:17" x14ac:dyDescent="0.3">
      <c r="A15" t="s">
        <v>92</v>
      </c>
      <c r="B15" t="s">
        <v>93</v>
      </c>
      <c r="C15" t="s">
        <v>94</v>
      </c>
      <c r="D15" t="s">
        <v>83</v>
      </c>
      <c r="E15">
        <v>58</v>
      </c>
      <c r="F15" t="s">
        <v>77</v>
      </c>
      <c r="G15" t="s">
        <v>95</v>
      </c>
      <c r="H15" t="s">
        <v>22</v>
      </c>
      <c r="I15" t="s">
        <v>23</v>
      </c>
      <c r="J15" t="s">
        <v>34</v>
      </c>
      <c r="K15">
        <v>9</v>
      </c>
      <c r="L15">
        <v>3300</v>
      </c>
      <c r="M15">
        <v>15</v>
      </c>
      <c r="N15">
        <v>25245</v>
      </c>
      <c r="O15" t="s">
        <v>85</v>
      </c>
      <c r="P15">
        <v>2</v>
      </c>
      <c r="Q15" t="s">
        <v>65</v>
      </c>
    </row>
    <row r="16" spans="1:17" x14ac:dyDescent="0.3">
      <c r="A16" t="s">
        <v>96</v>
      </c>
      <c r="B16" t="s">
        <v>97</v>
      </c>
      <c r="C16" t="s">
        <v>38</v>
      </c>
      <c r="D16" t="s">
        <v>39</v>
      </c>
      <c r="E16">
        <v>36</v>
      </c>
      <c r="F16" t="s">
        <v>30</v>
      </c>
      <c r="G16" t="s">
        <v>57</v>
      </c>
      <c r="H16" t="s">
        <v>22</v>
      </c>
      <c r="I16" t="s">
        <v>23</v>
      </c>
      <c r="J16" t="s">
        <v>72</v>
      </c>
      <c r="K16">
        <v>2</v>
      </c>
      <c r="L16">
        <v>34600</v>
      </c>
      <c r="M16">
        <v>25</v>
      </c>
      <c r="N16">
        <v>51900</v>
      </c>
      <c r="O16" t="s">
        <v>35</v>
      </c>
      <c r="P16">
        <v>1</v>
      </c>
      <c r="Q16" t="s">
        <v>41</v>
      </c>
    </row>
    <row r="17" spans="1:17" x14ac:dyDescent="0.3">
      <c r="A17" t="s">
        <v>98</v>
      </c>
      <c r="B17" t="s">
        <v>99</v>
      </c>
      <c r="C17" t="s">
        <v>94</v>
      </c>
      <c r="D17" t="s">
        <v>83</v>
      </c>
      <c r="E17">
        <v>47</v>
      </c>
      <c r="F17" t="s">
        <v>44</v>
      </c>
      <c r="G17" t="s">
        <v>100</v>
      </c>
      <c r="H17" t="s">
        <v>32</v>
      </c>
      <c r="I17" t="s">
        <v>53</v>
      </c>
      <c r="J17" t="s">
        <v>72</v>
      </c>
      <c r="K17">
        <v>4</v>
      </c>
      <c r="L17">
        <v>31600</v>
      </c>
      <c r="M17">
        <v>5</v>
      </c>
      <c r="N17">
        <v>120080</v>
      </c>
      <c r="O17" t="s">
        <v>40</v>
      </c>
      <c r="P17">
        <v>1</v>
      </c>
      <c r="Q17" t="s">
        <v>65</v>
      </c>
    </row>
    <row r="18" spans="1:17" x14ac:dyDescent="0.3">
      <c r="A18" t="s">
        <v>101</v>
      </c>
      <c r="B18" t="s">
        <v>102</v>
      </c>
      <c r="C18" t="s">
        <v>88</v>
      </c>
      <c r="D18" t="s">
        <v>103</v>
      </c>
      <c r="E18">
        <v>24</v>
      </c>
      <c r="F18" t="s">
        <v>51</v>
      </c>
      <c r="G18" t="s">
        <v>104</v>
      </c>
      <c r="H18" t="s">
        <v>46</v>
      </c>
      <c r="I18" t="s">
        <v>47</v>
      </c>
      <c r="J18" t="s">
        <v>34</v>
      </c>
      <c r="K18">
        <v>3</v>
      </c>
      <c r="L18">
        <v>42800</v>
      </c>
      <c r="M18">
        <v>0</v>
      </c>
      <c r="N18">
        <v>128400</v>
      </c>
      <c r="O18" t="s">
        <v>105</v>
      </c>
      <c r="Q18" t="s">
        <v>26</v>
      </c>
    </row>
    <row r="19" spans="1:17" x14ac:dyDescent="0.3">
      <c r="A19" t="s">
        <v>106</v>
      </c>
      <c r="B19" t="s">
        <v>97</v>
      </c>
      <c r="C19" t="s">
        <v>88</v>
      </c>
      <c r="D19" t="s">
        <v>20</v>
      </c>
      <c r="E19">
        <v>46</v>
      </c>
      <c r="F19" t="s">
        <v>107</v>
      </c>
      <c r="G19" t="s">
        <v>52</v>
      </c>
      <c r="H19" t="s">
        <v>22</v>
      </c>
      <c r="I19" t="s">
        <v>84</v>
      </c>
      <c r="J19" t="s">
        <v>24</v>
      </c>
      <c r="K19">
        <v>1</v>
      </c>
      <c r="L19">
        <v>16300</v>
      </c>
      <c r="M19">
        <v>15</v>
      </c>
      <c r="N19">
        <v>13855</v>
      </c>
      <c r="O19" t="s">
        <v>40</v>
      </c>
      <c r="P19">
        <v>2</v>
      </c>
      <c r="Q19" t="s">
        <v>41</v>
      </c>
    </row>
    <row r="20" spans="1:17" x14ac:dyDescent="0.3">
      <c r="A20" t="s">
        <v>108</v>
      </c>
      <c r="B20" t="s">
        <v>109</v>
      </c>
      <c r="C20" t="s">
        <v>68</v>
      </c>
      <c r="D20" t="s">
        <v>83</v>
      </c>
      <c r="E20">
        <v>51</v>
      </c>
      <c r="F20" t="s">
        <v>61</v>
      </c>
      <c r="G20" t="s">
        <v>61</v>
      </c>
      <c r="H20" t="s">
        <v>110</v>
      </c>
      <c r="I20" t="s">
        <v>33</v>
      </c>
      <c r="J20" t="s">
        <v>24</v>
      </c>
      <c r="K20">
        <v>3</v>
      </c>
      <c r="L20">
        <v>4600</v>
      </c>
      <c r="M20">
        <v>0</v>
      </c>
      <c r="N20">
        <v>13800</v>
      </c>
      <c r="O20" t="s">
        <v>35</v>
      </c>
      <c r="P20">
        <v>1</v>
      </c>
      <c r="Q20" t="s">
        <v>41</v>
      </c>
    </row>
    <row r="21" spans="1:17" x14ac:dyDescent="0.3">
      <c r="A21" t="s">
        <v>111</v>
      </c>
      <c r="B21" t="s">
        <v>112</v>
      </c>
      <c r="C21" t="s">
        <v>113</v>
      </c>
      <c r="D21" t="s">
        <v>39</v>
      </c>
      <c r="E21">
        <v>65</v>
      </c>
      <c r="F21" t="s">
        <v>51</v>
      </c>
      <c r="G21" t="s">
        <v>104</v>
      </c>
      <c r="H21" t="s">
        <v>62</v>
      </c>
      <c r="I21" t="s">
        <v>63</v>
      </c>
      <c r="J21" t="s">
        <v>64</v>
      </c>
      <c r="K21">
        <v>2</v>
      </c>
      <c r="L21">
        <v>14800</v>
      </c>
      <c r="M21">
        <v>5</v>
      </c>
      <c r="N21">
        <v>28120</v>
      </c>
      <c r="O21" t="s">
        <v>85</v>
      </c>
      <c r="Q21" t="s">
        <v>74</v>
      </c>
    </row>
    <row r="22" spans="1:17" x14ac:dyDescent="0.3">
      <c r="A22" t="s">
        <v>114</v>
      </c>
      <c r="B22" t="s">
        <v>115</v>
      </c>
      <c r="C22" t="s">
        <v>113</v>
      </c>
      <c r="D22" t="s">
        <v>83</v>
      </c>
      <c r="E22">
        <v>57</v>
      </c>
      <c r="F22" t="s">
        <v>21</v>
      </c>
      <c r="G22" t="s">
        <v>21</v>
      </c>
      <c r="H22" t="s">
        <v>116</v>
      </c>
      <c r="I22" t="s">
        <v>23</v>
      </c>
      <c r="J22" t="s">
        <v>89</v>
      </c>
      <c r="K22">
        <v>1</v>
      </c>
      <c r="L22">
        <v>47000</v>
      </c>
      <c r="M22">
        <v>15</v>
      </c>
      <c r="N22">
        <v>39950</v>
      </c>
      <c r="O22" t="s">
        <v>73</v>
      </c>
      <c r="Q22" t="s">
        <v>65</v>
      </c>
    </row>
    <row r="23" spans="1:17" x14ac:dyDescent="0.3">
      <c r="A23" t="s">
        <v>117</v>
      </c>
      <c r="B23" t="s">
        <v>118</v>
      </c>
      <c r="C23" t="s">
        <v>29</v>
      </c>
      <c r="D23" t="s">
        <v>103</v>
      </c>
      <c r="E23">
        <v>63</v>
      </c>
      <c r="F23" t="s">
        <v>51</v>
      </c>
      <c r="G23" t="s">
        <v>52</v>
      </c>
      <c r="H23" t="s">
        <v>22</v>
      </c>
      <c r="I23" t="s">
        <v>23</v>
      </c>
      <c r="J23" t="s">
        <v>24</v>
      </c>
      <c r="K23">
        <v>2</v>
      </c>
      <c r="L23">
        <v>18000</v>
      </c>
      <c r="M23">
        <v>10</v>
      </c>
      <c r="N23">
        <v>32400</v>
      </c>
      <c r="O23" t="s">
        <v>35</v>
      </c>
      <c r="P23">
        <v>4</v>
      </c>
      <c r="Q23" t="s">
        <v>26</v>
      </c>
    </row>
    <row r="24" spans="1:17" x14ac:dyDescent="0.3">
      <c r="A24" t="s">
        <v>119</v>
      </c>
      <c r="B24" t="s">
        <v>120</v>
      </c>
      <c r="C24" t="s">
        <v>121</v>
      </c>
      <c r="D24" t="s">
        <v>103</v>
      </c>
      <c r="E24">
        <v>30</v>
      </c>
      <c r="F24" t="s">
        <v>51</v>
      </c>
      <c r="G24" t="s">
        <v>104</v>
      </c>
      <c r="H24" t="s">
        <v>62</v>
      </c>
      <c r="I24" t="s">
        <v>63</v>
      </c>
      <c r="J24" t="s">
        <v>80</v>
      </c>
      <c r="K24">
        <v>6</v>
      </c>
      <c r="L24">
        <v>2700</v>
      </c>
      <c r="M24">
        <v>25</v>
      </c>
      <c r="N24">
        <v>12150</v>
      </c>
      <c r="O24" t="s">
        <v>48</v>
      </c>
      <c r="P24">
        <v>2</v>
      </c>
      <c r="Q24" t="s">
        <v>41</v>
      </c>
    </row>
    <row r="25" spans="1:17" x14ac:dyDescent="0.3">
      <c r="A25" t="s">
        <v>122</v>
      </c>
      <c r="B25" t="s">
        <v>123</v>
      </c>
      <c r="C25" t="s">
        <v>121</v>
      </c>
      <c r="E25">
        <v>49</v>
      </c>
      <c r="F25" t="s">
        <v>61</v>
      </c>
      <c r="G25" t="s">
        <v>61</v>
      </c>
      <c r="H25" t="s">
        <v>46</v>
      </c>
      <c r="I25" t="s">
        <v>47</v>
      </c>
      <c r="J25" t="s">
        <v>24</v>
      </c>
      <c r="K25">
        <v>8</v>
      </c>
      <c r="L25">
        <v>20600</v>
      </c>
      <c r="M25">
        <v>20</v>
      </c>
      <c r="N25">
        <v>131840</v>
      </c>
      <c r="O25" t="s">
        <v>40</v>
      </c>
      <c r="P25">
        <v>1</v>
      </c>
      <c r="Q25" t="s">
        <v>26</v>
      </c>
    </row>
    <row r="26" spans="1:17" x14ac:dyDescent="0.3">
      <c r="A26" t="s">
        <v>124</v>
      </c>
      <c r="B26" t="s">
        <v>125</v>
      </c>
      <c r="C26" t="s">
        <v>71</v>
      </c>
      <c r="E26">
        <v>28</v>
      </c>
      <c r="F26" t="s">
        <v>44</v>
      </c>
      <c r="G26" t="s">
        <v>45</v>
      </c>
      <c r="H26" t="s">
        <v>46</v>
      </c>
      <c r="I26" t="s">
        <v>47</v>
      </c>
      <c r="J26" t="s">
        <v>64</v>
      </c>
      <c r="K26">
        <v>1</v>
      </c>
      <c r="L26">
        <v>5300</v>
      </c>
      <c r="M26">
        <v>15</v>
      </c>
      <c r="N26">
        <v>4505</v>
      </c>
      <c r="O26" t="s">
        <v>105</v>
      </c>
      <c r="P26">
        <v>4</v>
      </c>
      <c r="Q26" t="s">
        <v>74</v>
      </c>
    </row>
    <row r="27" spans="1:17" x14ac:dyDescent="0.3">
      <c r="A27" t="s">
        <v>126</v>
      </c>
      <c r="B27" t="s">
        <v>127</v>
      </c>
      <c r="C27" t="s">
        <v>94</v>
      </c>
      <c r="D27" t="s">
        <v>39</v>
      </c>
      <c r="E27">
        <v>24</v>
      </c>
      <c r="F27" t="s">
        <v>77</v>
      </c>
      <c r="G27" t="s">
        <v>78</v>
      </c>
      <c r="H27" t="s">
        <v>46</v>
      </c>
      <c r="I27" t="s">
        <v>47</v>
      </c>
      <c r="J27" t="s">
        <v>24</v>
      </c>
      <c r="K27">
        <v>6</v>
      </c>
      <c r="L27">
        <v>2900</v>
      </c>
      <c r="M27">
        <v>10</v>
      </c>
      <c r="N27">
        <v>15660</v>
      </c>
      <c r="O27" t="s">
        <v>105</v>
      </c>
      <c r="P27">
        <v>4</v>
      </c>
      <c r="Q27" t="s">
        <v>74</v>
      </c>
    </row>
    <row r="28" spans="1:17" x14ac:dyDescent="0.3">
      <c r="A28" t="s">
        <v>128</v>
      </c>
      <c r="B28" t="s">
        <v>129</v>
      </c>
      <c r="C28" t="s">
        <v>60</v>
      </c>
      <c r="D28" t="s">
        <v>39</v>
      </c>
      <c r="E28">
        <v>40</v>
      </c>
      <c r="F28" t="s">
        <v>77</v>
      </c>
      <c r="G28" t="s">
        <v>95</v>
      </c>
      <c r="H28" t="s">
        <v>22</v>
      </c>
      <c r="I28" t="s">
        <v>23</v>
      </c>
      <c r="J28" t="s">
        <v>89</v>
      </c>
      <c r="K28">
        <v>6</v>
      </c>
      <c r="L28">
        <v>40600</v>
      </c>
      <c r="M28">
        <v>15</v>
      </c>
      <c r="N28">
        <v>207060</v>
      </c>
      <c r="O28" t="s">
        <v>73</v>
      </c>
      <c r="P28">
        <v>1</v>
      </c>
      <c r="Q28" t="s">
        <v>65</v>
      </c>
    </row>
    <row r="29" spans="1:17" x14ac:dyDescent="0.3">
      <c r="A29" t="s">
        <v>130</v>
      </c>
      <c r="B29" t="s">
        <v>131</v>
      </c>
      <c r="C29" t="s">
        <v>19</v>
      </c>
      <c r="D29" t="s">
        <v>103</v>
      </c>
      <c r="E29">
        <v>22</v>
      </c>
      <c r="F29" t="s">
        <v>44</v>
      </c>
      <c r="G29" t="s">
        <v>45</v>
      </c>
      <c r="H29" t="s">
        <v>22</v>
      </c>
      <c r="I29" t="s">
        <v>84</v>
      </c>
      <c r="J29" t="s">
        <v>72</v>
      </c>
      <c r="K29">
        <v>3</v>
      </c>
      <c r="L29">
        <v>22000</v>
      </c>
      <c r="M29">
        <v>25</v>
      </c>
      <c r="N29">
        <v>49500</v>
      </c>
      <c r="O29" t="s">
        <v>35</v>
      </c>
      <c r="Q29" t="s">
        <v>26</v>
      </c>
    </row>
    <row r="30" spans="1:17" x14ac:dyDescent="0.3">
      <c r="A30" t="s">
        <v>132</v>
      </c>
      <c r="B30" t="s">
        <v>133</v>
      </c>
      <c r="C30" t="s">
        <v>121</v>
      </c>
      <c r="D30" t="s">
        <v>20</v>
      </c>
      <c r="E30">
        <v>29</v>
      </c>
      <c r="F30" t="s">
        <v>21</v>
      </c>
      <c r="G30" t="s">
        <v>21</v>
      </c>
      <c r="H30" t="s">
        <v>46</v>
      </c>
      <c r="I30" t="s">
        <v>79</v>
      </c>
      <c r="J30" t="s">
        <v>89</v>
      </c>
      <c r="K30">
        <v>8</v>
      </c>
      <c r="L30">
        <v>38100</v>
      </c>
      <c r="M30">
        <v>0</v>
      </c>
      <c r="N30">
        <v>304800</v>
      </c>
      <c r="O30" t="s">
        <v>35</v>
      </c>
      <c r="P30">
        <v>2</v>
      </c>
      <c r="Q30" t="s">
        <v>26</v>
      </c>
    </row>
    <row r="31" spans="1:17" x14ac:dyDescent="0.3">
      <c r="A31" t="s">
        <v>134</v>
      </c>
      <c r="B31" t="s">
        <v>135</v>
      </c>
      <c r="C31" t="s">
        <v>88</v>
      </c>
      <c r="D31" t="s">
        <v>20</v>
      </c>
      <c r="E31">
        <v>39</v>
      </c>
      <c r="F31" t="s">
        <v>21</v>
      </c>
      <c r="G31" t="s">
        <v>21</v>
      </c>
      <c r="H31" t="s">
        <v>22</v>
      </c>
      <c r="I31" t="s">
        <v>23</v>
      </c>
      <c r="J31" t="s">
        <v>89</v>
      </c>
      <c r="K31">
        <v>8</v>
      </c>
      <c r="L31">
        <v>49400</v>
      </c>
      <c r="M31">
        <v>10</v>
      </c>
      <c r="N31">
        <v>355680</v>
      </c>
      <c r="O31" t="s">
        <v>35</v>
      </c>
      <c r="P31">
        <v>5</v>
      </c>
      <c r="Q31" t="s">
        <v>65</v>
      </c>
    </row>
    <row r="32" spans="1:17" x14ac:dyDescent="0.3">
      <c r="A32" t="s">
        <v>136</v>
      </c>
      <c r="B32" t="s">
        <v>137</v>
      </c>
      <c r="C32" t="s">
        <v>29</v>
      </c>
      <c r="D32" t="s">
        <v>20</v>
      </c>
      <c r="E32">
        <v>23</v>
      </c>
      <c r="F32" t="s">
        <v>61</v>
      </c>
      <c r="G32" t="s">
        <v>61</v>
      </c>
      <c r="H32" t="s">
        <v>32</v>
      </c>
      <c r="I32" t="s">
        <v>33</v>
      </c>
      <c r="J32" t="s">
        <v>72</v>
      </c>
      <c r="K32">
        <v>9</v>
      </c>
      <c r="L32">
        <v>21700</v>
      </c>
      <c r="M32">
        <v>15</v>
      </c>
      <c r="N32">
        <v>166005</v>
      </c>
      <c r="O32" t="s">
        <v>40</v>
      </c>
      <c r="P32">
        <v>2</v>
      </c>
      <c r="Q32" t="s">
        <v>65</v>
      </c>
    </row>
    <row r="33" spans="1:17" x14ac:dyDescent="0.3">
      <c r="A33" t="s">
        <v>138</v>
      </c>
      <c r="B33" t="s">
        <v>139</v>
      </c>
      <c r="C33" t="s">
        <v>121</v>
      </c>
      <c r="D33" t="s">
        <v>20</v>
      </c>
      <c r="E33">
        <v>28</v>
      </c>
      <c r="F33" t="s">
        <v>44</v>
      </c>
      <c r="G33" t="s">
        <v>100</v>
      </c>
      <c r="H33" t="s">
        <v>62</v>
      </c>
      <c r="I33" t="s">
        <v>140</v>
      </c>
      <c r="J33" t="s">
        <v>24</v>
      </c>
      <c r="K33">
        <v>6</v>
      </c>
      <c r="L33">
        <v>15000</v>
      </c>
      <c r="M33">
        <v>25</v>
      </c>
      <c r="N33">
        <v>67500</v>
      </c>
      <c r="O33" t="s">
        <v>105</v>
      </c>
      <c r="P33">
        <v>5</v>
      </c>
      <c r="Q33" t="s">
        <v>41</v>
      </c>
    </row>
    <row r="34" spans="1:17" x14ac:dyDescent="0.3">
      <c r="A34" t="s">
        <v>141</v>
      </c>
      <c r="B34" t="s">
        <v>142</v>
      </c>
      <c r="C34" t="s">
        <v>71</v>
      </c>
      <c r="E34">
        <v>36</v>
      </c>
      <c r="F34" t="s">
        <v>30</v>
      </c>
      <c r="G34" t="s">
        <v>31</v>
      </c>
      <c r="H34" t="s">
        <v>110</v>
      </c>
      <c r="I34" t="s">
        <v>53</v>
      </c>
      <c r="J34" t="s">
        <v>72</v>
      </c>
      <c r="K34">
        <v>2</v>
      </c>
      <c r="L34">
        <v>19800</v>
      </c>
      <c r="M34">
        <v>20</v>
      </c>
      <c r="N34">
        <v>31680</v>
      </c>
      <c r="O34" t="s">
        <v>73</v>
      </c>
      <c r="Q34" t="s">
        <v>26</v>
      </c>
    </row>
    <row r="35" spans="1:17" x14ac:dyDescent="0.3">
      <c r="A35" t="s">
        <v>143</v>
      </c>
      <c r="B35" t="s">
        <v>144</v>
      </c>
      <c r="C35" t="s">
        <v>38</v>
      </c>
      <c r="D35" t="s">
        <v>39</v>
      </c>
      <c r="E35">
        <v>43</v>
      </c>
      <c r="F35" t="s">
        <v>51</v>
      </c>
      <c r="G35" t="s">
        <v>104</v>
      </c>
      <c r="H35" t="s">
        <v>32</v>
      </c>
      <c r="I35" t="s">
        <v>53</v>
      </c>
      <c r="J35" t="s">
        <v>72</v>
      </c>
      <c r="K35">
        <v>4</v>
      </c>
      <c r="L35">
        <v>18700</v>
      </c>
      <c r="M35">
        <v>20</v>
      </c>
      <c r="N35">
        <v>59840</v>
      </c>
      <c r="O35" t="s">
        <v>73</v>
      </c>
      <c r="Q35" t="s">
        <v>26</v>
      </c>
    </row>
    <row r="36" spans="1:17" x14ac:dyDescent="0.3">
      <c r="A36" t="s">
        <v>145</v>
      </c>
      <c r="B36" t="s">
        <v>146</v>
      </c>
      <c r="C36" t="s">
        <v>60</v>
      </c>
      <c r="D36" t="s">
        <v>83</v>
      </c>
      <c r="E36">
        <v>40</v>
      </c>
      <c r="F36" t="s">
        <v>44</v>
      </c>
      <c r="G36" t="s">
        <v>100</v>
      </c>
      <c r="H36" t="s">
        <v>46</v>
      </c>
      <c r="I36" t="s">
        <v>47</v>
      </c>
      <c r="J36" t="s">
        <v>72</v>
      </c>
      <c r="K36">
        <v>5</v>
      </c>
      <c r="L36">
        <v>16500</v>
      </c>
      <c r="M36">
        <v>0</v>
      </c>
      <c r="N36">
        <v>82500</v>
      </c>
      <c r="O36" t="s">
        <v>40</v>
      </c>
      <c r="Q36" t="s">
        <v>26</v>
      </c>
    </row>
    <row r="37" spans="1:17" x14ac:dyDescent="0.3">
      <c r="A37" t="s">
        <v>147</v>
      </c>
      <c r="B37" t="s">
        <v>148</v>
      </c>
      <c r="C37" t="s">
        <v>94</v>
      </c>
      <c r="D37" t="s">
        <v>39</v>
      </c>
      <c r="E37">
        <v>34</v>
      </c>
      <c r="F37" t="s">
        <v>44</v>
      </c>
      <c r="G37" t="s">
        <v>45</v>
      </c>
      <c r="H37" t="s">
        <v>62</v>
      </c>
      <c r="I37" t="s">
        <v>140</v>
      </c>
      <c r="J37" t="s">
        <v>72</v>
      </c>
      <c r="K37">
        <v>2</v>
      </c>
      <c r="L37">
        <v>8700</v>
      </c>
      <c r="M37">
        <v>5</v>
      </c>
      <c r="N37">
        <v>16530</v>
      </c>
      <c r="O37" t="s">
        <v>40</v>
      </c>
      <c r="P37">
        <v>5</v>
      </c>
      <c r="Q37" t="s">
        <v>41</v>
      </c>
    </row>
    <row r="38" spans="1:17" x14ac:dyDescent="0.3">
      <c r="A38" t="s">
        <v>149</v>
      </c>
      <c r="B38" t="s">
        <v>150</v>
      </c>
      <c r="C38" t="s">
        <v>113</v>
      </c>
      <c r="D38" t="s">
        <v>83</v>
      </c>
      <c r="E38">
        <v>51</v>
      </c>
      <c r="F38" t="s">
        <v>51</v>
      </c>
      <c r="G38" t="s">
        <v>52</v>
      </c>
      <c r="H38" t="s">
        <v>46</v>
      </c>
      <c r="I38" t="s">
        <v>47</v>
      </c>
      <c r="J38" t="s">
        <v>34</v>
      </c>
      <c r="K38">
        <v>5</v>
      </c>
      <c r="L38">
        <v>39700</v>
      </c>
      <c r="M38">
        <v>0</v>
      </c>
      <c r="N38">
        <v>198500</v>
      </c>
      <c r="O38" t="s">
        <v>85</v>
      </c>
      <c r="Q38" t="s">
        <v>74</v>
      </c>
    </row>
    <row r="39" spans="1:17" x14ac:dyDescent="0.3">
      <c r="A39" t="s">
        <v>151</v>
      </c>
      <c r="B39" t="s">
        <v>152</v>
      </c>
      <c r="C39" t="s">
        <v>71</v>
      </c>
      <c r="D39" t="s">
        <v>103</v>
      </c>
      <c r="E39">
        <v>61</v>
      </c>
      <c r="F39" t="s">
        <v>21</v>
      </c>
      <c r="G39" t="s">
        <v>21</v>
      </c>
      <c r="H39" t="s">
        <v>32</v>
      </c>
      <c r="I39" t="s">
        <v>53</v>
      </c>
      <c r="J39" t="s">
        <v>80</v>
      </c>
      <c r="K39">
        <v>2</v>
      </c>
      <c r="L39">
        <v>13500</v>
      </c>
      <c r="M39">
        <v>5</v>
      </c>
      <c r="N39">
        <v>25650</v>
      </c>
      <c r="O39" t="s">
        <v>48</v>
      </c>
      <c r="Q39" t="s">
        <v>74</v>
      </c>
    </row>
    <row r="40" spans="1:17" x14ac:dyDescent="0.3">
      <c r="A40" t="s">
        <v>153</v>
      </c>
      <c r="B40" t="s">
        <v>154</v>
      </c>
      <c r="C40" t="s">
        <v>38</v>
      </c>
      <c r="D40" t="s">
        <v>83</v>
      </c>
      <c r="E40">
        <v>44</v>
      </c>
      <c r="F40" t="s">
        <v>44</v>
      </c>
      <c r="G40" t="s">
        <v>45</v>
      </c>
      <c r="H40" t="s">
        <v>46</v>
      </c>
      <c r="I40" t="s">
        <v>47</v>
      </c>
      <c r="J40" t="s">
        <v>24</v>
      </c>
      <c r="K40">
        <v>9</v>
      </c>
      <c r="L40">
        <v>10300</v>
      </c>
      <c r="M40">
        <v>5</v>
      </c>
      <c r="N40" t="s">
        <v>155</v>
      </c>
      <c r="O40" t="s">
        <v>105</v>
      </c>
      <c r="P40">
        <v>1</v>
      </c>
      <c r="Q40" t="s">
        <v>26</v>
      </c>
    </row>
    <row r="41" spans="1:17" x14ac:dyDescent="0.3">
      <c r="A41" t="s">
        <v>156</v>
      </c>
      <c r="B41" t="s">
        <v>157</v>
      </c>
      <c r="C41" t="s">
        <v>38</v>
      </c>
      <c r="D41" t="s">
        <v>39</v>
      </c>
      <c r="E41">
        <v>-3</v>
      </c>
      <c r="F41" t="s">
        <v>77</v>
      </c>
      <c r="G41" t="s">
        <v>95</v>
      </c>
      <c r="H41" t="s">
        <v>62</v>
      </c>
      <c r="I41" t="s">
        <v>140</v>
      </c>
      <c r="J41" t="s">
        <v>24</v>
      </c>
      <c r="K41">
        <v>3</v>
      </c>
      <c r="L41">
        <v>19200</v>
      </c>
      <c r="M41">
        <v>25</v>
      </c>
      <c r="N41">
        <v>43200</v>
      </c>
      <c r="O41" t="s">
        <v>48</v>
      </c>
      <c r="Q41" t="s">
        <v>26</v>
      </c>
    </row>
    <row r="42" spans="1:17" x14ac:dyDescent="0.3">
      <c r="A42" t="s">
        <v>158</v>
      </c>
      <c r="B42" t="s">
        <v>159</v>
      </c>
      <c r="C42" t="s">
        <v>29</v>
      </c>
      <c r="D42" t="s">
        <v>83</v>
      </c>
      <c r="E42">
        <v>55</v>
      </c>
      <c r="F42" t="s">
        <v>77</v>
      </c>
      <c r="G42" t="s">
        <v>95</v>
      </c>
      <c r="H42" t="s">
        <v>46</v>
      </c>
      <c r="I42" t="s">
        <v>79</v>
      </c>
      <c r="J42" t="s">
        <v>72</v>
      </c>
      <c r="K42">
        <v>3</v>
      </c>
      <c r="L42">
        <v>30300</v>
      </c>
      <c r="M42">
        <v>25</v>
      </c>
      <c r="N42">
        <v>68175</v>
      </c>
      <c r="O42" t="s">
        <v>73</v>
      </c>
      <c r="P42">
        <v>4</v>
      </c>
      <c r="Q42" t="s">
        <v>74</v>
      </c>
    </row>
    <row r="43" spans="1:17" x14ac:dyDescent="0.3">
      <c r="A43" t="s">
        <v>160</v>
      </c>
      <c r="B43" t="s">
        <v>161</v>
      </c>
      <c r="C43" t="s">
        <v>68</v>
      </c>
      <c r="D43" t="s">
        <v>39</v>
      </c>
      <c r="E43">
        <v>23</v>
      </c>
      <c r="F43" t="s">
        <v>61</v>
      </c>
      <c r="G43" t="s">
        <v>61</v>
      </c>
      <c r="H43" t="s">
        <v>32</v>
      </c>
      <c r="I43" t="s">
        <v>53</v>
      </c>
      <c r="J43" t="s">
        <v>24</v>
      </c>
      <c r="K43">
        <v>10</v>
      </c>
      <c r="L43">
        <v>10900</v>
      </c>
      <c r="M43">
        <v>25</v>
      </c>
      <c r="N43">
        <v>81750</v>
      </c>
      <c r="O43" t="s">
        <v>162</v>
      </c>
      <c r="Q43" t="s">
        <v>74</v>
      </c>
    </row>
    <row r="44" spans="1:17" x14ac:dyDescent="0.3">
      <c r="A44" t="s">
        <v>163</v>
      </c>
      <c r="B44" t="s">
        <v>164</v>
      </c>
      <c r="C44" t="s">
        <v>94</v>
      </c>
      <c r="D44" t="s">
        <v>39</v>
      </c>
      <c r="E44">
        <v>21</v>
      </c>
      <c r="F44" t="s">
        <v>44</v>
      </c>
      <c r="G44" t="s">
        <v>45</v>
      </c>
      <c r="H44" t="s">
        <v>22</v>
      </c>
      <c r="I44" t="s">
        <v>23</v>
      </c>
      <c r="J44" t="s">
        <v>24</v>
      </c>
      <c r="K44" t="s">
        <v>165</v>
      </c>
      <c r="L44">
        <v>26200</v>
      </c>
      <c r="M44">
        <v>15</v>
      </c>
      <c r="N44">
        <v>22270</v>
      </c>
      <c r="O44" t="s">
        <v>85</v>
      </c>
      <c r="P44">
        <v>2</v>
      </c>
      <c r="Q44" t="s">
        <v>74</v>
      </c>
    </row>
    <row r="45" spans="1:17" x14ac:dyDescent="0.3">
      <c r="A45" t="s">
        <v>166</v>
      </c>
      <c r="B45" t="s">
        <v>167</v>
      </c>
      <c r="C45" t="s">
        <v>68</v>
      </c>
      <c r="D45" t="s">
        <v>39</v>
      </c>
      <c r="E45">
        <v>34</v>
      </c>
      <c r="F45" t="s">
        <v>77</v>
      </c>
      <c r="G45" t="s">
        <v>78</v>
      </c>
      <c r="H45" t="s">
        <v>32</v>
      </c>
      <c r="I45" t="s">
        <v>53</v>
      </c>
      <c r="J45" t="s">
        <v>24</v>
      </c>
      <c r="K45">
        <v>7</v>
      </c>
      <c r="L45">
        <v>24500</v>
      </c>
      <c r="M45">
        <v>5</v>
      </c>
      <c r="N45">
        <v>162925</v>
      </c>
      <c r="O45" t="s">
        <v>105</v>
      </c>
      <c r="P45">
        <v>2</v>
      </c>
      <c r="Q45" t="s">
        <v>74</v>
      </c>
    </row>
    <row r="46" spans="1:17" x14ac:dyDescent="0.3">
      <c r="A46" t="s">
        <v>168</v>
      </c>
      <c r="B46" t="s">
        <v>123</v>
      </c>
      <c r="C46" t="s">
        <v>29</v>
      </c>
      <c r="D46" t="s">
        <v>20</v>
      </c>
      <c r="E46">
        <v>64</v>
      </c>
      <c r="F46" t="s">
        <v>44</v>
      </c>
      <c r="G46" t="s">
        <v>100</v>
      </c>
      <c r="H46" t="s">
        <v>62</v>
      </c>
      <c r="I46" t="s">
        <v>140</v>
      </c>
      <c r="J46" t="s">
        <v>64</v>
      </c>
      <c r="K46">
        <v>1</v>
      </c>
      <c r="L46">
        <v>6000</v>
      </c>
      <c r="M46">
        <v>5</v>
      </c>
      <c r="N46">
        <v>5700</v>
      </c>
      <c r="O46" t="s">
        <v>40</v>
      </c>
      <c r="Q46" t="s">
        <v>26</v>
      </c>
    </row>
    <row r="47" spans="1:17" x14ac:dyDescent="0.3">
      <c r="A47" t="s">
        <v>169</v>
      </c>
      <c r="B47" t="s">
        <v>170</v>
      </c>
      <c r="C47" t="s">
        <v>60</v>
      </c>
      <c r="D47" t="s">
        <v>20</v>
      </c>
      <c r="E47">
        <v>21</v>
      </c>
      <c r="F47" t="s">
        <v>30</v>
      </c>
      <c r="G47" t="s">
        <v>31</v>
      </c>
      <c r="H47" t="s">
        <v>22</v>
      </c>
      <c r="I47" t="s">
        <v>23</v>
      </c>
      <c r="J47" t="s">
        <v>80</v>
      </c>
      <c r="K47">
        <v>1</v>
      </c>
      <c r="L47">
        <v>9800</v>
      </c>
      <c r="M47">
        <v>0</v>
      </c>
      <c r="N47">
        <v>9800</v>
      </c>
      <c r="O47" t="s">
        <v>48</v>
      </c>
      <c r="P47">
        <v>4</v>
      </c>
      <c r="Q47" t="s">
        <v>65</v>
      </c>
    </row>
    <row r="48" spans="1:17" x14ac:dyDescent="0.3">
      <c r="A48" t="s">
        <v>171</v>
      </c>
      <c r="B48" t="s">
        <v>172</v>
      </c>
      <c r="C48" t="s">
        <v>88</v>
      </c>
      <c r="D48" t="s">
        <v>39</v>
      </c>
      <c r="E48">
        <v>34</v>
      </c>
      <c r="F48" t="s">
        <v>44</v>
      </c>
      <c r="G48" t="s">
        <v>100</v>
      </c>
      <c r="H48" t="s">
        <v>22</v>
      </c>
      <c r="I48" t="s">
        <v>23</v>
      </c>
      <c r="J48" t="s">
        <v>34</v>
      </c>
      <c r="K48" t="s">
        <v>173</v>
      </c>
      <c r="L48">
        <v>26400</v>
      </c>
      <c r="M48">
        <v>20</v>
      </c>
      <c r="N48">
        <v>42240</v>
      </c>
      <c r="O48" t="s">
        <v>40</v>
      </c>
      <c r="P48">
        <v>2</v>
      </c>
      <c r="Q48" t="s">
        <v>74</v>
      </c>
    </row>
    <row r="49" spans="1:17" x14ac:dyDescent="0.3">
      <c r="A49" t="s">
        <v>174</v>
      </c>
      <c r="B49" t="s">
        <v>175</v>
      </c>
      <c r="C49" t="s">
        <v>71</v>
      </c>
      <c r="D49" t="s">
        <v>83</v>
      </c>
      <c r="E49">
        <v>45</v>
      </c>
      <c r="F49" t="s">
        <v>61</v>
      </c>
      <c r="G49" t="s">
        <v>61</v>
      </c>
      <c r="H49" t="s">
        <v>22</v>
      </c>
      <c r="I49" t="s">
        <v>84</v>
      </c>
      <c r="J49" t="s">
        <v>80</v>
      </c>
      <c r="K49">
        <v>9</v>
      </c>
      <c r="L49">
        <v>45500</v>
      </c>
      <c r="M49">
        <v>15</v>
      </c>
      <c r="N49">
        <v>348075</v>
      </c>
      <c r="O49" t="s">
        <v>48</v>
      </c>
      <c r="P49">
        <v>5</v>
      </c>
      <c r="Q49" t="s">
        <v>41</v>
      </c>
    </row>
    <row r="50" spans="1:17" x14ac:dyDescent="0.3">
      <c r="A50" t="s">
        <v>176</v>
      </c>
      <c r="B50" t="s">
        <v>177</v>
      </c>
      <c r="C50" t="s">
        <v>60</v>
      </c>
      <c r="D50" t="s">
        <v>83</v>
      </c>
      <c r="E50">
        <v>61</v>
      </c>
      <c r="F50" t="s">
        <v>77</v>
      </c>
      <c r="G50" t="s">
        <v>95</v>
      </c>
      <c r="H50" t="s">
        <v>46</v>
      </c>
      <c r="I50" t="s">
        <v>79</v>
      </c>
      <c r="J50" t="s">
        <v>24</v>
      </c>
      <c r="K50">
        <v>9</v>
      </c>
      <c r="L50">
        <v>6100</v>
      </c>
      <c r="M50">
        <v>25</v>
      </c>
      <c r="N50">
        <v>41175</v>
      </c>
      <c r="O50" t="s">
        <v>73</v>
      </c>
      <c r="P50">
        <v>2</v>
      </c>
      <c r="Q50" t="s">
        <v>26</v>
      </c>
    </row>
    <row r="51" spans="1:17" x14ac:dyDescent="0.3">
      <c r="A51" t="s">
        <v>178</v>
      </c>
      <c r="B51" t="s">
        <v>179</v>
      </c>
      <c r="C51" t="s">
        <v>29</v>
      </c>
      <c r="E51">
        <v>56</v>
      </c>
      <c r="F51" t="s">
        <v>77</v>
      </c>
      <c r="G51" t="s">
        <v>78</v>
      </c>
      <c r="H51" t="s">
        <v>22</v>
      </c>
      <c r="I51" t="s">
        <v>84</v>
      </c>
      <c r="J51" t="s">
        <v>64</v>
      </c>
      <c r="K51">
        <v>5</v>
      </c>
      <c r="L51">
        <v>37900</v>
      </c>
      <c r="M51">
        <v>15</v>
      </c>
      <c r="N51">
        <v>161075</v>
      </c>
      <c r="O51" t="s">
        <v>48</v>
      </c>
      <c r="P51">
        <v>2</v>
      </c>
      <c r="Q51" t="s">
        <v>65</v>
      </c>
    </row>
    <row r="52" spans="1:17" x14ac:dyDescent="0.3">
      <c r="A52" t="s">
        <v>180</v>
      </c>
      <c r="B52" t="s">
        <v>181</v>
      </c>
      <c r="C52" t="s">
        <v>60</v>
      </c>
      <c r="D52" t="s">
        <v>20</v>
      </c>
      <c r="E52">
        <v>28</v>
      </c>
      <c r="F52" t="s">
        <v>77</v>
      </c>
      <c r="G52" t="s">
        <v>78</v>
      </c>
      <c r="H52" t="s">
        <v>46</v>
      </c>
      <c r="I52" t="s">
        <v>47</v>
      </c>
      <c r="J52" t="s">
        <v>72</v>
      </c>
      <c r="K52">
        <v>8</v>
      </c>
      <c r="L52">
        <v>26600</v>
      </c>
      <c r="M52">
        <v>15</v>
      </c>
      <c r="N52">
        <v>180880</v>
      </c>
      <c r="O52" t="s">
        <v>48</v>
      </c>
      <c r="Q52" t="s">
        <v>65</v>
      </c>
    </row>
    <row r="53" spans="1:17" x14ac:dyDescent="0.3">
      <c r="A53" t="s">
        <v>182</v>
      </c>
      <c r="B53" t="s">
        <v>183</v>
      </c>
      <c r="C53" t="s">
        <v>88</v>
      </c>
      <c r="D53" t="s">
        <v>20</v>
      </c>
      <c r="E53">
        <v>39</v>
      </c>
      <c r="F53" t="s">
        <v>21</v>
      </c>
      <c r="G53" t="s">
        <v>21</v>
      </c>
      <c r="H53" t="s">
        <v>32</v>
      </c>
      <c r="I53" t="s">
        <v>53</v>
      </c>
      <c r="J53" t="s">
        <v>89</v>
      </c>
      <c r="K53" t="s">
        <v>184</v>
      </c>
      <c r="L53">
        <v>33700</v>
      </c>
      <c r="M53">
        <v>20</v>
      </c>
      <c r="N53">
        <v>134800</v>
      </c>
      <c r="O53" t="s">
        <v>73</v>
      </c>
      <c r="P53">
        <v>5</v>
      </c>
      <c r="Q53" t="s">
        <v>74</v>
      </c>
    </row>
    <row r="54" spans="1:17" x14ac:dyDescent="0.3">
      <c r="A54" t="s">
        <v>185</v>
      </c>
      <c r="B54" t="s">
        <v>186</v>
      </c>
      <c r="C54" t="s">
        <v>29</v>
      </c>
      <c r="D54" t="s">
        <v>83</v>
      </c>
      <c r="E54">
        <v>53</v>
      </c>
      <c r="F54" t="s">
        <v>77</v>
      </c>
      <c r="G54" t="s">
        <v>78</v>
      </c>
      <c r="H54" t="s">
        <v>32</v>
      </c>
      <c r="I54" t="s">
        <v>53</v>
      </c>
      <c r="J54" t="s">
        <v>72</v>
      </c>
      <c r="K54">
        <v>5</v>
      </c>
      <c r="L54">
        <v>28100</v>
      </c>
      <c r="M54">
        <v>0</v>
      </c>
      <c r="N54" t="s">
        <v>187</v>
      </c>
      <c r="O54" t="s">
        <v>35</v>
      </c>
      <c r="P54">
        <v>2</v>
      </c>
      <c r="Q54" t="s">
        <v>74</v>
      </c>
    </row>
    <row r="55" spans="1:17" x14ac:dyDescent="0.3">
      <c r="A55" t="s">
        <v>188</v>
      </c>
      <c r="B55" t="s">
        <v>189</v>
      </c>
      <c r="C55" t="s">
        <v>68</v>
      </c>
      <c r="D55" t="s">
        <v>20</v>
      </c>
      <c r="E55">
        <v>33</v>
      </c>
      <c r="F55" t="s">
        <v>21</v>
      </c>
      <c r="G55" t="s">
        <v>21</v>
      </c>
      <c r="H55" t="s">
        <v>32</v>
      </c>
      <c r="I55" t="s">
        <v>33</v>
      </c>
      <c r="J55" t="s">
        <v>64</v>
      </c>
      <c r="K55">
        <v>7</v>
      </c>
      <c r="L55">
        <v>19400</v>
      </c>
      <c r="M55">
        <v>10</v>
      </c>
      <c r="N55">
        <v>122220</v>
      </c>
      <c r="O55" t="s">
        <v>25</v>
      </c>
      <c r="P55">
        <v>3</v>
      </c>
      <c r="Q55" t="s">
        <v>41</v>
      </c>
    </row>
    <row r="56" spans="1:17" x14ac:dyDescent="0.3">
      <c r="A56" t="s">
        <v>190</v>
      </c>
      <c r="B56" t="s">
        <v>191</v>
      </c>
      <c r="C56" t="s">
        <v>60</v>
      </c>
      <c r="D56" t="s">
        <v>39</v>
      </c>
      <c r="E56">
        <v>59</v>
      </c>
      <c r="F56" t="s">
        <v>77</v>
      </c>
      <c r="G56" t="s">
        <v>78</v>
      </c>
      <c r="H56" t="s">
        <v>22</v>
      </c>
      <c r="I56" t="s">
        <v>84</v>
      </c>
      <c r="J56" t="s">
        <v>24</v>
      </c>
      <c r="K56">
        <v>3</v>
      </c>
      <c r="L56">
        <v>34200</v>
      </c>
      <c r="M56">
        <v>20</v>
      </c>
      <c r="N56">
        <v>82080</v>
      </c>
      <c r="O56" t="s">
        <v>40</v>
      </c>
      <c r="P56">
        <v>4</v>
      </c>
      <c r="Q56" t="s">
        <v>26</v>
      </c>
    </row>
    <row r="57" spans="1:17" x14ac:dyDescent="0.3">
      <c r="A57" t="s">
        <v>192</v>
      </c>
      <c r="B57" t="s">
        <v>193</v>
      </c>
      <c r="C57" t="s">
        <v>68</v>
      </c>
      <c r="D57" t="s">
        <v>83</v>
      </c>
      <c r="E57">
        <v>25</v>
      </c>
      <c r="F57" t="s">
        <v>44</v>
      </c>
      <c r="G57" t="s">
        <v>100</v>
      </c>
      <c r="H57" t="s">
        <v>46</v>
      </c>
      <c r="I57" t="s">
        <v>47</v>
      </c>
      <c r="J57" t="s">
        <v>89</v>
      </c>
      <c r="K57">
        <v>9</v>
      </c>
      <c r="L57">
        <v>42900</v>
      </c>
      <c r="M57">
        <v>5</v>
      </c>
      <c r="N57">
        <v>366795</v>
      </c>
      <c r="O57" t="s">
        <v>73</v>
      </c>
      <c r="P57">
        <v>2</v>
      </c>
      <c r="Q57" t="s">
        <v>26</v>
      </c>
    </row>
    <row r="58" spans="1:17" x14ac:dyDescent="0.3">
      <c r="A58" t="s">
        <v>194</v>
      </c>
      <c r="B58" t="s">
        <v>195</v>
      </c>
      <c r="C58" t="s">
        <v>29</v>
      </c>
      <c r="D58" t="s">
        <v>103</v>
      </c>
      <c r="E58">
        <v>65</v>
      </c>
      <c r="F58" t="s">
        <v>61</v>
      </c>
      <c r="G58" t="s">
        <v>61</v>
      </c>
      <c r="H58" t="s">
        <v>62</v>
      </c>
      <c r="I58" t="s">
        <v>63</v>
      </c>
      <c r="J58" t="s">
        <v>24</v>
      </c>
      <c r="K58">
        <v>2</v>
      </c>
      <c r="L58">
        <v>33400</v>
      </c>
      <c r="M58">
        <v>0</v>
      </c>
      <c r="N58">
        <v>66800</v>
      </c>
      <c r="O58" t="s">
        <v>85</v>
      </c>
      <c r="P58">
        <v>2</v>
      </c>
      <c r="Q58" t="s">
        <v>41</v>
      </c>
    </row>
    <row r="59" spans="1:17" x14ac:dyDescent="0.3">
      <c r="A59" t="s">
        <v>196</v>
      </c>
      <c r="B59" t="s">
        <v>197</v>
      </c>
      <c r="C59" t="s">
        <v>94</v>
      </c>
      <c r="D59" t="s">
        <v>83</v>
      </c>
      <c r="E59">
        <v>34</v>
      </c>
      <c r="F59" t="s">
        <v>30</v>
      </c>
      <c r="G59" t="s">
        <v>31</v>
      </c>
      <c r="H59" t="s">
        <v>46</v>
      </c>
      <c r="I59" t="s">
        <v>47</v>
      </c>
      <c r="J59" t="s">
        <v>89</v>
      </c>
      <c r="K59">
        <v>6</v>
      </c>
      <c r="L59">
        <v>49400</v>
      </c>
      <c r="M59">
        <v>15</v>
      </c>
      <c r="N59">
        <v>251940</v>
      </c>
      <c r="O59" t="s">
        <v>85</v>
      </c>
      <c r="P59">
        <v>4</v>
      </c>
      <c r="Q59" t="s">
        <v>41</v>
      </c>
    </row>
    <row r="60" spans="1:17" x14ac:dyDescent="0.3">
      <c r="A60" t="s">
        <v>198</v>
      </c>
      <c r="B60" t="s">
        <v>199</v>
      </c>
      <c r="C60" t="s">
        <v>88</v>
      </c>
      <c r="D60" t="s">
        <v>103</v>
      </c>
      <c r="E60">
        <v>60</v>
      </c>
      <c r="F60" t="s">
        <v>30</v>
      </c>
      <c r="G60" t="s">
        <v>31</v>
      </c>
      <c r="H60" t="s">
        <v>46</v>
      </c>
      <c r="I60" t="s">
        <v>47</v>
      </c>
      <c r="J60" t="s">
        <v>89</v>
      </c>
      <c r="K60" t="s">
        <v>173</v>
      </c>
      <c r="L60">
        <v>40400</v>
      </c>
      <c r="M60">
        <v>5</v>
      </c>
      <c r="N60">
        <v>76760</v>
      </c>
      <c r="O60" t="s">
        <v>73</v>
      </c>
      <c r="P60">
        <v>1</v>
      </c>
      <c r="Q60" t="s">
        <v>74</v>
      </c>
    </row>
    <row r="61" spans="1:17" x14ac:dyDescent="0.3">
      <c r="A61" t="s">
        <v>200</v>
      </c>
      <c r="B61" t="s">
        <v>201</v>
      </c>
      <c r="C61" t="s">
        <v>88</v>
      </c>
      <c r="D61" t="s">
        <v>39</v>
      </c>
      <c r="E61">
        <v>58</v>
      </c>
      <c r="F61" t="s">
        <v>202</v>
      </c>
      <c r="G61" t="s">
        <v>52</v>
      </c>
      <c r="H61" t="s">
        <v>62</v>
      </c>
      <c r="I61" t="s">
        <v>140</v>
      </c>
      <c r="J61" t="s">
        <v>24</v>
      </c>
      <c r="K61">
        <v>3</v>
      </c>
      <c r="L61">
        <v>26300</v>
      </c>
      <c r="M61">
        <v>25</v>
      </c>
      <c r="N61">
        <v>59175</v>
      </c>
      <c r="O61" t="s">
        <v>35</v>
      </c>
      <c r="P61">
        <v>4</v>
      </c>
      <c r="Q61" t="s">
        <v>26</v>
      </c>
    </row>
    <row r="62" spans="1:17" x14ac:dyDescent="0.3">
      <c r="A62" t="s">
        <v>203</v>
      </c>
      <c r="B62" t="s">
        <v>204</v>
      </c>
      <c r="C62" t="s">
        <v>113</v>
      </c>
      <c r="E62">
        <v>30</v>
      </c>
      <c r="F62" t="s">
        <v>51</v>
      </c>
      <c r="G62" t="s">
        <v>52</v>
      </c>
      <c r="H62" t="s">
        <v>62</v>
      </c>
      <c r="I62" t="s">
        <v>140</v>
      </c>
      <c r="J62" t="s">
        <v>89</v>
      </c>
      <c r="K62">
        <v>3</v>
      </c>
      <c r="L62">
        <v>34900</v>
      </c>
      <c r="M62">
        <v>0</v>
      </c>
      <c r="N62">
        <v>104700</v>
      </c>
      <c r="O62" t="s">
        <v>35</v>
      </c>
      <c r="Q62" t="s">
        <v>65</v>
      </c>
    </row>
    <row r="63" spans="1:17" x14ac:dyDescent="0.3">
      <c r="A63" t="s">
        <v>205</v>
      </c>
      <c r="B63" t="s">
        <v>206</v>
      </c>
      <c r="C63" t="s">
        <v>94</v>
      </c>
      <c r="D63" t="s">
        <v>103</v>
      </c>
      <c r="E63">
        <v>58</v>
      </c>
      <c r="F63" t="s">
        <v>51</v>
      </c>
      <c r="G63" t="s">
        <v>52</v>
      </c>
      <c r="H63" t="s">
        <v>22</v>
      </c>
      <c r="I63" t="s">
        <v>23</v>
      </c>
      <c r="J63" t="s">
        <v>72</v>
      </c>
      <c r="K63">
        <v>3</v>
      </c>
      <c r="L63">
        <v>35900</v>
      </c>
      <c r="M63">
        <v>20</v>
      </c>
      <c r="N63">
        <v>86160</v>
      </c>
      <c r="O63" t="s">
        <v>73</v>
      </c>
      <c r="P63">
        <v>3</v>
      </c>
      <c r="Q63" t="s">
        <v>26</v>
      </c>
    </row>
    <row r="64" spans="1:17" x14ac:dyDescent="0.3">
      <c r="A64" t="s">
        <v>207</v>
      </c>
      <c r="B64" t="s">
        <v>208</v>
      </c>
      <c r="C64" t="s">
        <v>19</v>
      </c>
      <c r="D64" t="s">
        <v>39</v>
      </c>
      <c r="E64">
        <v>39</v>
      </c>
      <c r="F64" t="s">
        <v>77</v>
      </c>
      <c r="G64" t="s">
        <v>95</v>
      </c>
      <c r="H64" t="s">
        <v>46</v>
      </c>
      <c r="I64" t="s">
        <v>47</v>
      </c>
      <c r="J64" t="s">
        <v>89</v>
      </c>
      <c r="K64">
        <v>4</v>
      </c>
      <c r="L64">
        <v>24700</v>
      </c>
      <c r="M64">
        <v>15</v>
      </c>
      <c r="N64">
        <v>83980</v>
      </c>
      <c r="O64" t="s">
        <v>105</v>
      </c>
      <c r="P64">
        <v>3</v>
      </c>
      <c r="Q64" t="s">
        <v>74</v>
      </c>
    </row>
    <row r="65" spans="1:17" x14ac:dyDescent="0.3">
      <c r="A65" t="s">
        <v>209</v>
      </c>
      <c r="B65" t="s">
        <v>210</v>
      </c>
      <c r="C65" t="s">
        <v>94</v>
      </c>
      <c r="D65" t="s">
        <v>83</v>
      </c>
      <c r="E65">
        <v>64</v>
      </c>
      <c r="F65" t="s">
        <v>211</v>
      </c>
      <c r="G65" t="s">
        <v>100</v>
      </c>
      <c r="H65" t="s">
        <v>62</v>
      </c>
      <c r="I65" t="s">
        <v>63</v>
      </c>
      <c r="J65" t="s">
        <v>64</v>
      </c>
      <c r="K65">
        <v>4</v>
      </c>
      <c r="L65">
        <v>49000</v>
      </c>
      <c r="M65">
        <v>0</v>
      </c>
      <c r="N65">
        <v>196000</v>
      </c>
      <c r="O65" t="s">
        <v>162</v>
      </c>
      <c r="P65">
        <v>1</v>
      </c>
      <c r="Q65" t="s">
        <v>26</v>
      </c>
    </row>
    <row r="66" spans="1:17" x14ac:dyDescent="0.3">
      <c r="A66" t="s">
        <v>212</v>
      </c>
      <c r="B66" t="s">
        <v>213</v>
      </c>
      <c r="C66" t="s">
        <v>113</v>
      </c>
      <c r="D66" t="s">
        <v>39</v>
      </c>
      <c r="E66">
        <v>27</v>
      </c>
      <c r="F66" t="s">
        <v>107</v>
      </c>
      <c r="G66" t="s">
        <v>52</v>
      </c>
      <c r="H66" t="s">
        <v>32</v>
      </c>
      <c r="I66" t="s">
        <v>53</v>
      </c>
      <c r="J66" t="s">
        <v>24</v>
      </c>
      <c r="K66">
        <v>6</v>
      </c>
      <c r="L66">
        <v>31900</v>
      </c>
      <c r="M66">
        <v>0</v>
      </c>
      <c r="N66">
        <v>191400</v>
      </c>
      <c r="O66" t="s">
        <v>105</v>
      </c>
      <c r="P66">
        <v>4</v>
      </c>
      <c r="Q66" t="s">
        <v>74</v>
      </c>
    </row>
    <row r="67" spans="1:17" x14ac:dyDescent="0.3">
      <c r="A67" t="s">
        <v>214</v>
      </c>
      <c r="B67" t="s">
        <v>215</v>
      </c>
      <c r="C67" t="s">
        <v>29</v>
      </c>
      <c r="D67" t="s">
        <v>103</v>
      </c>
      <c r="E67">
        <v>44</v>
      </c>
      <c r="F67" t="s">
        <v>77</v>
      </c>
      <c r="G67" t="s">
        <v>78</v>
      </c>
      <c r="H67" t="s">
        <v>62</v>
      </c>
      <c r="I67" t="s">
        <v>63</v>
      </c>
      <c r="J67" t="s">
        <v>89</v>
      </c>
      <c r="K67">
        <v>7</v>
      </c>
      <c r="L67">
        <v>19100</v>
      </c>
      <c r="M67">
        <v>10</v>
      </c>
      <c r="N67">
        <v>120330</v>
      </c>
      <c r="O67" t="s">
        <v>35</v>
      </c>
      <c r="P67">
        <v>3</v>
      </c>
      <c r="Q67" t="s">
        <v>41</v>
      </c>
    </row>
    <row r="68" spans="1:17" x14ac:dyDescent="0.3">
      <c r="A68" t="s">
        <v>216</v>
      </c>
      <c r="B68" t="s">
        <v>217</v>
      </c>
      <c r="C68" t="s">
        <v>29</v>
      </c>
      <c r="D68" t="s">
        <v>20</v>
      </c>
      <c r="E68">
        <v>64</v>
      </c>
      <c r="F68" t="s">
        <v>77</v>
      </c>
      <c r="G68" t="s">
        <v>78</v>
      </c>
      <c r="H68" t="s">
        <v>32</v>
      </c>
      <c r="I68" t="s">
        <v>53</v>
      </c>
      <c r="J68" t="s">
        <v>64</v>
      </c>
      <c r="K68">
        <v>4</v>
      </c>
      <c r="L68">
        <v>13800</v>
      </c>
      <c r="M68">
        <v>20</v>
      </c>
      <c r="N68">
        <v>44160</v>
      </c>
      <c r="O68" t="s">
        <v>40</v>
      </c>
      <c r="P68">
        <v>4</v>
      </c>
      <c r="Q68" t="s">
        <v>65</v>
      </c>
    </row>
    <row r="69" spans="1:17" x14ac:dyDescent="0.3">
      <c r="A69" t="s">
        <v>218</v>
      </c>
      <c r="B69" t="s">
        <v>219</v>
      </c>
      <c r="C69" t="s">
        <v>60</v>
      </c>
      <c r="D69" t="s">
        <v>83</v>
      </c>
      <c r="E69">
        <v>46</v>
      </c>
      <c r="F69" t="s">
        <v>220</v>
      </c>
      <c r="G69" t="s">
        <v>21</v>
      </c>
      <c r="H69" t="s">
        <v>32</v>
      </c>
      <c r="I69" t="s">
        <v>33</v>
      </c>
      <c r="J69" t="s">
        <v>34</v>
      </c>
      <c r="K69">
        <v>3</v>
      </c>
      <c r="L69">
        <v>33700</v>
      </c>
      <c r="M69">
        <v>10</v>
      </c>
      <c r="N69">
        <v>90990</v>
      </c>
      <c r="O69" t="s">
        <v>73</v>
      </c>
      <c r="Q69" t="s">
        <v>26</v>
      </c>
    </row>
    <row r="70" spans="1:17" x14ac:dyDescent="0.3">
      <c r="A70" t="s">
        <v>221</v>
      </c>
      <c r="B70" t="s">
        <v>222</v>
      </c>
      <c r="C70" t="s">
        <v>88</v>
      </c>
      <c r="E70">
        <v>48</v>
      </c>
      <c r="F70" t="s">
        <v>107</v>
      </c>
      <c r="G70" t="s">
        <v>52</v>
      </c>
      <c r="H70" t="s">
        <v>46</v>
      </c>
      <c r="I70" t="s">
        <v>47</v>
      </c>
      <c r="J70" t="s">
        <v>89</v>
      </c>
      <c r="K70">
        <v>10</v>
      </c>
      <c r="L70">
        <v>19900</v>
      </c>
      <c r="M70">
        <v>0</v>
      </c>
      <c r="N70">
        <v>199000</v>
      </c>
      <c r="O70" t="s">
        <v>73</v>
      </c>
      <c r="P70">
        <v>1</v>
      </c>
      <c r="Q70" t="s">
        <v>65</v>
      </c>
    </row>
    <row r="71" spans="1:17" x14ac:dyDescent="0.3">
      <c r="A71" t="s">
        <v>223</v>
      </c>
      <c r="B71" t="s">
        <v>224</v>
      </c>
      <c r="C71" t="s">
        <v>121</v>
      </c>
      <c r="D71" t="s">
        <v>83</v>
      </c>
      <c r="E71">
        <v>51</v>
      </c>
      <c r="F71" t="s">
        <v>30</v>
      </c>
      <c r="G71" t="s">
        <v>57</v>
      </c>
      <c r="H71" t="s">
        <v>46</v>
      </c>
      <c r="I71" t="s">
        <v>79</v>
      </c>
      <c r="J71" t="s">
        <v>34</v>
      </c>
      <c r="K71">
        <v>10</v>
      </c>
      <c r="L71">
        <v>18100</v>
      </c>
      <c r="M71">
        <v>5</v>
      </c>
      <c r="N71">
        <v>171950</v>
      </c>
      <c r="O71" t="s">
        <v>40</v>
      </c>
      <c r="P71">
        <v>5</v>
      </c>
      <c r="Q71" t="s">
        <v>41</v>
      </c>
    </row>
    <row r="72" spans="1:17" x14ac:dyDescent="0.3">
      <c r="A72" t="s">
        <v>225</v>
      </c>
      <c r="B72" t="s">
        <v>226</v>
      </c>
      <c r="C72" t="s">
        <v>71</v>
      </c>
      <c r="D72" t="s">
        <v>20</v>
      </c>
      <c r="E72">
        <v>65</v>
      </c>
      <c r="F72" t="s">
        <v>21</v>
      </c>
      <c r="G72" t="s">
        <v>21</v>
      </c>
      <c r="H72" t="s">
        <v>22</v>
      </c>
      <c r="I72" t="s">
        <v>23</v>
      </c>
      <c r="J72" t="s">
        <v>24</v>
      </c>
      <c r="K72">
        <v>5</v>
      </c>
      <c r="L72">
        <v>21000</v>
      </c>
      <c r="M72">
        <v>10</v>
      </c>
      <c r="N72">
        <v>94500</v>
      </c>
      <c r="O72" t="s">
        <v>162</v>
      </c>
      <c r="P72">
        <v>4</v>
      </c>
      <c r="Q72" t="s">
        <v>74</v>
      </c>
    </row>
    <row r="73" spans="1:17" x14ac:dyDescent="0.3">
      <c r="A73" t="s">
        <v>227</v>
      </c>
      <c r="B73" t="s">
        <v>133</v>
      </c>
      <c r="C73" t="s">
        <v>60</v>
      </c>
      <c r="D73" t="s">
        <v>83</v>
      </c>
      <c r="E73">
        <v>41</v>
      </c>
      <c r="F73" t="s">
        <v>61</v>
      </c>
      <c r="G73" t="s">
        <v>61</v>
      </c>
      <c r="H73" t="s">
        <v>62</v>
      </c>
      <c r="I73" t="s">
        <v>140</v>
      </c>
      <c r="J73" t="s">
        <v>72</v>
      </c>
      <c r="K73">
        <v>3</v>
      </c>
      <c r="L73">
        <v>3000</v>
      </c>
      <c r="M73">
        <v>15</v>
      </c>
      <c r="N73">
        <v>7650</v>
      </c>
      <c r="O73" t="s">
        <v>40</v>
      </c>
      <c r="P73">
        <v>4</v>
      </c>
      <c r="Q73" t="s">
        <v>26</v>
      </c>
    </row>
    <row r="74" spans="1:17" x14ac:dyDescent="0.3">
      <c r="A74" t="s">
        <v>228</v>
      </c>
      <c r="B74" t="s">
        <v>139</v>
      </c>
      <c r="C74" t="s">
        <v>121</v>
      </c>
      <c r="D74" t="s">
        <v>39</v>
      </c>
      <c r="E74">
        <v>21</v>
      </c>
      <c r="F74" t="s">
        <v>61</v>
      </c>
      <c r="G74" t="s">
        <v>61</v>
      </c>
      <c r="H74" t="s">
        <v>46</v>
      </c>
      <c r="I74" t="s">
        <v>47</v>
      </c>
      <c r="J74" t="s">
        <v>89</v>
      </c>
      <c r="K74">
        <v>4</v>
      </c>
      <c r="L74">
        <v>16800</v>
      </c>
      <c r="M74">
        <v>5</v>
      </c>
      <c r="N74">
        <v>63840</v>
      </c>
      <c r="O74" t="s">
        <v>35</v>
      </c>
      <c r="P74">
        <v>2</v>
      </c>
      <c r="Q74" t="s">
        <v>65</v>
      </c>
    </row>
    <row r="75" spans="1:17" x14ac:dyDescent="0.3">
      <c r="A75" t="s">
        <v>229</v>
      </c>
      <c r="B75" t="s">
        <v>230</v>
      </c>
      <c r="C75" t="s">
        <v>121</v>
      </c>
      <c r="D75" t="s">
        <v>103</v>
      </c>
      <c r="E75">
        <v>46</v>
      </c>
      <c r="F75" t="s">
        <v>30</v>
      </c>
      <c r="G75" t="s">
        <v>31</v>
      </c>
      <c r="H75" t="s">
        <v>62</v>
      </c>
      <c r="I75" t="s">
        <v>63</v>
      </c>
      <c r="J75" t="s">
        <v>34</v>
      </c>
      <c r="K75">
        <v>2</v>
      </c>
      <c r="L75">
        <v>34000</v>
      </c>
      <c r="M75">
        <v>10</v>
      </c>
      <c r="N75">
        <v>61200</v>
      </c>
      <c r="O75" t="s">
        <v>105</v>
      </c>
      <c r="P75">
        <v>2</v>
      </c>
      <c r="Q75" t="s">
        <v>65</v>
      </c>
    </row>
    <row r="76" spans="1:17" x14ac:dyDescent="0.3">
      <c r="A76" t="s">
        <v>231</v>
      </c>
      <c r="B76" t="s">
        <v>232</v>
      </c>
      <c r="C76" t="s">
        <v>121</v>
      </c>
      <c r="D76" t="s">
        <v>20</v>
      </c>
      <c r="E76">
        <v>65</v>
      </c>
      <c r="F76" t="s">
        <v>30</v>
      </c>
      <c r="G76" t="s">
        <v>31</v>
      </c>
      <c r="H76" t="s">
        <v>62</v>
      </c>
      <c r="I76" t="s">
        <v>140</v>
      </c>
      <c r="J76" t="s">
        <v>80</v>
      </c>
      <c r="K76">
        <v>10</v>
      </c>
      <c r="L76">
        <v>23200</v>
      </c>
      <c r="M76">
        <v>15</v>
      </c>
      <c r="N76">
        <v>197200</v>
      </c>
      <c r="O76" t="s">
        <v>35</v>
      </c>
      <c r="P76">
        <v>2</v>
      </c>
      <c r="Q76" t="s">
        <v>26</v>
      </c>
    </row>
    <row r="77" spans="1:17" x14ac:dyDescent="0.3">
      <c r="A77" t="s">
        <v>233</v>
      </c>
      <c r="B77" t="s">
        <v>234</v>
      </c>
      <c r="C77" t="s">
        <v>71</v>
      </c>
      <c r="E77">
        <v>26</v>
      </c>
      <c r="F77" t="s">
        <v>51</v>
      </c>
      <c r="G77" t="s">
        <v>52</v>
      </c>
      <c r="H77" t="s">
        <v>32</v>
      </c>
      <c r="I77" t="s">
        <v>33</v>
      </c>
      <c r="J77" t="s">
        <v>89</v>
      </c>
      <c r="K77">
        <v>4</v>
      </c>
      <c r="L77">
        <v>8900</v>
      </c>
      <c r="M77">
        <v>10</v>
      </c>
      <c r="N77">
        <v>32040</v>
      </c>
      <c r="O77" t="s">
        <v>40</v>
      </c>
      <c r="Q77" t="s">
        <v>41</v>
      </c>
    </row>
    <row r="78" spans="1:17" x14ac:dyDescent="0.3">
      <c r="A78" t="s">
        <v>235</v>
      </c>
      <c r="B78" t="s">
        <v>236</v>
      </c>
      <c r="C78" t="s">
        <v>94</v>
      </c>
      <c r="E78">
        <v>19</v>
      </c>
      <c r="F78" t="s">
        <v>21</v>
      </c>
      <c r="G78" t="s">
        <v>21</v>
      </c>
      <c r="H78" t="s">
        <v>22</v>
      </c>
      <c r="I78" t="s">
        <v>84</v>
      </c>
      <c r="J78" t="s">
        <v>72</v>
      </c>
      <c r="K78">
        <v>3</v>
      </c>
      <c r="L78">
        <v>15400</v>
      </c>
      <c r="M78">
        <v>25</v>
      </c>
      <c r="N78">
        <v>34650</v>
      </c>
      <c r="O78" t="s">
        <v>48</v>
      </c>
      <c r="Q78" t="s">
        <v>41</v>
      </c>
    </row>
    <row r="79" spans="1:17" x14ac:dyDescent="0.3">
      <c r="A79" t="s">
        <v>237</v>
      </c>
      <c r="B79" t="s">
        <v>238</v>
      </c>
      <c r="C79" t="s">
        <v>60</v>
      </c>
      <c r="D79" t="s">
        <v>103</v>
      </c>
      <c r="E79">
        <v>40</v>
      </c>
      <c r="F79" t="s">
        <v>30</v>
      </c>
      <c r="G79" t="s">
        <v>31</v>
      </c>
      <c r="H79" t="s">
        <v>22</v>
      </c>
      <c r="I79" t="s">
        <v>84</v>
      </c>
      <c r="J79" t="s">
        <v>34</v>
      </c>
      <c r="K79">
        <v>5</v>
      </c>
      <c r="L79">
        <v>25200</v>
      </c>
      <c r="M79">
        <v>5</v>
      </c>
      <c r="N79">
        <v>119700</v>
      </c>
      <c r="O79" t="s">
        <v>35</v>
      </c>
      <c r="P79">
        <v>1</v>
      </c>
      <c r="Q79" t="s">
        <v>65</v>
      </c>
    </row>
    <row r="80" spans="1:17" x14ac:dyDescent="0.3">
      <c r="A80" t="s">
        <v>239</v>
      </c>
      <c r="B80" t="s">
        <v>240</v>
      </c>
      <c r="C80" t="s">
        <v>88</v>
      </c>
      <c r="D80" t="s">
        <v>39</v>
      </c>
      <c r="E80">
        <v>22</v>
      </c>
      <c r="F80" t="s">
        <v>51</v>
      </c>
      <c r="G80" t="s">
        <v>52</v>
      </c>
      <c r="H80" t="s">
        <v>46</v>
      </c>
      <c r="I80" t="s">
        <v>79</v>
      </c>
      <c r="J80" t="s">
        <v>80</v>
      </c>
      <c r="K80">
        <v>10</v>
      </c>
      <c r="L80">
        <v>14400</v>
      </c>
      <c r="M80">
        <v>10</v>
      </c>
      <c r="N80">
        <v>129600</v>
      </c>
      <c r="O80" t="s">
        <v>25</v>
      </c>
      <c r="P80">
        <v>3</v>
      </c>
      <c r="Q80" t="s">
        <v>65</v>
      </c>
    </row>
    <row r="81" spans="1:17" x14ac:dyDescent="0.3">
      <c r="A81" t="s">
        <v>241</v>
      </c>
      <c r="B81" t="s">
        <v>167</v>
      </c>
      <c r="C81" t="s">
        <v>113</v>
      </c>
      <c r="D81" t="s">
        <v>83</v>
      </c>
      <c r="E81">
        <v>41</v>
      </c>
      <c r="F81" t="s">
        <v>30</v>
      </c>
      <c r="G81" t="s">
        <v>57</v>
      </c>
      <c r="H81" t="s">
        <v>32</v>
      </c>
      <c r="I81" t="s">
        <v>53</v>
      </c>
      <c r="J81" t="s">
        <v>72</v>
      </c>
      <c r="K81">
        <v>3</v>
      </c>
      <c r="L81">
        <v>49700</v>
      </c>
      <c r="M81">
        <v>10</v>
      </c>
      <c r="N81">
        <v>134190</v>
      </c>
      <c r="O81" t="s">
        <v>35</v>
      </c>
      <c r="P81">
        <v>3</v>
      </c>
      <c r="Q81" t="s">
        <v>41</v>
      </c>
    </row>
    <row r="82" spans="1:17" x14ac:dyDescent="0.3">
      <c r="A82" t="s">
        <v>242</v>
      </c>
      <c r="B82" t="s">
        <v>167</v>
      </c>
      <c r="C82" t="s">
        <v>71</v>
      </c>
      <c r="D82" t="s">
        <v>20</v>
      </c>
      <c r="E82">
        <v>40</v>
      </c>
      <c r="F82" t="s">
        <v>21</v>
      </c>
      <c r="G82" t="s">
        <v>21</v>
      </c>
      <c r="H82" t="s">
        <v>22</v>
      </c>
      <c r="I82" t="s">
        <v>84</v>
      </c>
      <c r="J82" t="s">
        <v>80</v>
      </c>
      <c r="K82">
        <v>3</v>
      </c>
      <c r="L82">
        <v>40000</v>
      </c>
      <c r="M82">
        <v>25</v>
      </c>
      <c r="N82">
        <v>90000</v>
      </c>
      <c r="O82" t="s">
        <v>40</v>
      </c>
      <c r="P82">
        <v>2</v>
      </c>
      <c r="Q82" t="s">
        <v>26</v>
      </c>
    </row>
    <row r="83" spans="1:17" x14ac:dyDescent="0.3">
      <c r="A83" t="s">
        <v>243</v>
      </c>
      <c r="B83" t="s">
        <v>244</v>
      </c>
      <c r="C83" t="s">
        <v>60</v>
      </c>
      <c r="D83" t="s">
        <v>20</v>
      </c>
      <c r="E83">
        <v>55</v>
      </c>
      <c r="F83" t="s">
        <v>44</v>
      </c>
      <c r="G83" t="s">
        <v>45</v>
      </c>
      <c r="H83" t="s">
        <v>46</v>
      </c>
      <c r="I83" t="s">
        <v>79</v>
      </c>
      <c r="J83" t="s">
        <v>64</v>
      </c>
      <c r="K83">
        <v>9</v>
      </c>
      <c r="L83">
        <v>17200</v>
      </c>
      <c r="M83">
        <v>10</v>
      </c>
      <c r="N83">
        <v>139320</v>
      </c>
      <c r="O83" t="s">
        <v>85</v>
      </c>
      <c r="P83">
        <v>5</v>
      </c>
      <c r="Q83" t="s">
        <v>65</v>
      </c>
    </row>
    <row r="84" spans="1:17" x14ac:dyDescent="0.3">
      <c r="A84" t="s">
        <v>245</v>
      </c>
      <c r="B84" t="s">
        <v>246</v>
      </c>
      <c r="C84" t="s">
        <v>71</v>
      </c>
      <c r="D84" t="s">
        <v>103</v>
      </c>
      <c r="E84">
        <v>42</v>
      </c>
      <c r="F84" t="s">
        <v>21</v>
      </c>
      <c r="G84" t="s">
        <v>21</v>
      </c>
      <c r="H84" t="s">
        <v>22</v>
      </c>
      <c r="I84" t="s">
        <v>84</v>
      </c>
      <c r="J84" t="s">
        <v>34</v>
      </c>
      <c r="K84">
        <v>6</v>
      </c>
      <c r="L84">
        <v>7600</v>
      </c>
      <c r="M84">
        <v>0</v>
      </c>
      <c r="N84">
        <v>45600</v>
      </c>
      <c r="O84" t="s">
        <v>25</v>
      </c>
      <c r="Q84" t="s">
        <v>74</v>
      </c>
    </row>
    <row r="85" spans="1:17" x14ac:dyDescent="0.3">
      <c r="A85" t="s">
        <v>247</v>
      </c>
      <c r="B85" t="s">
        <v>248</v>
      </c>
      <c r="C85" t="s">
        <v>68</v>
      </c>
      <c r="D85" t="s">
        <v>83</v>
      </c>
      <c r="E85">
        <v>22</v>
      </c>
      <c r="F85" t="s">
        <v>44</v>
      </c>
      <c r="G85" t="s">
        <v>45</v>
      </c>
      <c r="H85" t="s">
        <v>62</v>
      </c>
      <c r="I85" t="s">
        <v>63</v>
      </c>
      <c r="J85" t="s">
        <v>64</v>
      </c>
      <c r="K85">
        <v>9</v>
      </c>
      <c r="L85">
        <v>32300</v>
      </c>
      <c r="M85">
        <v>5</v>
      </c>
      <c r="N85">
        <v>276165</v>
      </c>
      <c r="O85" t="s">
        <v>85</v>
      </c>
      <c r="Q85" t="s">
        <v>74</v>
      </c>
    </row>
    <row r="86" spans="1:17" x14ac:dyDescent="0.3">
      <c r="A86" t="s">
        <v>249</v>
      </c>
      <c r="B86" t="s">
        <v>250</v>
      </c>
      <c r="C86" t="s">
        <v>29</v>
      </c>
      <c r="E86">
        <v>47</v>
      </c>
      <c r="F86" t="s">
        <v>30</v>
      </c>
      <c r="G86" t="s">
        <v>57</v>
      </c>
      <c r="H86" t="s">
        <v>62</v>
      </c>
      <c r="I86" t="s">
        <v>140</v>
      </c>
      <c r="J86" t="s">
        <v>34</v>
      </c>
      <c r="K86">
        <v>4</v>
      </c>
      <c r="L86">
        <v>8400</v>
      </c>
      <c r="M86">
        <v>20</v>
      </c>
      <c r="N86">
        <v>26880</v>
      </c>
      <c r="O86" t="s">
        <v>35</v>
      </c>
      <c r="P86">
        <v>3</v>
      </c>
      <c r="Q86" t="s">
        <v>41</v>
      </c>
    </row>
    <row r="87" spans="1:17" x14ac:dyDescent="0.3">
      <c r="A87" t="s">
        <v>251</v>
      </c>
      <c r="B87" t="s">
        <v>252</v>
      </c>
      <c r="C87" t="s">
        <v>29</v>
      </c>
      <c r="D87" t="s">
        <v>20</v>
      </c>
      <c r="E87">
        <v>34</v>
      </c>
      <c r="F87" t="s">
        <v>61</v>
      </c>
      <c r="G87" t="s">
        <v>61</v>
      </c>
      <c r="H87" t="s">
        <v>62</v>
      </c>
      <c r="I87" t="s">
        <v>63</v>
      </c>
      <c r="J87" t="s">
        <v>64</v>
      </c>
      <c r="K87">
        <v>1</v>
      </c>
      <c r="L87">
        <v>3700</v>
      </c>
      <c r="M87">
        <v>25</v>
      </c>
      <c r="N87">
        <v>2775</v>
      </c>
      <c r="O87" t="s">
        <v>162</v>
      </c>
      <c r="P87">
        <v>5</v>
      </c>
      <c r="Q87" t="s">
        <v>41</v>
      </c>
    </row>
    <row r="88" spans="1:17" x14ac:dyDescent="0.3">
      <c r="A88" t="s">
        <v>253</v>
      </c>
      <c r="B88" t="s">
        <v>254</v>
      </c>
      <c r="C88" t="s">
        <v>19</v>
      </c>
      <c r="E88">
        <v>34</v>
      </c>
      <c r="F88" t="s">
        <v>21</v>
      </c>
      <c r="G88" t="s">
        <v>21</v>
      </c>
      <c r="H88" t="s">
        <v>32</v>
      </c>
      <c r="I88" t="s">
        <v>53</v>
      </c>
      <c r="J88" t="s">
        <v>24</v>
      </c>
      <c r="K88">
        <v>4</v>
      </c>
      <c r="L88">
        <v>2200</v>
      </c>
      <c r="M88">
        <v>25</v>
      </c>
      <c r="N88">
        <v>6600</v>
      </c>
      <c r="O88" t="s">
        <v>40</v>
      </c>
      <c r="P88">
        <v>2</v>
      </c>
      <c r="Q88" t="s">
        <v>26</v>
      </c>
    </row>
    <row r="89" spans="1:17" x14ac:dyDescent="0.3">
      <c r="A89" t="s">
        <v>255</v>
      </c>
      <c r="B89" t="s">
        <v>256</v>
      </c>
      <c r="C89" t="s">
        <v>60</v>
      </c>
      <c r="D89" t="s">
        <v>83</v>
      </c>
      <c r="E89">
        <v>51</v>
      </c>
      <c r="F89" t="s">
        <v>51</v>
      </c>
      <c r="G89" t="s">
        <v>52</v>
      </c>
      <c r="H89" t="s">
        <v>32</v>
      </c>
      <c r="I89" t="s">
        <v>53</v>
      </c>
      <c r="J89" t="s">
        <v>34</v>
      </c>
      <c r="K89">
        <v>5</v>
      </c>
      <c r="L89">
        <v>6400</v>
      </c>
      <c r="M89">
        <v>5</v>
      </c>
      <c r="N89">
        <v>30400</v>
      </c>
      <c r="O89" t="s">
        <v>105</v>
      </c>
      <c r="P89">
        <v>1</v>
      </c>
      <c r="Q89" t="s">
        <v>65</v>
      </c>
    </row>
    <row r="90" spans="1:17" x14ac:dyDescent="0.3">
      <c r="A90" t="s">
        <v>257</v>
      </c>
      <c r="B90" t="s">
        <v>258</v>
      </c>
      <c r="C90" t="s">
        <v>38</v>
      </c>
      <c r="D90" t="s">
        <v>103</v>
      </c>
      <c r="E90">
        <v>34</v>
      </c>
      <c r="F90" t="s">
        <v>77</v>
      </c>
      <c r="G90" t="s">
        <v>95</v>
      </c>
      <c r="H90" t="s">
        <v>46</v>
      </c>
      <c r="I90" t="s">
        <v>47</v>
      </c>
      <c r="J90" t="s">
        <v>80</v>
      </c>
      <c r="K90">
        <v>10</v>
      </c>
      <c r="L90">
        <v>7500</v>
      </c>
      <c r="M90">
        <v>10</v>
      </c>
      <c r="N90">
        <v>67500</v>
      </c>
      <c r="O90" t="s">
        <v>73</v>
      </c>
      <c r="Q90" t="s">
        <v>41</v>
      </c>
    </row>
    <row r="91" spans="1:17" x14ac:dyDescent="0.3">
      <c r="A91" t="s">
        <v>259</v>
      </c>
      <c r="B91" t="s">
        <v>260</v>
      </c>
      <c r="C91" t="s">
        <v>88</v>
      </c>
      <c r="D91" t="s">
        <v>103</v>
      </c>
      <c r="E91">
        <v>22</v>
      </c>
      <c r="F91" t="s">
        <v>51</v>
      </c>
      <c r="G91" t="s">
        <v>104</v>
      </c>
      <c r="H91" t="s">
        <v>62</v>
      </c>
      <c r="I91" t="s">
        <v>63</v>
      </c>
      <c r="J91" t="s">
        <v>24</v>
      </c>
      <c r="K91">
        <v>1</v>
      </c>
      <c r="L91">
        <v>2300</v>
      </c>
      <c r="M91">
        <v>10</v>
      </c>
      <c r="N91">
        <v>2070</v>
      </c>
      <c r="O91" t="s">
        <v>40</v>
      </c>
      <c r="Q91" t="s">
        <v>74</v>
      </c>
    </row>
    <row r="92" spans="1:17" x14ac:dyDescent="0.3">
      <c r="A92" t="s">
        <v>261</v>
      </c>
      <c r="B92" t="s">
        <v>262</v>
      </c>
      <c r="C92" t="s">
        <v>71</v>
      </c>
      <c r="E92">
        <v>55</v>
      </c>
      <c r="F92" t="s">
        <v>77</v>
      </c>
      <c r="G92" t="s">
        <v>95</v>
      </c>
      <c r="H92" t="s">
        <v>116</v>
      </c>
      <c r="I92" t="s">
        <v>84</v>
      </c>
      <c r="J92" t="s">
        <v>89</v>
      </c>
      <c r="K92">
        <v>4</v>
      </c>
      <c r="L92">
        <v>36400</v>
      </c>
      <c r="M92">
        <v>15</v>
      </c>
      <c r="N92">
        <v>123760</v>
      </c>
      <c r="O92" t="s">
        <v>48</v>
      </c>
      <c r="Q92" t="s">
        <v>26</v>
      </c>
    </row>
    <row r="93" spans="1:17" x14ac:dyDescent="0.3">
      <c r="A93" t="s">
        <v>263</v>
      </c>
      <c r="B93" t="s">
        <v>264</v>
      </c>
      <c r="C93" t="s">
        <v>29</v>
      </c>
      <c r="D93" t="s">
        <v>20</v>
      </c>
      <c r="E93">
        <v>61</v>
      </c>
      <c r="F93" t="s">
        <v>44</v>
      </c>
      <c r="G93" t="s">
        <v>100</v>
      </c>
      <c r="H93" t="s">
        <v>32</v>
      </c>
      <c r="I93" t="s">
        <v>53</v>
      </c>
      <c r="J93" t="s">
        <v>72</v>
      </c>
      <c r="K93">
        <v>8</v>
      </c>
      <c r="L93">
        <v>8300</v>
      </c>
      <c r="M93">
        <v>10</v>
      </c>
      <c r="N93" t="s">
        <v>265</v>
      </c>
      <c r="O93" t="s">
        <v>40</v>
      </c>
      <c r="P93">
        <v>3</v>
      </c>
      <c r="Q93" t="s">
        <v>74</v>
      </c>
    </row>
    <row r="94" spans="1:17" x14ac:dyDescent="0.3">
      <c r="A94" t="s">
        <v>266</v>
      </c>
      <c r="B94" t="s">
        <v>267</v>
      </c>
      <c r="C94" t="s">
        <v>71</v>
      </c>
      <c r="D94" t="s">
        <v>83</v>
      </c>
      <c r="E94">
        <v>65</v>
      </c>
      <c r="F94" t="s">
        <v>44</v>
      </c>
      <c r="G94" t="s">
        <v>45</v>
      </c>
      <c r="H94" t="s">
        <v>46</v>
      </c>
      <c r="I94" t="s">
        <v>47</v>
      </c>
      <c r="J94" t="s">
        <v>34</v>
      </c>
      <c r="K94">
        <v>6</v>
      </c>
      <c r="L94">
        <v>14600</v>
      </c>
      <c r="M94">
        <v>0</v>
      </c>
      <c r="N94">
        <v>87600</v>
      </c>
      <c r="O94" t="s">
        <v>105</v>
      </c>
      <c r="Q94" t="s">
        <v>65</v>
      </c>
    </row>
    <row r="95" spans="1:17" x14ac:dyDescent="0.3">
      <c r="A95" t="s">
        <v>268</v>
      </c>
      <c r="B95" t="s">
        <v>269</v>
      </c>
      <c r="C95" t="s">
        <v>29</v>
      </c>
      <c r="D95" t="s">
        <v>83</v>
      </c>
      <c r="E95">
        <v>49</v>
      </c>
      <c r="F95" t="s">
        <v>44</v>
      </c>
      <c r="G95" t="s">
        <v>100</v>
      </c>
      <c r="H95" t="s">
        <v>62</v>
      </c>
      <c r="I95" t="s">
        <v>63</v>
      </c>
      <c r="J95" t="s">
        <v>89</v>
      </c>
      <c r="K95">
        <v>4</v>
      </c>
      <c r="L95">
        <v>48200</v>
      </c>
      <c r="M95">
        <v>10</v>
      </c>
      <c r="N95">
        <v>173520</v>
      </c>
      <c r="O95" t="s">
        <v>73</v>
      </c>
      <c r="P95">
        <v>5</v>
      </c>
      <c r="Q95" t="s">
        <v>41</v>
      </c>
    </row>
    <row r="96" spans="1:17" x14ac:dyDescent="0.3">
      <c r="A96" t="s">
        <v>270</v>
      </c>
      <c r="B96" t="s">
        <v>271</v>
      </c>
      <c r="C96" t="s">
        <v>60</v>
      </c>
      <c r="D96" t="s">
        <v>39</v>
      </c>
      <c r="E96">
        <v>33</v>
      </c>
      <c r="F96" t="s">
        <v>21</v>
      </c>
      <c r="G96" t="s">
        <v>21</v>
      </c>
      <c r="H96" t="s">
        <v>46</v>
      </c>
      <c r="I96" t="s">
        <v>47</v>
      </c>
      <c r="J96" t="s">
        <v>80</v>
      </c>
      <c r="K96">
        <v>5</v>
      </c>
      <c r="L96">
        <v>12300</v>
      </c>
      <c r="M96">
        <v>10</v>
      </c>
      <c r="N96">
        <v>55350</v>
      </c>
      <c r="O96" t="s">
        <v>25</v>
      </c>
      <c r="P96">
        <v>5</v>
      </c>
      <c r="Q96" t="s">
        <v>74</v>
      </c>
    </row>
    <row r="97" spans="1:17" x14ac:dyDescent="0.3">
      <c r="A97" t="s">
        <v>272</v>
      </c>
      <c r="B97" t="s">
        <v>183</v>
      </c>
      <c r="C97" t="s">
        <v>19</v>
      </c>
      <c r="D97" t="s">
        <v>39</v>
      </c>
      <c r="E97">
        <v>65</v>
      </c>
      <c r="F97" t="s">
        <v>21</v>
      </c>
      <c r="G97" t="s">
        <v>21</v>
      </c>
      <c r="H97" t="s">
        <v>62</v>
      </c>
      <c r="I97" t="s">
        <v>140</v>
      </c>
      <c r="J97" t="s">
        <v>80</v>
      </c>
      <c r="K97">
        <v>10</v>
      </c>
      <c r="L97">
        <v>6500</v>
      </c>
      <c r="M97">
        <v>5</v>
      </c>
      <c r="N97">
        <v>61750</v>
      </c>
      <c r="O97" t="s">
        <v>48</v>
      </c>
      <c r="P97">
        <v>4</v>
      </c>
      <c r="Q97" t="s">
        <v>41</v>
      </c>
    </row>
    <row r="98" spans="1:17" x14ac:dyDescent="0.3">
      <c r="A98" t="s">
        <v>273</v>
      </c>
      <c r="B98" t="s">
        <v>274</v>
      </c>
      <c r="C98" t="s">
        <v>19</v>
      </c>
      <c r="D98" t="s">
        <v>83</v>
      </c>
      <c r="E98">
        <v>52</v>
      </c>
      <c r="F98" t="s">
        <v>44</v>
      </c>
      <c r="G98" t="s">
        <v>45</v>
      </c>
      <c r="H98" t="s">
        <v>46</v>
      </c>
      <c r="I98" t="s">
        <v>79</v>
      </c>
      <c r="J98" t="s">
        <v>24</v>
      </c>
      <c r="K98">
        <v>9</v>
      </c>
      <c r="L98">
        <v>39600</v>
      </c>
      <c r="M98">
        <v>0</v>
      </c>
      <c r="N98">
        <v>356400</v>
      </c>
      <c r="O98" t="s">
        <v>48</v>
      </c>
      <c r="P98">
        <v>3</v>
      </c>
      <c r="Q98" t="s">
        <v>65</v>
      </c>
    </row>
    <row r="99" spans="1:17" x14ac:dyDescent="0.3">
      <c r="A99" t="s">
        <v>275</v>
      </c>
      <c r="B99" t="s">
        <v>276</v>
      </c>
      <c r="C99" t="s">
        <v>71</v>
      </c>
      <c r="D99" t="s">
        <v>39</v>
      </c>
      <c r="E99">
        <v>150</v>
      </c>
      <c r="F99" t="s">
        <v>277</v>
      </c>
      <c r="G99" t="s">
        <v>45</v>
      </c>
      <c r="H99" t="s">
        <v>22</v>
      </c>
      <c r="I99" t="s">
        <v>84</v>
      </c>
      <c r="J99" t="s">
        <v>34</v>
      </c>
      <c r="K99" t="s">
        <v>278</v>
      </c>
      <c r="L99">
        <v>29400</v>
      </c>
      <c r="M99">
        <v>0</v>
      </c>
      <c r="N99">
        <v>264600</v>
      </c>
      <c r="O99" t="s">
        <v>40</v>
      </c>
      <c r="P99">
        <v>5</v>
      </c>
      <c r="Q99" t="s">
        <v>65</v>
      </c>
    </row>
    <row r="100" spans="1:17" x14ac:dyDescent="0.3">
      <c r="A100" t="s">
        <v>279</v>
      </c>
      <c r="B100" t="s">
        <v>280</v>
      </c>
      <c r="C100" t="s">
        <v>29</v>
      </c>
      <c r="D100" t="s">
        <v>103</v>
      </c>
      <c r="E100">
        <v>65</v>
      </c>
      <c r="F100" t="s">
        <v>61</v>
      </c>
      <c r="G100" t="s">
        <v>61</v>
      </c>
      <c r="H100" t="s">
        <v>62</v>
      </c>
      <c r="I100" t="s">
        <v>140</v>
      </c>
      <c r="J100" t="s">
        <v>34</v>
      </c>
      <c r="K100">
        <v>4</v>
      </c>
      <c r="L100">
        <v>30400</v>
      </c>
      <c r="M100">
        <v>10</v>
      </c>
      <c r="N100" t="s">
        <v>281</v>
      </c>
      <c r="O100" t="s">
        <v>48</v>
      </c>
      <c r="P100">
        <v>1</v>
      </c>
      <c r="Q100" t="s">
        <v>41</v>
      </c>
    </row>
    <row r="101" spans="1:17" x14ac:dyDescent="0.3">
      <c r="A101" t="s">
        <v>282</v>
      </c>
      <c r="B101" t="s">
        <v>283</v>
      </c>
      <c r="C101" t="s">
        <v>29</v>
      </c>
      <c r="E101">
        <v>19</v>
      </c>
      <c r="F101" t="s">
        <v>21</v>
      </c>
      <c r="G101" t="s">
        <v>21</v>
      </c>
      <c r="H101" t="s">
        <v>22</v>
      </c>
      <c r="I101" t="s">
        <v>84</v>
      </c>
      <c r="J101" t="s">
        <v>80</v>
      </c>
      <c r="K101">
        <v>2</v>
      </c>
      <c r="L101">
        <v>49500</v>
      </c>
      <c r="M101">
        <v>10</v>
      </c>
      <c r="N101">
        <v>89100</v>
      </c>
      <c r="O101" t="s">
        <v>25</v>
      </c>
      <c r="Q101" t="s">
        <v>41</v>
      </c>
    </row>
    <row r="102" spans="1:17" x14ac:dyDescent="0.3">
      <c r="A102" t="s">
        <v>284</v>
      </c>
      <c r="B102" t="s">
        <v>285</v>
      </c>
      <c r="C102" t="s">
        <v>19</v>
      </c>
      <c r="D102" t="s">
        <v>39</v>
      </c>
      <c r="E102">
        <v>50</v>
      </c>
      <c r="F102" t="s">
        <v>61</v>
      </c>
      <c r="G102" t="s">
        <v>61</v>
      </c>
      <c r="H102" t="s">
        <v>46</v>
      </c>
      <c r="I102" t="s">
        <v>47</v>
      </c>
      <c r="J102" t="s">
        <v>34</v>
      </c>
      <c r="K102">
        <v>1</v>
      </c>
      <c r="L102">
        <v>10800</v>
      </c>
      <c r="M102">
        <v>0</v>
      </c>
      <c r="N102">
        <v>10800</v>
      </c>
      <c r="O102" t="s">
        <v>40</v>
      </c>
      <c r="P102">
        <v>5</v>
      </c>
      <c r="Q102" t="s">
        <v>41</v>
      </c>
    </row>
    <row r="103" spans="1:17" x14ac:dyDescent="0.3">
      <c r="A103" t="s">
        <v>286</v>
      </c>
      <c r="B103" t="s">
        <v>287</v>
      </c>
      <c r="C103" t="s">
        <v>94</v>
      </c>
      <c r="E103">
        <v>32</v>
      </c>
      <c r="F103" t="s">
        <v>61</v>
      </c>
      <c r="G103" t="s">
        <v>61</v>
      </c>
      <c r="H103" t="s">
        <v>46</v>
      </c>
      <c r="I103" t="s">
        <v>79</v>
      </c>
      <c r="J103" t="s">
        <v>24</v>
      </c>
      <c r="K103">
        <v>2</v>
      </c>
      <c r="L103">
        <v>2400</v>
      </c>
      <c r="M103">
        <v>15</v>
      </c>
      <c r="N103">
        <v>4080</v>
      </c>
      <c r="O103" t="s">
        <v>105</v>
      </c>
      <c r="Q103" t="s">
        <v>65</v>
      </c>
    </row>
    <row r="104" spans="1:17" x14ac:dyDescent="0.3">
      <c r="A104" t="s">
        <v>288</v>
      </c>
      <c r="B104" t="s">
        <v>289</v>
      </c>
      <c r="C104" t="s">
        <v>71</v>
      </c>
      <c r="E104">
        <v>36</v>
      </c>
      <c r="F104" t="s">
        <v>21</v>
      </c>
      <c r="G104" t="s">
        <v>21</v>
      </c>
      <c r="H104" t="s">
        <v>22</v>
      </c>
      <c r="I104" t="s">
        <v>23</v>
      </c>
      <c r="J104" t="s">
        <v>34</v>
      </c>
      <c r="K104">
        <v>7</v>
      </c>
      <c r="L104">
        <v>11800</v>
      </c>
      <c r="M104">
        <v>25</v>
      </c>
      <c r="N104">
        <v>61950</v>
      </c>
      <c r="O104" t="s">
        <v>85</v>
      </c>
      <c r="Q104" t="s">
        <v>41</v>
      </c>
    </row>
    <row r="105" spans="1:17" x14ac:dyDescent="0.3">
      <c r="A105" t="s">
        <v>290</v>
      </c>
      <c r="B105" t="s">
        <v>291</v>
      </c>
      <c r="C105" t="s">
        <v>19</v>
      </c>
      <c r="D105" t="s">
        <v>20</v>
      </c>
      <c r="E105">
        <v>48</v>
      </c>
      <c r="F105" t="s">
        <v>77</v>
      </c>
      <c r="G105" t="s">
        <v>78</v>
      </c>
      <c r="H105" t="s">
        <v>62</v>
      </c>
      <c r="I105" t="s">
        <v>63</v>
      </c>
      <c r="J105" t="s">
        <v>64</v>
      </c>
      <c r="K105">
        <v>3</v>
      </c>
      <c r="L105">
        <v>47400</v>
      </c>
      <c r="M105">
        <v>0</v>
      </c>
      <c r="N105">
        <v>142200</v>
      </c>
      <c r="O105" t="s">
        <v>25</v>
      </c>
      <c r="Q105" t="s">
        <v>74</v>
      </c>
    </row>
    <row r="106" spans="1:17" x14ac:dyDescent="0.3">
      <c r="A106" t="s">
        <v>292</v>
      </c>
      <c r="B106" t="s">
        <v>293</v>
      </c>
      <c r="C106" t="s">
        <v>60</v>
      </c>
      <c r="E106">
        <v>58</v>
      </c>
      <c r="F106" t="s">
        <v>61</v>
      </c>
      <c r="G106" t="s">
        <v>61</v>
      </c>
      <c r="H106" t="s">
        <v>32</v>
      </c>
      <c r="I106" t="s">
        <v>33</v>
      </c>
      <c r="J106" t="s">
        <v>89</v>
      </c>
      <c r="K106">
        <v>8</v>
      </c>
      <c r="L106">
        <v>13100</v>
      </c>
      <c r="M106">
        <v>25</v>
      </c>
      <c r="N106">
        <v>78600</v>
      </c>
      <c r="O106" t="s">
        <v>105</v>
      </c>
      <c r="Q106" t="s">
        <v>74</v>
      </c>
    </row>
    <row r="107" spans="1:17" x14ac:dyDescent="0.3">
      <c r="A107" t="s">
        <v>294</v>
      </c>
      <c r="B107" t="s">
        <v>295</v>
      </c>
      <c r="C107" t="s">
        <v>94</v>
      </c>
      <c r="D107" t="s">
        <v>39</v>
      </c>
      <c r="E107">
        <v>32</v>
      </c>
      <c r="F107" t="s">
        <v>61</v>
      </c>
      <c r="G107" t="s">
        <v>61</v>
      </c>
      <c r="H107" t="s">
        <v>46</v>
      </c>
      <c r="I107" t="s">
        <v>79</v>
      </c>
      <c r="J107" t="s">
        <v>24</v>
      </c>
      <c r="K107">
        <v>8</v>
      </c>
      <c r="L107">
        <v>31300</v>
      </c>
      <c r="M107">
        <v>10</v>
      </c>
      <c r="N107">
        <v>225360</v>
      </c>
      <c r="O107" t="s">
        <v>73</v>
      </c>
      <c r="P107">
        <v>4</v>
      </c>
      <c r="Q107" t="s">
        <v>74</v>
      </c>
    </row>
    <row r="108" spans="1:17" x14ac:dyDescent="0.3">
      <c r="A108" t="s">
        <v>296</v>
      </c>
      <c r="B108" t="s">
        <v>297</v>
      </c>
      <c r="C108" t="s">
        <v>29</v>
      </c>
      <c r="D108" t="s">
        <v>103</v>
      </c>
      <c r="E108">
        <v>22</v>
      </c>
      <c r="F108" t="s">
        <v>51</v>
      </c>
      <c r="G108" t="s">
        <v>52</v>
      </c>
      <c r="H108" t="s">
        <v>22</v>
      </c>
      <c r="I108" t="s">
        <v>23</v>
      </c>
      <c r="J108" t="s">
        <v>72</v>
      </c>
      <c r="K108">
        <v>1</v>
      </c>
      <c r="L108">
        <v>39900</v>
      </c>
      <c r="M108">
        <v>20</v>
      </c>
      <c r="N108">
        <v>31920</v>
      </c>
      <c r="O108" t="s">
        <v>25</v>
      </c>
      <c r="P108">
        <v>3</v>
      </c>
      <c r="Q108" t="s">
        <v>26</v>
      </c>
    </row>
    <row r="109" spans="1:17" x14ac:dyDescent="0.3">
      <c r="A109" t="s">
        <v>298</v>
      </c>
      <c r="B109" t="s">
        <v>299</v>
      </c>
      <c r="C109" t="s">
        <v>88</v>
      </c>
      <c r="D109" t="s">
        <v>39</v>
      </c>
      <c r="E109">
        <v>57</v>
      </c>
      <c r="F109" t="s">
        <v>61</v>
      </c>
      <c r="G109" t="s">
        <v>61</v>
      </c>
      <c r="H109" t="s">
        <v>62</v>
      </c>
      <c r="I109" t="s">
        <v>140</v>
      </c>
      <c r="J109" t="s">
        <v>34</v>
      </c>
      <c r="K109">
        <v>7</v>
      </c>
      <c r="L109">
        <v>4700</v>
      </c>
      <c r="M109">
        <v>15</v>
      </c>
      <c r="N109">
        <v>27965</v>
      </c>
      <c r="O109" t="s">
        <v>25</v>
      </c>
      <c r="Q109" t="s">
        <v>41</v>
      </c>
    </row>
    <row r="110" spans="1:17" x14ac:dyDescent="0.3">
      <c r="A110" t="s">
        <v>300</v>
      </c>
      <c r="B110" t="s">
        <v>301</v>
      </c>
      <c r="C110" t="s">
        <v>71</v>
      </c>
      <c r="E110">
        <v>47</v>
      </c>
      <c r="F110" t="s">
        <v>77</v>
      </c>
      <c r="G110" t="s">
        <v>78</v>
      </c>
      <c r="H110" t="s">
        <v>46</v>
      </c>
      <c r="I110" t="s">
        <v>79</v>
      </c>
      <c r="J110" t="s">
        <v>80</v>
      </c>
      <c r="K110">
        <v>1</v>
      </c>
      <c r="L110">
        <v>37900</v>
      </c>
      <c r="M110">
        <v>25</v>
      </c>
      <c r="N110">
        <v>28425</v>
      </c>
      <c r="O110" t="s">
        <v>35</v>
      </c>
      <c r="P110">
        <v>1</v>
      </c>
      <c r="Q110" t="s">
        <v>41</v>
      </c>
    </row>
    <row r="111" spans="1:17" x14ac:dyDescent="0.3">
      <c r="A111" t="s">
        <v>302</v>
      </c>
      <c r="B111" t="s">
        <v>303</v>
      </c>
      <c r="C111" t="s">
        <v>113</v>
      </c>
      <c r="D111" t="s">
        <v>83</v>
      </c>
      <c r="E111">
        <v>63</v>
      </c>
      <c r="F111" t="s">
        <v>44</v>
      </c>
      <c r="G111" t="s">
        <v>100</v>
      </c>
      <c r="H111" t="s">
        <v>62</v>
      </c>
      <c r="I111" t="s">
        <v>140</v>
      </c>
      <c r="J111" t="s">
        <v>64</v>
      </c>
      <c r="K111">
        <v>4</v>
      </c>
      <c r="L111">
        <v>2100</v>
      </c>
      <c r="M111">
        <v>20</v>
      </c>
      <c r="N111">
        <v>6720</v>
      </c>
      <c r="O111" t="s">
        <v>35</v>
      </c>
      <c r="Q111" t="s">
        <v>41</v>
      </c>
    </row>
    <row r="112" spans="1:17" x14ac:dyDescent="0.3">
      <c r="A112" t="s">
        <v>304</v>
      </c>
      <c r="B112" t="s">
        <v>208</v>
      </c>
      <c r="C112" t="s">
        <v>19</v>
      </c>
      <c r="E112">
        <v>47</v>
      </c>
      <c r="F112" t="s">
        <v>77</v>
      </c>
      <c r="G112" t="s">
        <v>95</v>
      </c>
      <c r="H112" t="s">
        <v>22</v>
      </c>
      <c r="I112" t="s">
        <v>84</v>
      </c>
      <c r="J112" t="s">
        <v>64</v>
      </c>
      <c r="K112">
        <v>2</v>
      </c>
      <c r="L112">
        <v>18200</v>
      </c>
      <c r="M112">
        <v>5</v>
      </c>
      <c r="N112">
        <v>34580</v>
      </c>
      <c r="O112" t="s">
        <v>40</v>
      </c>
      <c r="P112">
        <v>2</v>
      </c>
      <c r="Q112" t="s">
        <v>26</v>
      </c>
    </row>
    <row r="113" spans="1:17" x14ac:dyDescent="0.3">
      <c r="A113" t="s">
        <v>305</v>
      </c>
      <c r="B113" t="s">
        <v>306</v>
      </c>
      <c r="C113" t="s">
        <v>38</v>
      </c>
      <c r="D113" t="s">
        <v>39</v>
      </c>
      <c r="E113">
        <v>51</v>
      </c>
      <c r="F113" t="s">
        <v>44</v>
      </c>
      <c r="G113" t="s">
        <v>45</v>
      </c>
      <c r="H113" t="s">
        <v>22</v>
      </c>
      <c r="I113" t="s">
        <v>84</v>
      </c>
      <c r="J113" t="s">
        <v>89</v>
      </c>
      <c r="K113">
        <v>7</v>
      </c>
      <c r="L113">
        <v>5800</v>
      </c>
      <c r="M113">
        <v>5</v>
      </c>
      <c r="N113">
        <v>38570</v>
      </c>
      <c r="O113" t="s">
        <v>48</v>
      </c>
      <c r="P113">
        <v>4</v>
      </c>
      <c r="Q113" t="s">
        <v>26</v>
      </c>
    </row>
    <row r="114" spans="1:17" x14ac:dyDescent="0.3">
      <c r="A114" t="s">
        <v>307</v>
      </c>
      <c r="B114" t="s">
        <v>308</v>
      </c>
      <c r="C114" t="s">
        <v>88</v>
      </c>
      <c r="D114" t="s">
        <v>83</v>
      </c>
      <c r="E114">
        <v>49</v>
      </c>
      <c r="F114" t="s">
        <v>44</v>
      </c>
      <c r="G114" t="s">
        <v>100</v>
      </c>
      <c r="H114" t="s">
        <v>32</v>
      </c>
      <c r="I114" t="s">
        <v>33</v>
      </c>
      <c r="J114" t="s">
        <v>34</v>
      </c>
      <c r="K114">
        <v>3</v>
      </c>
      <c r="L114">
        <v>10800</v>
      </c>
      <c r="M114">
        <v>25</v>
      </c>
      <c r="N114">
        <v>24300</v>
      </c>
      <c r="O114" t="s">
        <v>35</v>
      </c>
      <c r="Q114" t="s">
        <v>41</v>
      </c>
    </row>
    <row r="115" spans="1:17" x14ac:dyDescent="0.3">
      <c r="A115" t="s">
        <v>309</v>
      </c>
      <c r="B115" t="s">
        <v>139</v>
      </c>
      <c r="C115" t="s">
        <v>88</v>
      </c>
      <c r="D115" t="s">
        <v>20</v>
      </c>
      <c r="E115">
        <v>32</v>
      </c>
      <c r="F115" t="s">
        <v>30</v>
      </c>
      <c r="G115" t="s">
        <v>57</v>
      </c>
      <c r="H115" t="s">
        <v>46</v>
      </c>
      <c r="I115" t="s">
        <v>79</v>
      </c>
      <c r="J115" t="s">
        <v>64</v>
      </c>
      <c r="K115">
        <v>8</v>
      </c>
      <c r="L115">
        <v>34500</v>
      </c>
      <c r="M115">
        <v>20</v>
      </c>
      <c r="N115">
        <v>220800</v>
      </c>
      <c r="O115" t="s">
        <v>85</v>
      </c>
      <c r="P115">
        <v>1</v>
      </c>
      <c r="Q115" t="s">
        <v>65</v>
      </c>
    </row>
    <row r="116" spans="1:17" x14ac:dyDescent="0.3">
      <c r="A116" t="s">
        <v>310</v>
      </c>
      <c r="B116" t="s">
        <v>311</v>
      </c>
      <c r="C116" t="s">
        <v>68</v>
      </c>
      <c r="D116" t="s">
        <v>103</v>
      </c>
      <c r="E116">
        <v>38</v>
      </c>
      <c r="F116" t="s">
        <v>61</v>
      </c>
      <c r="G116" t="s">
        <v>61</v>
      </c>
      <c r="H116" t="s">
        <v>22</v>
      </c>
      <c r="I116" t="s">
        <v>23</v>
      </c>
      <c r="J116" t="s">
        <v>80</v>
      </c>
      <c r="K116">
        <v>9</v>
      </c>
      <c r="L116">
        <v>50000</v>
      </c>
      <c r="M116">
        <v>10</v>
      </c>
      <c r="N116">
        <v>405000</v>
      </c>
      <c r="O116" t="s">
        <v>85</v>
      </c>
      <c r="P116">
        <v>3</v>
      </c>
      <c r="Q116" t="s">
        <v>26</v>
      </c>
    </row>
    <row r="117" spans="1:17" x14ac:dyDescent="0.3">
      <c r="A117" t="s">
        <v>312</v>
      </c>
      <c r="B117" t="s">
        <v>313</v>
      </c>
      <c r="C117" t="s">
        <v>29</v>
      </c>
      <c r="D117" t="s">
        <v>83</v>
      </c>
      <c r="E117">
        <v>-3</v>
      </c>
      <c r="F117" t="s">
        <v>30</v>
      </c>
      <c r="G117" t="s">
        <v>31</v>
      </c>
      <c r="H117" t="s">
        <v>22</v>
      </c>
      <c r="I117" t="s">
        <v>84</v>
      </c>
      <c r="J117" t="s">
        <v>89</v>
      </c>
      <c r="K117">
        <v>10</v>
      </c>
      <c r="L117">
        <v>40400</v>
      </c>
      <c r="M117">
        <v>15</v>
      </c>
      <c r="N117">
        <v>343400</v>
      </c>
      <c r="O117" t="s">
        <v>73</v>
      </c>
      <c r="P117">
        <v>1</v>
      </c>
      <c r="Q117" t="s">
        <v>74</v>
      </c>
    </row>
    <row r="118" spans="1:17" x14ac:dyDescent="0.3">
      <c r="A118" t="s">
        <v>314</v>
      </c>
      <c r="B118" t="s">
        <v>315</v>
      </c>
      <c r="C118" t="s">
        <v>68</v>
      </c>
      <c r="D118" t="s">
        <v>20</v>
      </c>
      <c r="E118">
        <v>60</v>
      </c>
      <c r="F118" t="s">
        <v>30</v>
      </c>
      <c r="G118" t="s">
        <v>57</v>
      </c>
      <c r="H118" t="s">
        <v>22</v>
      </c>
      <c r="I118" t="s">
        <v>23</v>
      </c>
      <c r="J118" t="s">
        <v>72</v>
      </c>
      <c r="K118">
        <v>8</v>
      </c>
      <c r="L118">
        <v>40300</v>
      </c>
      <c r="M118">
        <v>25</v>
      </c>
      <c r="N118">
        <v>241800</v>
      </c>
      <c r="O118" t="s">
        <v>25</v>
      </c>
      <c r="P118">
        <v>1</v>
      </c>
      <c r="Q118" t="s">
        <v>65</v>
      </c>
    </row>
    <row r="119" spans="1:17" x14ac:dyDescent="0.3">
      <c r="A119" t="s">
        <v>316</v>
      </c>
      <c r="B119" t="s">
        <v>317</v>
      </c>
      <c r="C119" t="s">
        <v>94</v>
      </c>
      <c r="D119" t="s">
        <v>83</v>
      </c>
      <c r="E119">
        <v>49</v>
      </c>
      <c r="F119" t="s">
        <v>77</v>
      </c>
      <c r="G119" t="s">
        <v>78</v>
      </c>
      <c r="H119" t="s">
        <v>32</v>
      </c>
      <c r="I119" t="s">
        <v>53</v>
      </c>
      <c r="J119" t="s">
        <v>72</v>
      </c>
      <c r="K119">
        <v>9</v>
      </c>
      <c r="L119">
        <v>18400</v>
      </c>
      <c r="M119">
        <v>20</v>
      </c>
      <c r="N119">
        <v>132480</v>
      </c>
      <c r="O119" t="s">
        <v>162</v>
      </c>
      <c r="P119">
        <v>5</v>
      </c>
      <c r="Q119" t="s">
        <v>26</v>
      </c>
    </row>
    <row r="120" spans="1:17" x14ac:dyDescent="0.3">
      <c r="A120" t="s">
        <v>318</v>
      </c>
      <c r="B120" t="s">
        <v>319</v>
      </c>
      <c r="C120" t="s">
        <v>94</v>
      </c>
      <c r="D120" t="s">
        <v>20</v>
      </c>
      <c r="E120">
        <v>56</v>
      </c>
      <c r="F120" t="s">
        <v>77</v>
      </c>
      <c r="G120" t="s">
        <v>95</v>
      </c>
      <c r="H120" t="s">
        <v>22</v>
      </c>
      <c r="I120" t="s">
        <v>84</v>
      </c>
      <c r="J120" t="s">
        <v>89</v>
      </c>
      <c r="K120">
        <v>10</v>
      </c>
      <c r="L120">
        <v>29100</v>
      </c>
      <c r="M120">
        <v>25</v>
      </c>
      <c r="N120">
        <v>218250</v>
      </c>
      <c r="O120" t="s">
        <v>48</v>
      </c>
      <c r="P120">
        <v>2</v>
      </c>
      <c r="Q120" t="s">
        <v>26</v>
      </c>
    </row>
    <row r="121" spans="1:17" x14ac:dyDescent="0.3">
      <c r="A121" t="s">
        <v>320</v>
      </c>
      <c r="B121" t="s">
        <v>321</v>
      </c>
      <c r="C121" t="s">
        <v>88</v>
      </c>
      <c r="D121" t="s">
        <v>39</v>
      </c>
      <c r="E121">
        <v>53</v>
      </c>
      <c r="F121" t="s">
        <v>21</v>
      </c>
      <c r="G121" t="s">
        <v>21</v>
      </c>
      <c r="H121" t="s">
        <v>46</v>
      </c>
      <c r="I121" t="s">
        <v>79</v>
      </c>
      <c r="J121" t="s">
        <v>64</v>
      </c>
      <c r="K121">
        <v>4</v>
      </c>
      <c r="L121">
        <v>8000</v>
      </c>
      <c r="M121">
        <v>20</v>
      </c>
      <c r="N121">
        <v>25600</v>
      </c>
      <c r="O121" t="s">
        <v>40</v>
      </c>
      <c r="Q121" t="s">
        <v>41</v>
      </c>
    </row>
    <row r="122" spans="1:17" x14ac:dyDescent="0.3">
      <c r="A122" t="s">
        <v>322</v>
      </c>
      <c r="B122" t="s">
        <v>323</v>
      </c>
      <c r="C122" t="s">
        <v>60</v>
      </c>
      <c r="D122" t="s">
        <v>83</v>
      </c>
      <c r="E122">
        <v>26</v>
      </c>
      <c r="F122" t="s">
        <v>30</v>
      </c>
      <c r="G122" t="s">
        <v>57</v>
      </c>
      <c r="H122" t="s">
        <v>22</v>
      </c>
      <c r="I122" t="s">
        <v>23</v>
      </c>
      <c r="J122" t="s">
        <v>72</v>
      </c>
      <c r="K122">
        <v>8</v>
      </c>
      <c r="L122">
        <v>33300</v>
      </c>
      <c r="M122">
        <v>20</v>
      </c>
      <c r="N122">
        <v>213120</v>
      </c>
      <c r="O122" t="s">
        <v>85</v>
      </c>
      <c r="Q122" t="s">
        <v>65</v>
      </c>
    </row>
    <row r="123" spans="1:17" x14ac:dyDescent="0.3">
      <c r="A123" t="s">
        <v>324</v>
      </c>
      <c r="B123" t="s">
        <v>325</v>
      </c>
      <c r="C123" t="s">
        <v>68</v>
      </c>
      <c r="E123">
        <v>35</v>
      </c>
      <c r="F123" t="s">
        <v>44</v>
      </c>
      <c r="G123" t="s">
        <v>100</v>
      </c>
      <c r="H123" t="s">
        <v>22</v>
      </c>
      <c r="I123" t="s">
        <v>23</v>
      </c>
      <c r="J123" t="s">
        <v>72</v>
      </c>
      <c r="K123" t="s">
        <v>173</v>
      </c>
      <c r="L123">
        <v>2200</v>
      </c>
      <c r="M123">
        <v>10</v>
      </c>
      <c r="N123">
        <v>3960</v>
      </c>
      <c r="O123" t="s">
        <v>73</v>
      </c>
      <c r="P123">
        <v>5</v>
      </c>
      <c r="Q123" t="s">
        <v>26</v>
      </c>
    </row>
    <row r="124" spans="1:17" x14ac:dyDescent="0.3">
      <c r="A124" t="s">
        <v>326</v>
      </c>
      <c r="B124" t="s">
        <v>327</v>
      </c>
      <c r="C124" t="s">
        <v>19</v>
      </c>
      <c r="D124" t="s">
        <v>39</v>
      </c>
      <c r="E124">
        <v>-3</v>
      </c>
      <c r="F124" t="s">
        <v>44</v>
      </c>
      <c r="G124" t="s">
        <v>100</v>
      </c>
      <c r="H124" t="s">
        <v>32</v>
      </c>
      <c r="I124" t="s">
        <v>33</v>
      </c>
      <c r="J124" t="s">
        <v>89</v>
      </c>
      <c r="K124">
        <v>5</v>
      </c>
      <c r="L124">
        <v>23200</v>
      </c>
      <c r="M124">
        <v>10</v>
      </c>
      <c r="N124">
        <v>104400</v>
      </c>
      <c r="O124" t="s">
        <v>35</v>
      </c>
      <c r="P124">
        <v>3</v>
      </c>
      <c r="Q124" t="s">
        <v>65</v>
      </c>
    </row>
    <row r="125" spans="1:17" x14ac:dyDescent="0.3">
      <c r="A125" t="s">
        <v>328</v>
      </c>
      <c r="B125" t="s">
        <v>329</v>
      </c>
      <c r="C125" t="s">
        <v>94</v>
      </c>
      <c r="D125" t="s">
        <v>39</v>
      </c>
      <c r="E125">
        <v>46</v>
      </c>
      <c r="F125" t="s">
        <v>21</v>
      </c>
      <c r="G125" t="s">
        <v>21</v>
      </c>
      <c r="H125" t="s">
        <v>22</v>
      </c>
      <c r="I125" t="s">
        <v>23</v>
      </c>
      <c r="J125" t="s">
        <v>24</v>
      </c>
      <c r="K125">
        <v>4</v>
      </c>
      <c r="L125">
        <v>8500</v>
      </c>
      <c r="M125">
        <v>0</v>
      </c>
      <c r="N125">
        <v>34000</v>
      </c>
      <c r="O125" t="s">
        <v>35</v>
      </c>
      <c r="Q125" t="s">
        <v>65</v>
      </c>
    </row>
    <row r="126" spans="1:17" x14ac:dyDescent="0.3">
      <c r="A126" t="s">
        <v>330</v>
      </c>
      <c r="B126" t="s">
        <v>331</v>
      </c>
      <c r="C126" t="s">
        <v>71</v>
      </c>
      <c r="D126" t="s">
        <v>39</v>
      </c>
      <c r="E126">
        <v>38</v>
      </c>
      <c r="F126" t="s">
        <v>61</v>
      </c>
      <c r="G126" t="s">
        <v>61</v>
      </c>
      <c r="H126" t="s">
        <v>22</v>
      </c>
      <c r="I126" t="s">
        <v>23</v>
      </c>
      <c r="J126" t="s">
        <v>89</v>
      </c>
      <c r="K126">
        <v>2</v>
      </c>
      <c r="L126">
        <v>39100</v>
      </c>
      <c r="M126">
        <v>10</v>
      </c>
      <c r="N126" t="s">
        <v>332</v>
      </c>
      <c r="O126" t="s">
        <v>35</v>
      </c>
      <c r="Q126" t="s">
        <v>26</v>
      </c>
    </row>
    <row r="127" spans="1:17" x14ac:dyDescent="0.3">
      <c r="A127" t="s">
        <v>333</v>
      </c>
      <c r="B127" t="s">
        <v>334</v>
      </c>
      <c r="C127" t="s">
        <v>88</v>
      </c>
      <c r="D127" t="s">
        <v>103</v>
      </c>
      <c r="E127">
        <v>23</v>
      </c>
      <c r="F127" t="s">
        <v>51</v>
      </c>
      <c r="G127" t="s">
        <v>52</v>
      </c>
      <c r="H127" t="s">
        <v>46</v>
      </c>
      <c r="I127" t="s">
        <v>79</v>
      </c>
      <c r="J127" t="s">
        <v>89</v>
      </c>
      <c r="K127">
        <v>2</v>
      </c>
      <c r="L127">
        <v>23400</v>
      </c>
      <c r="M127">
        <v>10</v>
      </c>
      <c r="N127">
        <v>42120</v>
      </c>
      <c r="O127" t="s">
        <v>35</v>
      </c>
      <c r="Q127" t="s">
        <v>26</v>
      </c>
    </row>
    <row r="128" spans="1:17" x14ac:dyDescent="0.3">
      <c r="A128" t="s">
        <v>335</v>
      </c>
      <c r="B128" t="s">
        <v>336</v>
      </c>
      <c r="C128" t="s">
        <v>38</v>
      </c>
      <c r="D128" t="s">
        <v>20</v>
      </c>
      <c r="E128">
        <v>35</v>
      </c>
      <c r="F128" t="s">
        <v>44</v>
      </c>
      <c r="G128" t="s">
        <v>45</v>
      </c>
      <c r="H128" t="s">
        <v>46</v>
      </c>
      <c r="I128" t="s">
        <v>47</v>
      </c>
      <c r="J128" t="s">
        <v>64</v>
      </c>
      <c r="K128">
        <v>8</v>
      </c>
      <c r="L128">
        <v>40400</v>
      </c>
      <c r="M128">
        <v>15</v>
      </c>
      <c r="N128">
        <v>274720</v>
      </c>
      <c r="O128" t="s">
        <v>105</v>
      </c>
      <c r="Q128" t="s">
        <v>65</v>
      </c>
    </row>
    <row r="129" spans="1:17" x14ac:dyDescent="0.3">
      <c r="A129" t="s">
        <v>337</v>
      </c>
      <c r="B129" t="s">
        <v>338</v>
      </c>
      <c r="C129" t="s">
        <v>88</v>
      </c>
      <c r="D129" t="s">
        <v>39</v>
      </c>
      <c r="E129">
        <v>27</v>
      </c>
      <c r="F129" t="s">
        <v>30</v>
      </c>
      <c r="G129" t="s">
        <v>31</v>
      </c>
      <c r="H129" t="s">
        <v>62</v>
      </c>
      <c r="I129" t="s">
        <v>140</v>
      </c>
      <c r="J129" t="s">
        <v>72</v>
      </c>
      <c r="K129">
        <v>6</v>
      </c>
      <c r="L129">
        <v>26200</v>
      </c>
      <c r="M129">
        <v>10</v>
      </c>
      <c r="N129">
        <v>141480</v>
      </c>
      <c r="O129" t="s">
        <v>40</v>
      </c>
      <c r="P129">
        <v>3</v>
      </c>
      <c r="Q129" t="s">
        <v>65</v>
      </c>
    </row>
    <row r="130" spans="1:17" x14ac:dyDescent="0.3">
      <c r="A130" t="s">
        <v>339</v>
      </c>
      <c r="B130" t="s">
        <v>340</v>
      </c>
      <c r="C130" t="s">
        <v>71</v>
      </c>
      <c r="E130">
        <v>59</v>
      </c>
      <c r="F130" t="s">
        <v>77</v>
      </c>
      <c r="G130" t="s">
        <v>95</v>
      </c>
      <c r="H130" t="s">
        <v>46</v>
      </c>
      <c r="I130" t="s">
        <v>47</v>
      </c>
      <c r="J130" t="s">
        <v>64</v>
      </c>
      <c r="K130">
        <v>8</v>
      </c>
      <c r="L130">
        <v>48600</v>
      </c>
      <c r="M130">
        <v>15</v>
      </c>
      <c r="N130" t="s">
        <v>341</v>
      </c>
      <c r="O130" t="s">
        <v>85</v>
      </c>
      <c r="Q130" t="s">
        <v>65</v>
      </c>
    </row>
    <row r="131" spans="1:17" x14ac:dyDescent="0.3">
      <c r="A131" t="s">
        <v>342</v>
      </c>
      <c r="B131" t="s">
        <v>343</v>
      </c>
      <c r="C131" t="s">
        <v>38</v>
      </c>
      <c r="E131">
        <v>57</v>
      </c>
      <c r="F131" t="s">
        <v>30</v>
      </c>
      <c r="G131" t="s">
        <v>57</v>
      </c>
      <c r="H131" t="s">
        <v>46</v>
      </c>
      <c r="I131" t="s">
        <v>47</v>
      </c>
      <c r="J131" t="s">
        <v>24</v>
      </c>
      <c r="K131">
        <v>4</v>
      </c>
      <c r="L131">
        <v>2900</v>
      </c>
      <c r="M131">
        <v>5</v>
      </c>
      <c r="N131">
        <v>11020</v>
      </c>
      <c r="O131" t="s">
        <v>25</v>
      </c>
      <c r="P131">
        <v>1</v>
      </c>
      <c r="Q131" t="s">
        <v>74</v>
      </c>
    </row>
    <row r="132" spans="1:17" x14ac:dyDescent="0.3">
      <c r="A132" t="s">
        <v>344</v>
      </c>
      <c r="B132" t="s">
        <v>345</v>
      </c>
      <c r="C132" t="s">
        <v>113</v>
      </c>
      <c r="E132">
        <v>18</v>
      </c>
      <c r="F132" t="s">
        <v>30</v>
      </c>
      <c r="G132" t="s">
        <v>57</v>
      </c>
      <c r="H132" t="s">
        <v>22</v>
      </c>
      <c r="I132" t="s">
        <v>84</v>
      </c>
      <c r="J132" t="s">
        <v>89</v>
      </c>
      <c r="K132">
        <v>10</v>
      </c>
      <c r="L132">
        <v>24700</v>
      </c>
      <c r="M132">
        <v>15</v>
      </c>
      <c r="N132">
        <v>209950</v>
      </c>
      <c r="O132" t="s">
        <v>85</v>
      </c>
      <c r="P132">
        <v>2</v>
      </c>
      <c r="Q132" t="s">
        <v>74</v>
      </c>
    </row>
    <row r="133" spans="1:17" x14ac:dyDescent="0.3">
      <c r="A133" t="s">
        <v>346</v>
      </c>
      <c r="B133" t="s">
        <v>347</v>
      </c>
      <c r="C133" t="s">
        <v>121</v>
      </c>
      <c r="D133" t="s">
        <v>20</v>
      </c>
      <c r="E133">
        <v>59</v>
      </c>
      <c r="F133" t="s">
        <v>77</v>
      </c>
      <c r="G133" t="s">
        <v>95</v>
      </c>
      <c r="H133" t="s">
        <v>32</v>
      </c>
      <c r="I133" t="s">
        <v>53</v>
      </c>
      <c r="J133" t="s">
        <v>72</v>
      </c>
      <c r="K133">
        <v>9</v>
      </c>
      <c r="L133">
        <v>14000</v>
      </c>
      <c r="M133">
        <v>25</v>
      </c>
      <c r="N133">
        <v>94500</v>
      </c>
      <c r="O133" t="s">
        <v>73</v>
      </c>
      <c r="P133">
        <v>1</v>
      </c>
      <c r="Q133" t="s">
        <v>41</v>
      </c>
    </row>
    <row r="134" spans="1:17" x14ac:dyDescent="0.3">
      <c r="A134" t="s">
        <v>348</v>
      </c>
      <c r="B134" t="s">
        <v>349</v>
      </c>
      <c r="C134" t="s">
        <v>71</v>
      </c>
      <c r="D134" t="s">
        <v>103</v>
      </c>
      <c r="E134">
        <v>150</v>
      </c>
      <c r="F134" t="s">
        <v>77</v>
      </c>
      <c r="G134" t="s">
        <v>78</v>
      </c>
      <c r="H134" t="s">
        <v>22</v>
      </c>
      <c r="I134" t="s">
        <v>23</v>
      </c>
      <c r="J134" t="s">
        <v>80</v>
      </c>
      <c r="K134">
        <v>9</v>
      </c>
      <c r="L134">
        <v>5900</v>
      </c>
      <c r="M134">
        <v>25</v>
      </c>
      <c r="N134">
        <v>39825</v>
      </c>
      <c r="O134" t="s">
        <v>48</v>
      </c>
      <c r="Q134" t="s">
        <v>65</v>
      </c>
    </row>
    <row r="135" spans="1:17" x14ac:dyDescent="0.3">
      <c r="A135" t="s">
        <v>350</v>
      </c>
      <c r="B135" t="s">
        <v>351</v>
      </c>
      <c r="C135" t="s">
        <v>94</v>
      </c>
      <c r="E135">
        <v>54</v>
      </c>
      <c r="F135" t="s">
        <v>21</v>
      </c>
      <c r="G135" t="s">
        <v>21</v>
      </c>
      <c r="H135" t="s">
        <v>22</v>
      </c>
      <c r="I135" t="s">
        <v>23</v>
      </c>
      <c r="J135" t="s">
        <v>64</v>
      </c>
      <c r="K135">
        <v>10</v>
      </c>
      <c r="L135">
        <v>47700</v>
      </c>
      <c r="M135">
        <v>0</v>
      </c>
      <c r="N135">
        <v>477000</v>
      </c>
      <c r="O135" t="s">
        <v>105</v>
      </c>
      <c r="P135">
        <v>2</v>
      </c>
      <c r="Q135" t="s">
        <v>41</v>
      </c>
    </row>
    <row r="136" spans="1:17" x14ac:dyDescent="0.3">
      <c r="A136" t="s">
        <v>352</v>
      </c>
      <c r="B136" t="s">
        <v>353</v>
      </c>
      <c r="C136" t="s">
        <v>19</v>
      </c>
      <c r="D136" t="s">
        <v>20</v>
      </c>
      <c r="E136">
        <v>31</v>
      </c>
      <c r="F136" t="s">
        <v>77</v>
      </c>
      <c r="G136" t="s">
        <v>95</v>
      </c>
      <c r="H136" t="s">
        <v>62</v>
      </c>
      <c r="I136" t="s">
        <v>140</v>
      </c>
      <c r="J136" t="s">
        <v>34</v>
      </c>
      <c r="K136">
        <v>5</v>
      </c>
      <c r="L136">
        <v>24800</v>
      </c>
      <c r="M136">
        <v>25</v>
      </c>
      <c r="N136">
        <v>93000</v>
      </c>
      <c r="O136" t="s">
        <v>48</v>
      </c>
      <c r="P136">
        <v>5</v>
      </c>
      <c r="Q136" t="s">
        <v>41</v>
      </c>
    </row>
    <row r="137" spans="1:17" x14ac:dyDescent="0.3">
      <c r="A137" t="s">
        <v>354</v>
      </c>
      <c r="B137" t="s">
        <v>355</v>
      </c>
      <c r="C137" t="s">
        <v>71</v>
      </c>
      <c r="E137">
        <v>39</v>
      </c>
      <c r="F137" t="s">
        <v>44</v>
      </c>
      <c r="G137" t="s">
        <v>45</v>
      </c>
      <c r="H137" t="s">
        <v>46</v>
      </c>
      <c r="I137" t="s">
        <v>47</v>
      </c>
      <c r="J137" t="s">
        <v>64</v>
      </c>
      <c r="K137">
        <v>8</v>
      </c>
      <c r="L137">
        <v>10800</v>
      </c>
      <c r="M137">
        <v>0</v>
      </c>
      <c r="N137">
        <v>86400</v>
      </c>
      <c r="O137" t="s">
        <v>73</v>
      </c>
      <c r="Q137" t="s">
        <v>65</v>
      </c>
    </row>
    <row r="138" spans="1:17" x14ac:dyDescent="0.3">
      <c r="A138" t="s">
        <v>356</v>
      </c>
      <c r="B138" t="s">
        <v>193</v>
      </c>
      <c r="C138" t="s">
        <v>60</v>
      </c>
      <c r="D138" t="s">
        <v>20</v>
      </c>
      <c r="E138">
        <v>47</v>
      </c>
      <c r="F138" t="s">
        <v>44</v>
      </c>
      <c r="G138" t="s">
        <v>100</v>
      </c>
      <c r="H138" t="s">
        <v>62</v>
      </c>
      <c r="I138" t="s">
        <v>140</v>
      </c>
      <c r="J138" t="s">
        <v>89</v>
      </c>
      <c r="K138">
        <v>1</v>
      </c>
      <c r="L138">
        <v>20000</v>
      </c>
      <c r="M138">
        <v>20</v>
      </c>
      <c r="N138">
        <v>16000</v>
      </c>
      <c r="O138" t="s">
        <v>25</v>
      </c>
      <c r="P138">
        <v>2</v>
      </c>
      <c r="Q138" t="s">
        <v>65</v>
      </c>
    </row>
    <row r="139" spans="1:17" x14ac:dyDescent="0.3">
      <c r="A139" t="s">
        <v>357</v>
      </c>
      <c r="B139" t="s">
        <v>358</v>
      </c>
      <c r="C139" t="s">
        <v>29</v>
      </c>
      <c r="D139" t="s">
        <v>39</v>
      </c>
      <c r="E139">
        <v>47</v>
      </c>
      <c r="F139" t="s">
        <v>30</v>
      </c>
      <c r="G139" t="s">
        <v>57</v>
      </c>
      <c r="H139" t="s">
        <v>46</v>
      </c>
      <c r="I139" t="s">
        <v>79</v>
      </c>
      <c r="J139" t="s">
        <v>64</v>
      </c>
      <c r="K139">
        <v>4</v>
      </c>
      <c r="L139">
        <v>27200</v>
      </c>
      <c r="M139">
        <v>15</v>
      </c>
      <c r="N139">
        <v>92480</v>
      </c>
      <c r="O139" t="s">
        <v>25</v>
      </c>
      <c r="P139">
        <v>5</v>
      </c>
      <c r="Q139" t="s">
        <v>74</v>
      </c>
    </row>
    <row r="140" spans="1:17" x14ac:dyDescent="0.3">
      <c r="A140" t="s">
        <v>359</v>
      </c>
      <c r="B140" t="s">
        <v>360</v>
      </c>
      <c r="C140" t="s">
        <v>121</v>
      </c>
      <c r="D140" t="s">
        <v>20</v>
      </c>
      <c r="E140">
        <v>35</v>
      </c>
      <c r="F140" t="s">
        <v>77</v>
      </c>
      <c r="G140" t="s">
        <v>78</v>
      </c>
      <c r="H140" t="s">
        <v>62</v>
      </c>
      <c r="I140" t="s">
        <v>140</v>
      </c>
      <c r="J140" t="s">
        <v>34</v>
      </c>
      <c r="K140">
        <v>4</v>
      </c>
      <c r="L140">
        <v>4100</v>
      </c>
      <c r="M140">
        <v>10</v>
      </c>
      <c r="N140">
        <v>14760</v>
      </c>
      <c r="O140" t="s">
        <v>25</v>
      </c>
      <c r="Q140" t="s">
        <v>26</v>
      </c>
    </row>
    <row r="141" spans="1:17" x14ac:dyDescent="0.3">
      <c r="A141" t="s">
        <v>361</v>
      </c>
      <c r="B141" t="s">
        <v>362</v>
      </c>
      <c r="C141" t="s">
        <v>29</v>
      </c>
      <c r="D141" t="s">
        <v>20</v>
      </c>
      <c r="E141">
        <v>37</v>
      </c>
      <c r="F141" t="s">
        <v>30</v>
      </c>
      <c r="G141" t="s">
        <v>31</v>
      </c>
      <c r="H141" t="s">
        <v>22</v>
      </c>
      <c r="I141" t="s">
        <v>23</v>
      </c>
      <c r="J141" t="s">
        <v>24</v>
      </c>
      <c r="K141">
        <v>10</v>
      </c>
      <c r="L141">
        <v>26200</v>
      </c>
      <c r="M141">
        <v>15</v>
      </c>
      <c r="N141">
        <v>222700</v>
      </c>
      <c r="O141" t="s">
        <v>25</v>
      </c>
      <c r="P141">
        <v>1</v>
      </c>
      <c r="Q141" t="s">
        <v>41</v>
      </c>
    </row>
    <row r="142" spans="1:17" x14ac:dyDescent="0.3">
      <c r="A142" t="s">
        <v>363</v>
      </c>
      <c r="B142" t="s">
        <v>364</v>
      </c>
      <c r="C142" t="s">
        <v>19</v>
      </c>
      <c r="D142" t="s">
        <v>103</v>
      </c>
      <c r="E142">
        <v>30</v>
      </c>
      <c r="F142" t="s">
        <v>77</v>
      </c>
      <c r="G142" t="s">
        <v>95</v>
      </c>
      <c r="H142" t="s">
        <v>46</v>
      </c>
      <c r="I142" t="s">
        <v>47</v>
      </c>
      <c r="J142" t="s">
        <v>34</v>
      </c>
      <c r="K142">
        <v>10</v>
      </c>
      <c r="L142">
        <v>46600</v>
      </c>
      <c r="M142">
        <v>15</v>
      </c>
      <c r="N142">
        <v>396100</v>
      </c>
      <c r="O142" t="s">
        <v>25</v>
      </c>
      <c r="Q142" t="s">
        <v>74</v>
      </c>
    </row>
    <row r="143" spans="1:17" x14ac:dyDescent="0.3">
      <c r="A143" t="s">
        <v>365</v>
      </c>
      <c r="B143" t="s">
        <v>366</v>
      </c>
      <c r="C143" t="s">
        <v>29</v>
      </c>
      <c r="D143" t="s">
        <v>103</v>
      </c>
      <c r="E143">
        <v>64</v>
      </c>
      <c r="F143" t="s">
        <v>51</v>
      </c>
      <c r="G143" t="s">
        <v>104</v>
      </c>
      <c r="H143" t="s">
        <v>116</v>
      </c>
      <c r="I143" t="s">
        <v>23</v>
      </c>
      <c r="J143" t="s">
        <v>80</v>
      </c>
      <c r="K143">
        <v>2</v>
      </c>
      <c r="L143">
        <v>22600</v>
      </c>
      <c r="M143">
        <v>20</v>
      </c>
      <c r="N143">
        <v>36160</v>
      </c>
      <c r="O143" t="s">
        <v>105</v>
      </c>
      <c r="P143">
        <v>2</v>
      </c>
      <c r="Q143" t="s">
        <v>41</v>
      </c>
    </row>
    <row r="144" spans="1:17" x14ac:dyDescent="0.3">
      <c r="A144" t="s">
        <v>367</v>
      </c>
      <c r="B144" t="s">
        <v>368</v>
      </c>
      <c r="C144" t="s">
        <v>29</v>
      </c>
      <c r="D144" t="s">
        <v>39</v>
      </c>
      <c r="E144">
        <v>30</v>
      </c>
      <c r="F144" t="s">
        <v>51</v>
      </c>
      <c r="G144" t="s">
        <v>52</v>
      </c>
      <c r="H144" t="s">
        <v>22</v>
      </c>
      <c r="I144" t="s">
        <v>23</v>
      </c>
      <c r="J144" t="s">
        <v>72</v>
      </c>
      <c r="K144">
        <v>6</v>
      </c>
      <c r="L144">
        <v>38000</v>
      </c>
      <c r="M144">
        <v>15</v>
      </c>
      <c r="N144">
        <v>193800</v>
      </c>
      <c r="O144" t="s">
        <v>48</v>
      </c>
      <c r="P144">
        <v>4</v>
      </c>
      <c r="Q144" t="s">
        <v>26</v>
      </c>
    </row>
    <row r="145" spans="1:17" x14ac:dyDescent="0.3">
      <c r="A145" t="s">
        <v>369</v>
      </c>
      <c r="B145" t="s">
        <v>370</v>
      </c>
      <c r="C145" t="s">
        <v>121</v>
      </c>
      <c r="E145">
        <v>22</v>
      </c>
      <c r="F145" t="s">
        <v>30</v>
      </c>
      <c r="G145" t="s">
        <v>57</v>
      </c>
      <c r="H145" t="s">
        <v>62</v>
      </c>
      <c r="I145" t="s">
        <v>63</v>
      </c>
      <c r="J145" t="s">
        <v>34</v>
      </c>
      <c r="K145">
        <v>3</v>
      </c>
      <c r="L145">
        <v>26500</v>
      </c>
      <c r="M145">
        <v>15</v>
      </c>
      <c r="N145">
        <v>67575</v>
      </c>
      <c r="O145" t="s">
        <v>48</v>
      </c>
      <c r="P145">
        <v>4</v>
      </c>
      <c r="Q145" t="s">
        <v>26</v>
      </c>
    </row>
    <row r="146" spans="1:17" x14ac:dyDescent="0.3">
      <c r="A146" t="s">
        <v>371</v>
      </c>
      <c r="B146" t="s">
        <v>372</v>
      </c>
      <c r="C146" t="s">
        <v>88</v>
      </c>
      <c r="D146" t="s">
        <v>103</v>
      </c>
      <c r="E146">
        <v>55</v>
      </c>
      <c r="F146" t="s">
        <v>21</v>
      </c>
      <c r="G146" t="s">
        <v>21</v>
      </c>
      <c r="H146" t="s">
        <v>22</v>
      </c>
      <c r="I146" t="s">
        <v>84</v>
      </c>
      <c r="J146" t="s">
        <v>64</v>
      </c>
      <c r="K146">
        <v>2</v>
      </c>
      <c r="L146">
        <v>38200</v>
      </c>
      <c r="M146">
        <v>20</v>
      </c>
      <c r="N146">
        <v>61120</v>
      </c>
      <c r="O146" t="s">
        <v>40</v>
      </c>
      <c r="P146">
        <v>4</v>
      </c>
      <c r="Q146" t="s">
        <v>74</v>
      </c>
    </row>
    <row r="147" spans="1:17" x14ac:dyDescent="0.3">
      <c r="A147" t="s">
        <v>373</v>
      </c>
      <c r="B147" t="s">
        <v>374</v>
      </c>
      <c r="C147" t="s">
        <v>71</v>
      </c>
      <c r="D147" t="s">
        <v>39</v>
      </c>
      <c r="E147">
        <v>26</v>
      </c>
      <c r="F147" t="s">
        <v>21</v>
      </c>
      <c r="G147" t="s">
        <v>21</v>
      </c>
      <c r="H147" t="s">
        <v>62</v>
      </c>
      <c r="I147" t="s">
        <v>140</v>
      </c>
      <c r="J147" t="s">
        <v>34</v>
      </c>
      <c r="K147">
        <v>2</v>
      </c>
      <c r="L147">
        <v>39700</v>
      </c>
      <c r="M147">
        <v>25</v>
      </c>
      <c r="N147">
        <v>59550</v>
      </c>
      <c r="O147" t="s">
        <v>48</v>
      </c>
      <c r="Q147" t="s">
        <v>65</v>
      </c>
    </row>
    <row r="148" spans="1:17" x14ac:dyDescent="0.3">
      <c r="A148" t="s">
        <v>375</v>
      </c>
      <c r="B148" t="s">
        <v>154</v>
      </c>
      <c r="C148" t="s">
        <v>94</v>
      </c>
      <c r="D148" t="s">
        <v>20</v>
      </c>
      <c r="E148">
        <v>60</v>
      </c>
      <c r="F148" t="s">
        <v>21</v>
      </c>
      <c r="G148" t="s">
        <v>21</v>
      </c>
      <c r="H148" t="s">
        <v>22</v>
      </c>
      <c r="I148" t="s">
        <v>84</v>
      </c>
      <c r="J148" t="s">
        <v>24</v>
      </c>
      <c r="K148">
        <v>3</v>
      </c>
      <c r="L148">
        <v>49100</v>
      </c>
      <c r="M148">
        <v>20</v>
      </c>
      <c r="N148">
        <v>117840</v>
      </c>
      <c r="O148" t="s">
        <v>73</v>
      </c>
      <c r="P148">
        <v>4</v>
      </c>
      <c r="Q148" t="s">
        <v>41</v>
      </c>
    </row>
    <row r="149" spans="1:17" x14ac:dyDescent="0.3">
      <c r="A149" t="s">
        <v>376</v>
      </c>
      <c r="B149" t="s">
        <v>377</v>
      </c>
      <c r="C149" t="s">
        <v>29</v>
      </c>
      <c r="D149" t="s">
        <v>103</v>
      </c>
      <c r="E149">
        <v>34</v>
      </c>
      <c r="F149" t="s">
        <v>21</v>
      </c>
      <c r="G149" t="s">
        <v>21</v>
      </c>
      <c r="H149" t="s">
        <v>32</v>
      </c>
      <c r="I149" t="s">
        <v>53</v>
      </c>
      <c r="J149" t="s">
        <v>89</v>
      </c>
      <c r="K149">
        <v>6</v>
      </c>
      <c r="L149">
        <v>10400</v>
      </c>
      <c r="M149">
        <v>0</v>
      </c>
      <c r="N149">
        <v>62400</v>
      </c>
      <c r="O149" t="s">
        <v>105</v>
      </c>
      <c r="Q149" t="s">
        <v>26</v>
      </c>
    </row>
    <row r="150" spans="1:17" x14ac:dyDescent="0.3">
      <c r="A150" t="s">
        <v>378</v>
      </c>
      <c r="B150" t="s">
        <v>379</v>
      </c>
      <c r="C150" t="s">
        <v>19</v>
      </c>
      <c r="D150" t="s">
        <v>83</v>
      </c>
      <c r="E150">
        <v>49</v>
      </c>
      <c r="F150" t="s">
        <v>77</v>
      </c>
      <c r="G150" t="s">
        <v>95</v>
      </c>
      <c r="H150" t="s">
        <v>46</v>
      </c>
      <c r="I150" t="s">
        <v>79</v>
      </c>
      <c r="J150" t="s">
        <v>72</v>
      </c>
      <c r="K150">
        <v>7</v>
      </c>
      <c r="L150">
        <v>41700</v>
      </c>
      <c r="M150">
        <v>20</v>
      </c>
      <c r="N150">
        <v>233520</v>
      </c>
      <c r="O150" t="s">
        <v>73</v>
      </c>
      <c r="P150">
        <v>3</v>
      </c>
      <c r="Q150" t="s">
        <v>74</v>
      </c>
    </row>
    <row r="151" spans="1:17" x14ac:dyDescent="0.3">
      <c r="A151" t="s">
        <v>380</v>
      </c>
      <c r="B151" t="s">
        <v>381</v>
      </c>
      <c r="C151" t="s">
        <v>71</v>
      </c>
      <c r="D151" t="s">
        <v>39</v>
      </c>
      <c r="E151">
        <v>63</v>
      </c>
      <c r="F151" t="s">
        <v>21</v>
      </c>
      <c r="G151" t="s">
        <v>21</v>
      </c>
      <c r="H151" t="s">
        <v>32</v>
      </c>
      <c r="I151" t="s">
        <v>33</v>
      </c>
      <c r="J151" t="s">
        <v>34</v>
      </c>
      <c r="K151">
        <v>8</v>
      </c>
      <c r="L151">
        <v>19900</v>
      </c>
      <c r="M151">
        <v>10</v>
      </c>
      <c r="N151">
        <v>143280</v>
      </c>
      <c r="O151" t="s">
        <v>85</v>
      </c>
      <c r="P151">
        <v>1</v>
      </c>
      <c r="Q151" t="s">
        <v>26</v>
      </c>
    </row>
    <row r="152" spans="1:17" x14ac:dyDescent="0.3">
      <c r="A152" t="s">
        <v>382</v>
      </c>
      <c r="B152" t="s">
        <v>383</v>
      </c>
      <c r="C152" t="s">
        <v>29</v>
      </c>
      <c r="D152" t="s">
        <v>83</v>
      </c>
      <c r="E152">
        <v>54</v>
      </c>
      <c r="F152" t="s">
        <v>77</v>
      </c>
      <c r="G152" t="s">
        <v>95</v>
      </c>
      <c r="H152" t="s">
        <v>46</v>
      </c>
      <c r="I152" t="s">
        <v>47</v>
      </c>
      <c r="J152" t="s">
        <v>64</v>
      </c>
      <c r="K152">
        <v>7</v>
      </c>
      <c r="L152">
        <v>22400</v>
      </c>
      <c r="M152">
        <v>25</v>
      </c>
      <c r="N152">
        <v>117600</v>
      </c>
      <c r="O152" t="s">
        <v>105</v>
      </c>
      <c r="P152">
        <v>1</v>
      </c>
      <c r="Q152" t="s">
        <v>65</v>
      </c>
    </row>
    <row r="153" spans="1:17" x14ac:dyDescent="0.3">
      <c r="A153" t="s">
        <v>384</v>
      </c>
      <c r="B153" t="s">
        <v>385</v>
      </c>
      <c r="C153" t="s">
        <v>68</v>
      </c>
      <c r="E153">
        <v>41</v>
      </c>
      <c r="F153" t="s">
        <v>51</v>
      </c>
      <c r="G153" t="s">
        <v>52</v>
      </c>
      <c r="H153" t="s">
        <v>46</v>
      </c>
      <c r="I153" t="s">
        <v>79</v>
      </c>
      <c r="J153" t="s">
        <v>89</v>
      </c>
      <c r="K153">
        <v>6</v>
      </c>
      <c r="L153">
        <v>21800</v>
      </c>
      <c r="M153">
        <v>20</v>
      </c>
      <c r="N153">
        <v>104640</v>
      </c>
      <c r="O153" t="s">
        <v>73</v>
      </c>
      <c r="P153">
        <v>2</v>
      </c>
      <c r="Q153" t="s">
        <v>26</v>
      </c>
    </row>
    <row r="154" spans="1:17" x14ac:dyDescent="0.3">
      <c r="A154" t="s">
        <v>386</v>
      </c>
      <c r="B154" t="s">
        <v>387</v>
      </c>
      <c r="C154" t="s">
        <v>60</v>
      </c>
      <c r="D154" t="s">
        <v>39</v>
      </c>
      <c r="E154">
        <v>20</v>
      </c>
      <c r="F154" t="s">
        <v>21</v>
      </c>
      <c r="G154" t="s">
        <v>21</v>
      </c>
      <c r="H154" t="s">
        <v>62</v>
      </c>
      <c r="I154" t="s">
        <v>63</v>
      </c>
      <c r="J154" t="s">
        <v>72</v>
      </c>
      <c r="K154">
        <v>10</v>
      </c>
      <c r="L154">
        <v>15800</v>
      </c>
      <c r="M154">
        <v>5</v>
      </c>
      <c r="N154">
        <v>150100</v>
      </c>
      <c r="O154" t="s">
        <v>40</v>
      </c>
      <c r="P154">
        <v>1</v>
      </c>
      <c r="Q154" t="s">
        <v>65</v>
      </c>
    </row>
    <row r="155" spans="1:17" x14ac:dyDescent="0.3">
      <c r="A155" t="s">
        <v>388</v>
      </c>
      <c r="B155" t="s">
        <v>389</v>
      </c>
      <c r="C155" t="s">
        <v>113</v>
      </c>
      <c r="D155" t="s">
        <v>20</v>
      </c>
      <c r="E155">
        <v>25</v>
      </c>
      <c r="F155" t="s">
        <v>390</v>
      </c>
      <c r="G155" t="s">
        <v>61</v>
      </c>
      <c r="H155" t="s">
        <v>32</v>
      </c>
      <c r="I155" t="s">
        <v>53</v>
      </c>
      <c r="J155" t="s">
        <v>34</v>
      </c>
      <c r="K155">
        <v>3</v>
      </c>
      <c r="L155">
        <v>25700</v>
      </c>
      <c r="M155">
        <v>25</v>
      </c>
      <c r="N155">
        <v>57825</v>
      </c>
      <c r="O155" t="s">
        <v>105</v>
      </c>
      <c r="Q155" t="s">
        <v>74</v>
      </c>
    </row>
    <row r="156" spans="1:17" x14ac:dyDescent="0.3">
      <c r="A156" t="s">
        <v>391</v>
      </c>
      <c r="B156" t="s">
        <v>392</v>
      </c>
      <c r="C156" t="s">
        <v>94</v>
      </c>
      <c r="D156" t="s">
        <v>83</v>
      </c>
      <c r="E156">
        <v>52</v>
      </c>
      <c r="F156" t="s">
        <v>77</v>
      </c>
      <c r="G156" t="s">
        <v>78</v>
      </c>
      <c r="H156" t="s">
        <v>32</v>
      </c>
      <c r="I156" t="s">
        <v>53</v>
      </c>
      <c r="J156" t="s">
        <v>34</v>
      </c>
      <c r="K156">
        <v>10</v>
      </c>
      <c r="L156">
        <v>3700</v>
      </c>
      <c r="M156">
        <v>15</v>
      </c>
      <c r="N156">
        <v>31450</v>
      </c>
      <c r="O156" t="s">
        <v>35</v>
      </c>
      <c r="P156">
        <v>4</v>
      </c>
      <c r="Q156" t="s">
        <v>26</v>
      </c>
    </row>
    <row r="157" spans="1:17" x14ac:dyDescent="0.3">
      <c r="A157" t="s">
        <v>393</v>
      </c>
      <c r="B157" t="s">
        <v>394</v>
      </c>
      <c r="C157" t="s">
        <v>60</v>
      </c>
      <c r="D157" t="s">
        <v>39</v>
      </c>
      <c r="E157">
        <v>24</v>
      </c>
      <c r="F157" t="s">
        <v>61</v>
      </c>
      <c r="G157" t="s">
        <v>61</v>
      </c>
      <c r="H157" t="s">
        <v>46</v>
      </c>
      <c r="I157" t="s">
        <v>79</v>
      </c>
      <c r="J157" t="s">
        <v>72</v>
      </c>
      <c r="K157">
        <v>9</v>
      </c>
      <c r="L157">
        <v>18800</v>
      </c>
      <c r="M157">
        <v>5</v>
      </c>
      <c r="N157" t="s">
        <v>395</v>
      </c>
      <c r="O157" t="s">
        <v>25</v>
      </c>
      <c r="P157">
        <v>2</v>
      </c>
      <c r="Q157" t="s">
        <v>74</v>
      </c>
    </row>
    <row r="158" spans="1:17" x14ac:dyDescent="0.3">
      <c r="A158" t="s">
        <v>396</v>
      </c>
      <c r="B158" t="s">
        <v>397</v>
      </c>
      <c r="C158" t="s">
        <v>113</v>
      </c>
      <c r="D158" t="s">
        <v>20</v>
      </c>
      <c r="E158">
        <v>28</v>
      </c>
      <c r="F158" t="s">
        <v>77</v>
      </c>
      <c r="G158" t="s">
        <v>95</v>
      </c>
      <c r="H158" t="s">
        <v>32</v>
      </c>
      <c r="I158" t="s">
        <v>53</v>
      </c>
      <c r="J158" t="s">
        <v>24</v>
      </c>
      <c r="K158">
        <v>3</v>
      </c>
      <c r="L158">
        <v>20600</v>
      </c>
      <c r="M158">
        <v>25</v>
      </c>
      <c r="N158">
        <v>46350</v>
      </c>
      <c r="O158" t="s">
        <v>85</v>
      </c>
      <c r="P158">
        <v>3</v>
      </c>
      <c r="Q158" t="s">
        <v>74</v>
      </c>
    </row>
    <row r="159" spans="1:17" x14ac:dyDescent="0.3">
      <c r="A159" t="s">
        <v>398</v>
      </c>
      <c r="B159" t="s">
        <v>399</v>
      </c>
      <c r="C159" t="s">
        <v>88</v>
      </c>
      <c r="E159">
        <v>21</v>
      </c>
      <c r="F159" t="s">
        <v>51</v>
      </c>
      <c r="G159" t="s">
        <v>52</v>
      </c>
      <c r="H159" t="s">
        <v>22</v>
      </c>
      <c r="I159" t="s">
        <v>23</v>
      </c>
      <c r="J159" t="s">
        <v>80</v>
      </c>
      <c r="K159">
        <v>8</v>
      </c>
      <c r="L159">
        <v>26200</v>
      </c>
      <c r="M159">
        <v>0</v>
      </c>
      <c r="N159">
        <v>209600</v>
      </c>
      <c r="O159" t="s">
        <v>48</v>
      </c>
      <c r="P159">
        <v>1</v>
      </c>
      <c r="Q159" t="s">
        <v>65</v>
      </c>
    </row>
    <row r="160" spans="1:17" x14ac:dyDescent="0.3">
      <c r="A160" t="s">
        <v>400</v>
      </c>
      <c r="B160" t="s">
        <v>252</v>
      </c>
      <c r="C160" t="s">
        <v>60</v>
      </c>
      <c r="D160" t="s">
        <v>83</v>
      </c>
      <c r="E160">
        <v>-3</v>
      </c>
      <c r="F160" t="s">
        <v>77</v>
      </c>
      <c r="G160" t="s">
        <v>78</v>
      </c>
      <c r="H160" t="s">
        <v>46</v>
      </c>
      <c r="I160" t="s">
        <v>47</v>
      </c>
      <c r="J160" t="s">
        <v>24</v>
      </c>
      <c r="K160">
        <v>2</v>
      </c>
      <c r="L160">
        <v>17800</v>
      </c>
      <c r="M160">
        <v>5</v>
      </c>
      <c r="N160">
        <v>33820</v>
      </c>
      <c r="O160" t="s">
        <v>85</v>
      </c>
      <c r="P160">
        <v>3</v>
      </c>
      <c r="Q160" t="s">
        <v>65</v>
      </c>
    </row>
    <row r="161" spans="1:17" x14ac:dyDescent="0.3">
      <c r="A161" t="s">
        <v>401</v>
      </c>
      <c r="B161" t="s">
        <v>139</v>
      </c>
      <c r="C161" t="s">
        <v>60</v>
      </c>
      <c r="D161" t="s">
        <v>103</v>
      </c>
      <c r="E161">
        <v>33</v>
      </c>
      <c r="F161" t="s">
        <v>44</v>
      </c>
      <c r="G161" t="s">
        <v>45</v>
      </c>
      <c r="H161" t="s">
        <v>32</v>
      </c>
      <c r="I161" t="s">
        <v>33</v>
      </c>
      <c r="J161" t="s">
        <v>89</v>
      </c>
      <c r="K161">
        <v>5</v>
      </c>
      <c r="L161">
        <v>39000</v>
      </c>
      <c r="M161">
        <v>20</v>
      </c>
      <c r="N161">
        <v>156000</v>
      </c>
      <c r="O161" t="s">
        <v>73</v>
      </c>
      <c r="P161">
        <v>3</v>
      </c>
      <c r="Q161" t="s">
        <v>65</v>
      </c>
    </row>
    <row r="162" spans="1:17" x14ac:dyDescent="0.3">
      <c r="A162" t="s">
        <v>402</v>
      </c>
      <c r="B162" t="s">
        <v>403</v>
      </c>
      <c r="C162" t="s">
        <v>113</v>
      </c>
      <c r="D162" t="s">
        <v>39</v>
      </c>
      <c r="E162">
        <v>30</v>
      </c>
      <c r="F162" t="s">
        <v>21</v>
      </c>
      <c r="G162" t="s">
        <v>21</v>
      </c>
      <c r="H162" t="s">
        <v>22</v>
      </c>
      <c r="I162" t="s">
        <v>23</v>
      </c>
      <c r="J162" t="s">
        <v>64</v>
      </c>
      <c r="K162">
        <v>5</v>
      </c>
      <c r="L162">
        <v>37800</v>
      </c>
      <c r="M162">
        <v>5</v>
      </c>
      <c r="N162">
        <v>179550</v>
      </c>
      <c r="O162" t="s">
        <v>35</v>
      </c>
      <c r="P162">
        <v>1</v>
      </c>
      <c r="Q162" t="s">
        <v>41</v>
      </c>
    </row>
    <row r="163" spans="1:17" x14ac:dyDescent="0.3">
      <c r="A163" t="s">
        <v>404</v>
      </c>
      <c r="B163" t="s">
        <v>405</v>
      </c>
      <c r="C163" t="s">
        <v>19</v>
      </c>
      <c r="D163" t="s">
        <v>103</v>
      </c>
      <c r="E163">
        <v>30</v>
      </c>
      <c r="F163" t="s">
        <v>77</v>
      </c>
      <c r="G163" t="s">
        <v>95</v>
      </c>
      <c r="H163" t="s">
        <v>22</v>
      </c>
      <c r="I163" t="s">
        <v>84</v>
      </c>
      <c r="J163" t="s">
        <v>72</v>
      </c>
      <c r="K163">
        <v>1</v>
      </c>
      <c r="L163">
        <v>35900</v>
      </c>
      <c r="M163">
        <v>20</v>
      </c>
      <c r="N163">
        <v>28720</v>
      </c>
      <c r="O163" t="s">
        <v>73</v>
      </c>
      <c r="P163">
        <v>1</v>
      </c>
      <c r="Q163" t="s">
        <v>74</v>
      </c>
    </row>
    <row r="164" spans="1:17" x14ac:dyDescent="0.3">
      <c r="A164" t="s">
        <v>406</v>
      </c>
      <c r="B164" t="s">
        <v>407</v>
      </c>
      <c r="C164" t="s">
        <v>94</v>
      </c>
      <c r="D164" t="s">
        <v>20</v>
      </c>
      <c r="E164">
        <v>36</v>
      </c>
      <c r="F164" t="s">
        <v>21</v>
      </c>
      <c r="G164" t="s">
        <v>21</v>
      </c>
      <c r="H164" t="s">
        <v>46</v>
      </c>
      <c r="I164" t="s">
        <v>79</v>
      </c>
      <c r="J164" t="s">
        <v>24</v>
      </c>
      <c r="K164">
        <v>1</v>
      </c>
      <c r="L164">
        <v>37000</v>
      </c>
      <c r="M164">
        <v>15</v>
      </c>
      <c r="N164">
        <v>31450</v>
      </c>
      <c r="O164" t="s">
        <v>73</v>
      </c>
      <c r="Q164" t="s">
        <v>65</v>
      </c>
    </row>
    <row r="165" spans="1:17" x14ac:dyDescent="0.3">
      <c r="A165" t="s">
        <v>408</v>
      </c>
      <c r="B165" t="s">
        <v>409</v>
      </c>
      <c r="C165" t="s">
        <v>71</v>
      </c>
      <c r="D165" t="s">
        <v>39</v>
      </c>
      <c r="E165">
        <v>19</v>
      </c>
      <c r="F165" t="s">
        <v>77</v>
      </c>
      <c r="G165" t="s">
        <v>78</v>
      </c>
      <c r="H165" t="s">
        <v>62</v>
      </c>
      <c r="I165" t="s">
        <v>63</v>
      </c>
      <c r="J165" t="s">
        <v>24</v>
      </c>
      <c r="K165">
        <v>10</v>
      </c>
      <c r="L165">
        <v>39800</v>
      </c>
      <c r="M165">
        <v>15</v>
      </c>
      <c r="N165">
        <v>338300</v>
      </c>
      <c r="O165" t="s">
        <v>105</v>
      </c>
      <c r="Q165" t="s">
        <v>26</v>
      </c>
    </row>
    <row r="166" spans="1:17" x14ac:dyDescent="0.3">
      <c r="A166" t="s">
        <v>410</v>
      </c>
      <c r="B166" t="s">
        <v>411</v>
      </c>
      <c r="C166" t="s">
        <v>60</v>
      </c>
      <c r="D166" t="s">
        <v>103</v>
      </c>
      <c r="E166">
        <v>22</v>
      </c>
      <c r="F166" t="s">
        <v>30</v>
      </c>
      <c r="G166" t="s">
        <v>31</v>
      </c>
      <c r="H166" t="s">
        <v>22</v>
      </c>
      <c r="I166" t="s">
        <v>84</v>
      </c>
      <c r="J166" t="s">
        <v>89</v>
      </c>
      <c r="K166">
        <v>8</v>
      </c>
      <c r="L166">
        <v>25600</v>
      </c>
      <c r="M166">
        <v>0</v>
      </c>
      <c r="N166">
        <v>204800</v>
      </c>
      <c r="O166" t="s">
        <v>48</v>
      </c>
      <c r="P166">
        <v>2</v>
      </c>
      <c r="Q166" t="s">
        <v>65</v>
      </c>
    </row>
    <row r="167" spans="1:17" x14ac:dyDescent="0.3">
      <c r="A167" t="s">
        <v>412</v>
      </c>
      <c r="B167" t="s">
        <v>413</v>
      </c>
      <c r="C167" t="s">
        <v>121</v>
      </c>
      <c r="D167" t="s">
        <v>20</v>
      </c>
      <c r="E167">
        <v>52</v>
      </c>
      <c r="F167" t="s">
        <v>77</v>
      </c>
      <c r="G167" t="s">
        <v>78</v>
      </c>
      <c r="H167" t="s">
        <v>46</v>
      </c>
      <c r="I167" t="s">
        <v>47</v>
      </c>
      <c r="J167" t="s">
        <v>80</v>
      </c>
      <c r="K167">
        <v>9</v>
      </c>
      <c r="L167">
        <v>2200</v>
      </c>
      <c r="M167">
        <v>25</v>
      </c>
      <c r="N167">
        <v>14850</v>
      </c>
      <c r="O167" t="s">
        <v>85</v>
      </c>
      <c r="P167">
        <v>1</v>
      </c>
      <c r="Q167" t="s">
        <v>65</v>
      </c>
    </row>
    <row r="168" spans="1:17" x14ac:dyDescent="0.3">
      <c r="A168" t="s">
        <v>414</v>
      </c>
      <c r="B168" t="s">
        <v>415</v>
      </c>
      <c r="C168" t="s">
        <v>94</v>
      </c>
      <c r="E168">
        <v>43</v>
      </c>
      <c r="F168" t="s">
        <v>44</v>
      </c>
      <c r="G168" t="s">
        <v>45</v>
      </c>
      <c r="H168" t="s">
        <v>32</v>
      </c>
      <c r="I168" t="s">
        <v>33</v>
      </c>
      <c r="J168" t="s">
        <v>34</v>
      </c>
      <c r="K168">
        <v>9</v>
      </c>
      <c r="L168">
        <v>24900</v>
      </c>
      <c r="M168">
        <v>0</v>
      </c>
      <c r="N168">
        <v>224100</v>
      </c>
      <c r="O168" t="s">
        <v>85</v>
      </c>
      <c r="Q168" t="s">
        <v>41</v>
      </c>
    </row>
    <row r="169" spans="1:17" x14ac:dyDescent="0.3">
      <c r="A169" t="s">
        <v>416</v>
      </c>
      <c r="B169" t="s">
        <v>417</v>
      </c>
      <c r="C169" t="s">
        <v>113</v>
      </c>
      <c r="D169" t="s">
        <v>83</v>
      </c>
      <c r="E169">
        <v>33</v>
      </c>
      <c r="F169" t="s">
        <v>30</v>
      </c>
      <c r="G169" t="s">
        <v>57</v>
      </c>
      <c r="H169" t="s">
        <v>32</v>
      </c>
      <c r="I169" t="s">
        <v>53</v>
      </c>
      <c r="J169" t="s">
        <v>24</v>
      </c>
      <c r="K169">
        <v>5</v>
      </c>
      <c r="L169">
        <v>12700</v>
      </c>
      <c r="M169">
        <v>15</v>
      </c>
      <c r="N169">
        <v>53975</v>
      </c>
      <c r="O169" t="s">
        <v>25</v>
      </c>
      <c r="P169">
        <v>5</v>
      </c>
      <c r="Q169" t="s">
        <v>74</v>
      </c>
    </row>
    <row r="170" spans="1:17" x14ac:dyDescent="0.3">
      <c r="A170" t="s">
        <v>418</v>
      </c>
      <c r="B170" t="s">
        <v>295</v>
      </c>
      <c r="C170" t="s">
        <v>38</v>
      </c>
      <c r="D170" t="s">
        <v>83</v>
      </c>
      <c r="E170">
        <v>40</v>
      </c>
      <c r="F170" t="s">
        <v>44</v>
      </c>
      <c r="G170" t="s">
        <v>100</v>
      </c>
      <c r="H170" t="s">
        <v>22</v>
      </c>
      <c r="I170" t="s">
        <v>84</v>
      </c>
      <c r="J170" t="s">
        <v>24</v>
      </c>
      <c r="K170">
        <v>9</v>
      </c>
      <c r="L170">
        <v>16700</v>
      </c>
      <c r="M170">
        <v>20</v>
      </c>
      <c r="N170">
        <v>120240</v>
      </c>
      <c r="O170" t="s">
        <v>85</v>
      </c>
      <c r="P170">
        <v>5</v>
      </c>
      <c r="Q170" t="s">
        <v>26</v>
      </c>
    </row>
    <row r="171" spans="1:17" x14ac:dyDescent="0.3">
      <c r="A171" t="s">
        <v>419</v>
      </c>
      <c r="B171" t="s">
        <v>420</v>
      </c>
      <c r="C171" t="s">
        <v>88</v>
      </c>
      <c r="E171">
        <v>59</v>
      </c>
      <c r="F171" t="s">
        <v>21</v>
      </c>
      <c r="G171" t="s">
        <v>21</v>
      </c>
      <c r="H171" t="s">
        <v>32</v>
      </c>
      <c r="I171" t="s">
        <v>33</v>
      </c>
      <c r="J171" t="s">
        <v>24</v>
      </c>
      <c r="K171">
        <v>10</v>
      </c>
      <c r="L171">
        <v>33600</v>
      </c>
      <c r="M171">
        <v>0</v>
      </c>
      <c r="N171">
        <v>336000</v>
      </c>
      <c r="O171" t="s">
        <v>73</v>
      </c>
      <c r="P171">
        <v>3</v>
      </c>
      <c r="Q171" t="s">
        <v>65</v>
      </c>
    </row>
    <row r="172" spans="1:17" x14ac:dyDescent="0.3">
      <c r="A172" t="s">
        <v>421</v>
      </c>
      <c r="B172" t="s">
        <v>422</v>
      </c>
      <c r="C172" t="s">
        <v>88</v>
      </c>
      <c r="E172">
        <v>59</v>
      </c>
      <c r="F172" t="s">
        <v>77</v>
      </c>
      <c r="G172" t="s">
        <v>78</v>
      </c>
      <c r="H172" t="s">
        <v>46</v>
      </c>
      <c r="I172" t="s">
        <v>79</v>
      </c>
      <c r="J172" t="s">
        <v>72</v>
      </c>
      <c r="K172">
        <v>2</v>
      </c>
      <c r="L172">
        <v>43300</v>
      </c>
      <c r="M172">
        <v>10</v>
      </c>
      <c r="N172">
        <v>77940</v>
      </c>
      <c r="O172" t="s">
        <v>105</v>
      </c>
      <c r="P172">
        <v>5</v>
      </c>
      <c r="Q172" t="s">
        <v>26</v>
      </c>
    </row>
    <row r="173" spans="1:17" x14ac:dyDescent="0.3">
      <c r="A173" t="s">
        <v>423</v>
      </c>
      <c r="B173" t="s">
        <v>424</v>
      </c>
      <c r="C173" t="s">
        <v>121</v>
      </c>
      <c r="E173">
        <v>34</v>
      </c>
      <c r="F173" t="s">
        <v>77</v>
      </c>
      <c r="G173" t="s">
        <v>78</v>
      </c>
      <c r="H173" t="s">
        <v>32</v>
      </c>
      <c r="I173" t="s">
        <v>33</v>
      </c>
      <c r="J173" t="s">
        <v>34</v>
      </c>
      <c r="K173">
        <v>4</v>
      </c>
      <c r="L173">
        <v>49500</v>
      </c>
      <c r="M173">
        <v>25</v>
      </c>
      <c r="N173">
        <v>148500</v>
      </c>
      <c r="O173" t="s">
        <v>40</v>
      </c>
      <c r="Q173" t="s">
        <v>74</v>
      </c>
    </row>
    <row r="174" spans="1:17" x14ac:dyDescent="0.3">
      <c r="A174" t="s">
        <v>425</v>
      </c>
      <c r="B174" t="s">
        <v>426</v>
      </c>
      <c r="C174" t="s">
        <v>121</v>
      </c>
      <c r="E174">
        <v>53</v>
      </c>
      <c r="F174" t="s">
        <v>427</v>
      </c>
      <c r="G174" t="s">
        <v>78</v>
      </c>
      <c r="H174" t="s">
        <v>46</v>
      </c>
      <c r="I174" t="s">
        <v>79</v>
      </c>
      <c r="J174" t="s">
        <v>64</v>
      </c>
      <c r="K174">
        <v>5</v>
      </c>
      <c r="L174">
        <v>37500</v>
      </c>
      <c r="M174">
        <v>15</v>
      </c>
      <c r="N174">
        <v>159375</v>
      </c>
      <c r="O174" t="s">
        <v>73</v>
      </c>
      <c r="P174">
        <v>4</v>
      </c>
      <c r="Q174" t="s">
        <v>74</v>
      </c>
    </row>
    <row r="175" spans="1:17" x14ac:dyDescent="0.3">
      <c r="A175" t="s">
        <v>428</v>
      </c>
      <c r="B175" t="s">
        <v>429</v>
      </c>
      <c r="C175" t="s">
        <v>113</v>
      </c>
      <c r="E175">
        <v>34</v>
      </c>
      <c r="F175" t="s">
        <v>30</v>
      </c>
      <c r="G175" t="s">
        <v>31</v>
      </c>
      <c r="H175" t="s">
        <v>32</v>
      </c>
      <c r="I175" t="s">
        <v>53</v>
      </c>
      <c r="J175" t="s">
        <v>89</v>
      </c>
      <c r="K175">
        <v>4</v>
      </c>
      <c r="L175">
        <v>6500</v>
      </c>
      <c r="M175">
        <v>25</v>
      </c>
      <c r="N175">
        <v>19500</v>
      </c>
      <c r="O175" t="s">
        <v>25</v>
      </c>
      <c r="P175">
        <v>4</v>
      </c>
      <c r="Q175" t="s">
        <v>74</v>
      </c>
    </row>
    <row r="176" spans="1:17" x14ac:dyDescent="0.3">
      <c r="A176" t="s">
        <v>430</v>
      </c>
      <c r="B176" t="s">
        <v>139</v>
      </c>
      <c r="C176" t="s">
        <v>29</v>
      </c>
      <c r="D176" t="s">
        <v>103</v>
      </c>
      <c r="E176">
        <v>42</v>
      </c>
      <c r="F176" t="s">
        <v>21</v>
      </c>
      <c r="G176" t="s">
        <v>21</v>
      </c>
      <c r="H176" t="s">
        <v>431</v>
      </c>
      <c r="I176" t="s">
        <v>79</v>
      </c>
      <c r="J176" t="s">
        <v>24</v>
      </c>
      <c r="K176">
        <v>2</v>
      </c>
      <c r="L176">
        <v>24700</v>
      </c>
      <c r="M176">
        <v>0</v>
      </c>
      <c r="N176">
        <v>49400</v>
      </c>
      <c r="O176" t="s">
        <v>35</v>
      </c>
      <c r="P176">
        <v>4</v>
      </c>
      <c r="Q176" t="s">
        <v>65</v>
      </c>
    </row>
    <row r="177" spans="1:17" x14ac:dyDescent="0.3">
      <c r="A177" t="s">
        <v>432</v>
      </c>
      <c r="B177" t="s">
        <v>433</v>
      </c>
      <c r="C177" t="s">
        <v>88</v>
      </c>
      <c r="D177" t="s">
        <v>20</v>
      </c>
      <c r="E177">
        <v>22</v>
      </c>
      <c r="F177" t="s">
        <v>77</v>
      </c>
      <c r="G177" t="s">
        <v>95</v>
      </c>
      <c r="H177" t="s">
        <v>32</v>
      </c>
      <c r="I177" t="s">
        <v>53</v>
      </c>
      <c r="J177" t="s">
        <v>34</v>
      </c>
      <c r="K177">
        <v>9</v>
      </c>
      <c r="L177">
        <v>16500</v>
      </c>
      <c r="M177">
        <v>10</v>
      </c>
      <c r="N177">
        <v>133650</v>
      </c>
      <c r="O177" t="s">
        <v>105</v>
      </c>
      <c r="P177">
        <v>5</v>
      </c>
      <c r="Q177" t="s">
        <v>74</v>
      </c>
    </row>
    <row r="178" spans="1:17" x14ac:dyDescent="0.3">
      <c r="A178" t="s">
        <v>434</v>
      </c>
      <c r="B178" t="s">
        <v>435</v>
      </c>
      <c r="C178" t="s">
        <v>71</v>
      </c>
      <c r="D178" t="s">
        <v>103</v>
      </c>
      <c r="E178">
        <v>59</v>
      </c>
      <c r="F178" t="s">
        <v>44</v>
      </c>
      <c r="G178" t="s">
        <v>100</v>
      </c>
      <c r="H178" t="s">
        <v>22</v>
      </c>
      <c r="I178" t="s">
        <v>23</v>
      </c>
      <c r="J178" t="s">
        <v>72</v>
      </c>
      <c r="K178">
        <v>8</v>
      </c>
      <c r="L178">
        <v>40100</v>
      </c>
      <c r="M178">
        <v>25</v>
      </c>
      <c r="N178">
        <v>240600</v>
      </c>
      <c r="O178" t="s">
        <v>25</v>
      </c>
      <c r="P178">
        <v>1</v>
      </c>
      <c r="Q178" t="s">
        <v>26</v>
      </c>
    </row>
    <row r="179" spans="1:17" x14ac:dyDescent="0.3">
      <c r="A179" t="s">
        <v>436</v>
      </c>
      <c r="B179" t="s">
        <v>437</v>
      </c>
      <c r="C179" t="s">
        <v>29</v>
      </c>
      <c r="D179" t="s">
        <v>83</v>
      </c>
      <c r="E179">
        <v>35</v>
      </c>
      <c r="F179" t="s">
        <v>77</v>
      </c>
      <c r="G179" t="s">
        <v>95</v>
      </c>
      <c r="H179" t="s">
        <v>46</v>
      </c>
      <c r="I179" t="s">
        <v>47</v>
      </c>
      <c r="J179" t="s">
        <v>34</v>
      </c>
      <c r="K179">
        <v>4</v>
      </c>
      <c r="L179">
        <v>9700</v>
      </c>
      <c r="M179">
        <v>20</v>
      </c>
      <c r="N179">
        <v>31040</v>
      </c>
      <c r="O179" t="s">
        <v>105</v>
      </c>
      <c r="P179">
        <v>2</v>
      </c>
      <c r="Q179" t="s">
        <v>26</v>
      </c>
    </row>
    <row r="180" spans="1:17" x14ac:dyDescent="0.3">
      <c r="A180" t="s">
        <v>438</v>
      </c>
      <c r="B180" t="s">
        <v>439</v>
      </c>
      <c r="C180" t="s">
        <v>68</v>
      </c>
      <c r="D180" t="s">
        <v>83</v>
      </c>
      <c r="E180">
        <v>61</v>
      </c>
      <c r="F180" t="s">
        <v>440</v>
      </c>
      <c r="G180" t="s">
        <v>61</v>
      </c>
      <c r="H180" t="s">
        <v>62</v>
      </c>
      <c r="I180" t="s">
        <v>63</v>
      </c>
      <c r="J180" t="s">
        <v>34</v>
      </c>
      <c r="K180">
        <v>7</v>
      </c>
      <c r="L180">
        <v>5800</v>
      </c>
      <c r="M180">
        <v>25</v>
      </c>
      <c r="N180">
        <v>30450</v>
      </c>
      <c r="O180" t="s">
        <v>25</v>
      </c>
      <c r="Q180" t="s">
        <v>74</v>
      </c>
    </row>
    <row r="181" spans="1:17" x14ac:dyDescent="0.3">
      <c r="A181" t="s">
        <v>441</v>
      </c>
      <c r="B181" t="s">
        <v>442</v>
      </c>
      <c r="C181" t="s">
        <v>94</v>
      </c>
      <c r="D181" t="s">
        <v>103</v>
      </c>
      <c r="E181">
        <v>62</v>
      </c>
      <c r="F181" t="s">
        <v>61</v>
      </c>
      <c r="G181" t="s">
        <v>61</v>
      </c>
      <c r="H181" t="s">
        <v>46</v>
      </c>
      <c r="I181" t="s">
        <v>47</v>
      </c>
      <c r="J181" t="s">
        <v>64</v>
      </c>
      <c r="K181" t="s">
        <v>443</v>
      </c>
      <c r="L181">
        <v>26200</v>
      </c>
      <c r="M181">
        <v>25</v>
      </c>
      <c r="N181">
        <v>196500</v>
      </c>
      <c r="O181" t="s">
        <v>40</v>
      </c>
      <c r="P181">
        <v>3</v>
      </c>
      <c r="Q181" t="s">
        <v>26</v>
      </c>
    </row>
    <row r="182" spans="1:17" x14ac:dyDescent="0.3">
      <c r="A182" t="s">
        <v>444</v>
      </c>
      <c r="B182" t="s">
        <v>154</v>
      </c>
      <c r="C182" t="s">
        <v>113</v>
      </c>
      <c r="D182" t="s">
        <v>103</v>
      </c>
      <c r="E182">
        <v>43</v>
      </c>
      <c r="F182" t="s">
        <v>21</v>
      </c>
      <c r="G182" t="s">
        <v>21</v>
      </c>
      <c r="H182" t="s">
        <v>32</v>
      </c>
      <c r="I182" t="s">
        <v>33</v>
      </c>
      <c r="J182" t="s">
        <v>34</v>
      </c>
      <c r="K182">
        <v>9</v>
      </c>
      <c r="L182">
        <v>14100</v>
      </c>
      <c r="M182">
        <v>15</v>
      </c>
      <c r="N182">
        <v>107865</v>
      </c>
      <c r="O182" t="s">
        <v>162</v>
      </c>
      <c r="P182">
        <v>4</v>
      </c>
      <c r="Q182" t="s">
        <v>65</v>
      </c>
    </row>
    <row r="183" spans="1:17" x14ac:dyDescent="0.3">
      <c r="A183" t="s">
        <v>445</v>
      </c>
      <c r="B183" t="s">
        <v>446</v>
      </c>
      <c r="C183" t="s">
        <v>121</v>
      </c>
      <c r="D183" t="s">
        <v>20</v>
      </c>
      <c r="E183">
        <v>43</v>
      </c>
      <c r="F183" t="s">
        <v>202</v>
      </c>
      <c r="G183" t="s">
        <v>52</v>
      </c>
      <c r="H183" t="s">
        <v>32</v>
      </c>
      <c r="I183" t="s">
        <v>53</v>
      </c>
      <c r="J183" t="s">
        <v>64</v>
      </c>
      <c r="K183">
        <v>3</v>
      </c>
      <c r="L183">
        <v>31400</v>
      </c>
      <c r="M183">
        <v>5</v>
      </c>
      <c r="N183">
        <v>89490</v>
      </c>
      <c r="O183" t="s">
        <v>73</v>
      </c>
      <c r="P183">
        <v>2</v>
      </c>
      <c r="Q183" t="s">
        <v>26</v>
      </c>
    </row>
    <row r="184" spans="1:17" x14ac:dyDescent="0.3">
      <c r="A184" t="s">
        <v>447</v>
      </c>
      <c r="B184" t="s">
        <v>448</v>
      </c>
      <c r="C184" t="s">
        <v>68</v>
      </c>
      <c r="D184" t="s">
        <v>103</v>
      </c>
      <c r="E184">
        <v>56</v>
      </c>
      <c r="F184" t="s">
        <v>77</v>
      </c>
      <c r="G184" t="s">
        <v>78</v>
      </c>
      <c r="H184" t="s">
        <v>22</v>
      </c>
      <c r="I184" t="s">
        <v>23</v>
      </c>
      <c r="J184" t="s">
        <v>72</v>
      </c>
      <c r="K184">
        <v>9</v>
      </c>
      <c r="L184">
        <v>30400</v>
      </c>
      <c r="M184">
        <v>20</v>
      </c>
      <c r="N184">
        <v>218880</v>
      </c>
      <c r="O184" t="s">
        <v>48</v>
      </c>
      <c r="P184">
        <v>4</v>
      </c>
      <c r="Q184" t="s">
        <v>65</v>
      </c>
    </row>
    <row r="185" spans="1:17" x14ac:dyDescent="0.3">
      <c r="A185" t="s">
        <v>449</v>
      </c>
      <c r="B185" t="s">
        <v>450</v>
      </c>
      <c r="C185" t="s">
        <v>121</v>
      </c>
      <c r="D185" t="s">
        <v>20</v>
      </c>
      <c r="E185">
        <v>45</v>
      </c>
      <c r="F185" t="s">
        <v>30</v>
      </c>
      <c r="G185" t="s">
        <v>31</v>
      </c>
      <c r="H185" t="s">
        <v>22</v>
      </c>
      <c r="I185" t="s">
        <v>84</v>
      </c>
      <c r="J185" t="s">
        <v>34</v>
      </c>
      <c r="K185">
        <v>8</v>
      </c>
      <c r="L185">
        <v>12600</v>
      </c>
      <c r="M185">
        <v>15</v>
      </c>
      <c r="N185">
        <v>85680</v>
      </c>
      <c r="O185" t="s">
        <v>35</v>
      </c>
      <c r="P185">
        <v>2</v>
      </c>
      <c r="Q185" t="s">
        <v>74</v>
      </c>
    </row>
    <row r="186" spans="1:17" x14ac:dyDescent="0.3">
      <c r="A186" t="s">
        <v>451</v>
      </c>
      <c r="B186" t="s">
        <v>452</v>
      </c>
      <c r="C186" t="s">
        <v>60</v>
      </c>
      <c r="D186" t="s">
        <v>20</v>
      </c>
      <c r="E186">
        <v>19</v>
      </c>
      <c r="F186" t="s">
        <v>427</v>
      </c>
      <c r="G186" t="s">
        <v>95</v>
      </c>
      <c r="H186" t="s">
        <v>32</v>
      </c>
      <c r="I186" t="s">
        <v>53</v>
      </c>
      <c r="J186" t="s">
        <v>64</v>
      </c>
      <c r="K186">
        <v>7</v>
      </c>
      <c r="L186">
        <v>15800</v>
      </c>
      <c r="M186">
        <v>15</v>
      </c>
      <c r="N186">
        <v>94010</v>
      </c>
      <c r="O186" t="s">
        <v>35</v>
      </c>
      <c r="P186">
        <v>2</v>
      </c>
      <c r="Q186" t="s">
        <v>65</v>
      </c>
    </row>
    <row r="187" spans="1:17" x14ac:dyDescent="0.3">
      <c r="A187" t="s">
        <v>453</v>
      </c>
      <c r="B187" t="s">
        <v>454</v>
      </c>
      <c r="C187" t="s">
        <v>60</v>
      </c>
      <c r="E187">
        <v>48</v>
      </c>
      <c r="F187" t="s">
        <v>51</v>
      </c>
      <c r="G187" t="s">
        <v>52</v>
      </c>
      <c r="H187" t="s">
        <v>455</v>
      </c>
      <c r="I187" t="s">
        <v>140</v>
      </c>
      <c r="J187" t="s">
        <v>80</v>
      </c>
      <c r="K187">
        <v>1</v>
      </c>
      <c r="L187">
        <v>40800</v>
      </c>
      <c r="M187">
        <v>10</v>
      </c>
      <c r="N187">
        <v>36720</v>
      </c>
      <c r="O187" t="s">
        <v>35</v>
      </c>
      <c r="P187">
        <v>5</v>
      </c>
      <c r="Q187" t="s">
        <v>74</v>
      </c>
    </row>
    <row r="188" spans="1:17" x14ac:dyDescent="0.3">
      <c r="A188" t="s">
        <v>456</v>
      </c>
      <c r="B188" t="s">
        <v>457</v>
      </c>
      <c r="C188" t="s">
        <v>88</v>
      </c>
      <c r="D188" t="s">
        <v>103</v>
      </c>
      <c r="E188">
        <v>44</v>
      </c>
      <c r="F188" t="s">
        <v>21</v>
      </c>
      <c r="G188" t="s">
        <v>21</v>
      </c>
      <c r="H188" t="s">
        <v>116</v>
      </c>
      <c r="I188" t="s">
        <v>23</v>
      </c>
      <c r="J188" t="s">
        <v>34</v>
      </c>
      <c r="K188" t="s">
        <v>458</v>
      </c>
      <c r="L188">
        <v>43500</v>
      </c>
      <c r="M188">
        <v>5</v>
      </c>
      <c r="N188">
        <v>247950</v>
      </c>
      <c r="O188" t="s">
        <v>35</v>
      </c>
      <c r="P188">
        <v>3</v>
      </c>
      <c r="Q188" t="s">
        <v>65</v>
      </c>
    </row>
    <row r="189" spans="1:17" x14ac:dyDescent="0.3">
      <c r="A189" t="s">
        <v>459</v>
      </c>
      <c r="B189" t="s">
        <v>460</v>
      </c>
      <c r="C189" t="s">
        <v>71</v>
      </c>
      <c r="D189" t="s">
        <v>103</v>
      </c>
      <c r="E189">
        <v>35</v>
      </c>
      <c r="F189" t="s">
        <v>461</v>
      </c>
      <c r="G189" t="s">
        <v>21</v>
      </c>
      <c r="H189" t="s">
        <v>62</v>
      </c>
      <c r="I189" t="s">
        <v>140</v>
      </c>
      <c r="J189" t="s">
        <v>64</v>
      </c>
      <c r="K189">
        <v>5</v>
      </c>
      <c r="L189">
        <v>46000</v>
      </c>
      <c r="M189">
        <v>20</v>
      </c>
      <c r="N189">
        <v>184000</v>
      </c>
      <c r="O189" t="s">
        <v>25</v>
      </c>
      <c r="P189">
        <v>2</v>
      </c>
      <c r="Q189" t="s">
        <v>74</v>
      </c>
    </row>
    <row r="190" spans="1:17" x14ac:dyDescent="0.3">
      <c r="A190" t="s">
        <v>462</v>
      </c>
      <c r="B190" t="s">
        <v>463</v>
      </c>
      <c r="C190" t="s">
        <v>60</v>
      </c>
      <c r="E190">
        <v>24</v>
      </c>
      <c r="F190" t="s">
        <v>44</v>
      </c>
      <c r="G190" t="s">
        <v>100</v>
      </c>
      <c r="H190" t="s">
        <v>46</v>
      </c>
      <c r="I190" t="s">
        <v>79</v>
      </c>
      <c r="J190" t="s">
        <v>34</v>
      </c>
      <c r="K190">
        <v>5</v>
      </c>
      <c r="L190">
        <v>13900</v>
      </c>
      <c r="M190">
        <v>25</v>
      </c>
      <c r="N190">
        <v>52125</v>
      </c>
      <c r="O190" t="s">
        <v>35</v>
      </c>
      <c r="P190">
        <v>1</v>
      </c>
      <c r="Q190" t="s">
        <v>41</v>
      </c>
    </row>
    <row r="191" spans="1:17" x14ac:dyDescent="0.3">
      <c r="A191" t="s">
        <v>464</v>
      </c>
      <c r="B191" t="s">
        <v>465</v>
      </c>
      <c r="C191" t="s">
        <v>60</v>
      </c>
      <c r="D191" t="s">
        <v>103</v>
      </c>
      <c r="E191">
        <v>23</v>
      </c>
      <c r="F191" t="s">
        <v>77</v>
      </c>
      <c r="G191" t="s">
        <v>78</v>
      </c>
      <c r="H191" t="s">
        <v>62</v>
      </c>
      <c r="I191" t="s">
        <v>63</v>
      </c>
      <c r="J191" t="s">
        <v>64</v>
      </c>
      <c r="K191" t="s">
        <v>184</v>
      </c>
      <c r="L191">
        <v>14700</v>
      </c>
      <c r="M191">
        <v>15</v>
      </c>
      <c r="N191">
        <v>62475</v>
      </c>
      <c r="O191" t="s">
        <v>35</v>
      </c>
      <c r="P191">
        <v>4</v>
      </c>
      <c r="Q191" t="s">
        <v>65</v>
      </c>
    </row>
    <row r="192" spans="1:17" x14ac:dyDescent="0.3">
      <c r="A192" t="s">
        <v>466</v>
      </c>
      <c r="B192" t="s">
        <v>467</v>
      </c>
      <c r="C192" t="s">
        <v>29</v>
      </c>
      <c r="E192">
        <v>54</v>
      </c>
      <c r="F192" t="s">
        <v>30</v>
      </c>
      <c r="G192" t="s">
        <v>57</v>
      </c>
      <c r="H192" t="s">
        <v>32</v>
      </c>
      <c r="I192" t="s">
        <v>53</v>
      </c>
      <c r="J192" t="s">
        <v>89</v>
      </c>
      <c r="K192">
        <v>6</v>
      </c>
      <c r="L192">
        <v>40100</v>
      </c>
      <c r="M192">
        <v>20</v>
      </c>
      <c r="N192">
        <v>192480</v>
      </c>
      <c r="O192" t="s">
        <v>48</v>
      </c>
      <c r="Q192" t="s">
        <v>65</v>
      </c>
    </row>
    <row r="193" spans="1:17" x14ac:dyDescent="0.3">
      <c r="A193" t="s">
        <v>468</v>
      </c>
      <c r="B193" t="s">
        <v>469</v>
      </c>
      <c r="C193" t="s">
        <v>60</v>
      </c>
      <c r="E193">
        <v>21</v>
      </c>
      <c r="F193" t="s">
        <v>44</v>
      </c>
      <c r="G193" t="s">
        <v>45</v>
      </c>
      <c r="H193" t="s">
        <v>32</v>
      </c>
      <c r="I193" t="s">
        <v>53</v>
      </c>
      <c r="J193" t="s">
        <v>80</v>
      </c>
      <c r="K193">
        <v>4</v>
      </c>
      <c r="L193">
        <v>30500</v>
      </c>
      <c r="M193">
        <v>20</v>
      </c>
      <c r="N193">
        <v>97600</v>
      </c>
      <c r="O193" t="s">
        <v>73</v>
      </c>
      <c r="Q193" t="s">
        <v>26</v>
      </c>
    </row>
    <row r="194" spans="1:17" x14ac:dyDescent="0.3">
      <c r="A194" t="s">
        <v>470</v>
      </c>
      <c r="B194" t="s">
        <v>471</v>
      </c>
      <c r="C194" t="s">
        <v>121</v>
      </c>
      <c r="D194" t="s">
        <v>20</v>
      </c>
      <c r="E194">
        <v>25</v>
      </c>
      <c r="F194" t="s">
        <v>30</v>
      </c>
      <c r="G194" t="s">
        <v>57</v>
      </c>
      <c r="H194" t="s">
        <v>32</v>
      </c>
      <c r="I194" t="s">
        <v>33</v>
      </c>
      <c r="J194" t="s">
        <v>24</v>
      </c>
      <c r="K194">
        <v>5</v>
      </c>
      <c r="L194">
        <v>21900</v>
      </c>
      <c r="M194">
        <v>15</v>
      </c>
      <c r="N194" t="s">
        <v>472</v>
      </c>
      <c r="O194" t="s">
        <v>40</v>
      </c>
      <c r="P194">
        <v>4</v>
      </c>
      <c r="Q194" t="s">
        <v>74</v>
      </c>
    </row>
    <row r="195" spans="1:17" x14ac:dyDescent="0.3">
      <c r="A195" t="s">
        <v>473</v>
      </c>
      <c r="B195" t="s">
        <v>474</v>
      </c>
      <c r="C195" t="s">
        <v>94</v>
      </c>
      <c r="E195">
        <v>26</v>
      </c>
      <c r="F195" t="s">
        <v>61</v>
      </c>
      <c r="G195" t="s">
        <v>61</v>
      </c>
      <c r="H195" t="s">
        <v>62</v>
      </c>
      <c r="I195" t="s">
        <v>63</v>
      </c>
      <c r="J195" t="s">
        <v>64</v>
      </c>
      <c r="K195">
        <v>8</v>
      </c>
      <c r="L195">
        <v>35400</v>
      </c>
      <c r="M195">
        <v>15</v>
      </c>
      <c r="N195">
        <v>240720</v>
      </c>
      <c r="O195" t="s">
        <v>85</v>
      </c>
      <c r="P195">
        <v>1</v>
      </c>
      <c r="Q195" t="s">
        <v>74</v>
      </c>
    </row>
    <row r="196" spans="1:17" x14ac:dyDescent="0.3">
      <c r="A196" t="s">
        <v>475</v>
      </c>
      <c r="B196" t="s">
        <v>476</v>
      </c>
      <c r="C196" t="s">
        <v>68</v>
      </c>
      <c r="D196" t="s">
        <v>20</v>
      </c>
      <c r="E196">
        <v>-3</v>
      </c>
      <c r="F196" t="s">
        <v>44</v>
      </c>
      <c r="G196" t="s">
        <v>100</v>
      </c>
      <c r="H196" t="s">
        <v>46</v>
      </c>
      <c r="I196" t="s">
        <v>79</v>
      </c>
      <c r="J196" t="s">
        <v>24</v>
      </c>
      <c r="K196">
        <v>8</v>
      </c>
      <c r="L196">
        <v>39900</v>
      </c>
      <c r="M196">
        <v>0</v>
      </c>
      <c r="N196">
        <v>319200</v>
      </c>
      <c r="O196" t="s">
        <v>85</v>
      </c>
      <c r="P196">
        <v>5</v>
      </c>
      <c r="Q196" t="s">
        <v>41</v>
      </c>
    </row>
    <row r="197" spans="1:17" x14ac:dyDescent="0.3">
      <c r="A197" t="s">
        <v>477</v>
      </c>
      <c r="B197" t="s">
        <v>478</v>
      </c>
      <c r="C197" t="s">
        <v>88</v>
      </c>
      <c r="D197" t="s">
        <v>83</v>
      </c>
      <c r="E197">
        <v>61</v>
      </c>
      <c r="F197" t="s">
        <v>44</v>
      </c>
      <c r="G197" t="s">
        <v>45</v>
      </c>
      <c r="H197" t="s">
        <v>62</v>
      </c>
      <c r="I197" t="s">
        <v>63</v>
      </c>
      <c r="J197" t="s">
        <v>80</v>
      </c>
      <c r="K197">
        <v>7</v>
      </c>
      <c r="L197">
        <v>38700</v>
      </c>
      <c r="M197">
        <v>5</v>
      </c>
      <c r="N197">
        <v>257355</v>
      </c>
      <c r="O197" t="s">
        <v>85</v>
      </c>
      <c r="Q197" t="s">
        <v>65</v>
      </c>
    </row>
    <row r="198" spans="1:17" x14ac:dyDescent="0.3">
      <c r="A198" t="s">
        <v>479</v>
      </c>
      <c r="B198" t="s">
        <v>480</v>
      </c>
      <c r="C198" t="s">
        <v>29</v>
      </c>
      <c r="D198" t="s">
        <v>20</v>
      </c>
      <c r="E198">
        <v>28</v>
      </c>
      <c r="F198" t="s">
        <v>21</v>
      </c>
      <c r="G198" t="s">
        <v>21</v>
      </c>
      <c r="H198" t="s">
        <v>22</v>
      </c>
      <c r="I198" t="s">
        <v>23</v>
      </c>
      <c r="J198" t="s">
        <v>24</v>
      </c>
      <c r="K198">
        <v>7</v>
      </c>
      <c r="L198">
        <v>5700</v>
      </c>
      <c r="M198">
        <v>25</v>
      </c>
      <c r="N198">
        <v>29925</v>
      </c>
      <c r="O198" t="s">
        <v>73</v>
      </c>
      <c r="P198">
        <v>5</v>
      </c>
      <c r="Q198" t="s">
        <v>74</v>
      </c>
    </row>
    <row r="199" spans="1:17" x14ac:dyDescent="0.3">
      <c r="A199" t="s">
        <v>481</v>
      </c>
      <c r="B199" t="s">
        <v>482</v>
      </c>
      <c r="C199" t="s">
        <v>68</v>
      </c>
      <c r="D199" t="s">
        <v>83</v>
      </c>
      <c r="E199">
        <v>28</v>
      </c>
      <c r="F199" t="s">
        <v>77</v>
      </c>
      <c r="G199" t="s">
        <v>78</v>
      </c>
      <c r="H199" t="s">
        <v>32</v>
      </c>
      <c r="I199" t="s">
        <v>33</v>
      </c>
      <c r="J199" t="s">
        <v>72</v>
      </c>
      <c r="K199">
        <v>9</v>
      </c>
      <c r="L199">
        <v>22100</v>
      </c>
      <c r="M199">
        <v>0</v>
      </c>
      <c r="N199">
        <v>198900</v>
      </c>
      <c r="O199" t="s">
        <v>105</v>
      </c>
      <c r="P199">
        <v>5</v>
      </c>
      <c r="Q199" t="s">
        <v>65</v>
      </c>
    </row>
    <row r="200" spans="1:17" x14ac:dyDescent="0.3">
      <c r="A200" t="s">
        <v>483</v>
      </c>
      <c r="B200" t="s">
        <v>484</v>
      </c>
      <c r="C200" t="s">
        <v>113</v>
      </c>
      <c r="D200" t="s">
        <v>20</v>
      </c>
      <c r="E200">
        <v>61</v>
      </c>
      <c r="F200" t="s">
        <v>21</v>
      </c>
      <c r="G200" t="s">
        <v>21</v>
      </c>
      <c r="H200" t="s">
        <v>32</v>
      </c>
      <c r="I200" t="s">
        <v>53</v>
      </c>
      <c r="J200" t="s">
        <v>80</v>
      </c>
      <c r="K200">
        <v>5</v>
      </c>
      <c r="L200">
        <v>41600</v>
      </c>
      <c r="M200">
        <v>0</v>
      </c>
      <c r="N200">
        <v>208000</v>
      </c>
      <c r="O200" t="s">
        <v>35</v>
      </c>
      <c r="P200">
        <v>3</v>
      </c>
      <c r="Q200" t="s">
        <v>41</v>
      </c>
    </row>
    <row r="201" spans="1:17" x14ac:dyDescent="0.3">
      <c r="A201" t="s">
        <v>485</v>
      </c>
      <c r="B201" t="s">
        <v>486</v>
      </c>
      <c r="C201" t="s">
        <v>60</v>
      </c>
      <c r="D201" t="s">
        <v>103</v>
      </c>
      <c r="E201">
        <v>25</v>
      </c>
      <c r="F201" t="s">
        <v>30</v>
      </c>
      <c r="G201" t="s">
        <v>57</v>
      </c>
      <c r="H201" t="s">
        <v>32</v>
      </c>
      <c r="I201" t="s">
        <v>53</v>
      </c>
      <c r="J201" t="s">
        <v>72</v>
      </c>
      <c r="K201">
        <v>10</v>
      </c>
      <c r="L201">
        <v>41500</v>
      </c>
      <c r="M201">
        <v>25</v>
      </c>
      <c r="N201">
        <v>311250</v>
      </c>
      <c r="O201" t="s">
        <v>105</v>
      </c>
      <c r="P201">
        <v>3</v>
      </c>
      <c r="Q201" t="s">
        <v>65</v>
      </c>
    </row>
    <row r="202" spans="1:17" x14ac:dyDescent="0.3">
      <c r="A202" t="s">
        <v>487</v>
      </c>
      <c r="B202" t="s">
        <v>488</v>
      </c>
      <c r="C202" t="s">
        <v>94</v>
      </c>
      <c r="D202" t="s">
        <v>20</v>
      </c>
      <c r="E202">
        <v>43</v>
      </c>
      <c r="F202" t="s">
        <v>21</v>
      </c>
      <c r="G202" t="s">
        <v>21</v>
      </c>
      <c r="H202" t="s">
        <v>110</v>
      </c>
      <c r="I202" t="s">
        <v>53</v>
      </c>
      <c r="J202" t="s">
        <v>80</v>
      </c>
      <c r="K202">
        <v>2</v>
      </c>
      <c r="L202">
        <v>48000</v>
      </c>
      <c r="M202">
        <v>0</v>
      </c>
      <c r="N202">
        <v>96000</v>
      </c>
      <c r="O202" t="s">
        <v>35</v>
      </c>
      <c r="Q202" t="s">
        <v>74</v>
      </c>
    </row>
    <row r="203" spans="1:17" x14ac:dyDescent="0.3">
      <c r="A203" t="s">
        <v>489</v>
      </c>
      <c r="B203" t="s">
        <v>490</v>
      </c>
      <c r="C203" t="s">
        <v>29</v>
      </c>
      <c r="D203" t="s">
        <v>103</v>
      </c>
      <c r="E203">
        <v>27</v>
      </c>
      <c r="F203" t="s">
        <v>77</v>
      </c>
      <c r="G203" t="s">
        <v>78</v>
      </c>
      <c r="H203" t="s">
        <v>32</v>
      </c>
      <c r="I203" t="s">
        <v>53</v>
      </c>
      <c r="J203" t="s">
        <v>89</v>
      </c>
      <c r="K203">
        <v>3</v>
      </c>
      <c r="L203">
        <v>28400</v>
      </c>
      <c r="M203">
        <v>15</v>
      </c>
      <c r="N203">
        <v>72420</v>
      </c>
      <c r="O203" t="s">
        <v>48</v>
      </c>
      <c r="Q203" t="s">
        <v>26</v>
      </c>
    </row>
    <row r="204" spans="1:17" x14ac:dyDescent="0.3">
      <c r="A204" t="s">
        <v>491</v>
      </c>
      <c r="B204" t="s">
        <v>492</v>
      </c>
      <c r="C204" t="s">
        <v>94</v>
      </c>
      <c r="D204" t="s">
        <v>39</v>
      </c>
      <c r="E204">
        <v>27</v>
      </c>
      <c r="F204" t="s">
        <v>30</v>
      </c>
      <c r="G204" t="s">
        <v>57</v>
      </c>
      <c r="H204" t="s">
        <v>46</v>
      </c>
      <c r="I204" t="s">
        <v>79</v>
      </c>
      <c r="J204" t="s">
        <v>24</v>
      </c>
      <c r="K204">
        <v>8</v>
      </c>
      <c r="L204">
        <v>7600</v>
      </c>
      <c r="M204">
        <v>10</v>
      </c>
      <c r="N204">
        <v>54720</v>
      </c>
      <c r="O204" t="s">
        <v>85</v>
      </c>
      <c r="Q204" t="s">
        <v>65</v>
      </c>
    </row>
    <row r="205" spans="1:17" x14ac:dyDescent="0.3">
      <c r="A205" t="s">
        <v>493</v>
      </c>
      <c r="B205" t="s">
        <v>494</v>
      </c>
      <c r="C205" t="s">
        <v>88</v>
      </c>
      <c r="E205">
        <v>65</v>
      </c>
      <c r="F205" t="s">
        <v>51</v>
      </c>
      <c r="G205" t="s">
        <v>104</v>
      </c>
      <c r="H205" t="s">
        <v>32</v>
      </c>
      <c r="I205" t="s">
        <v>53</v>
      </c>
      <c r="J205" t="s">
        <v>64</v>
      </c>
      <c r="K205">
        <v>8</v>
      </c>
      <c r="L205">
        <v>23000</v>
      </c>
      <c r="M205">
        <v>15</v>
      </c>
      <c r="N205">
        <v>156400</v>
      </c>
      <c r="O205" t="s">
        <v>40</v>
      </c>
      <c r="Q205" t="s">
        <v>26</v>
      </c>
    </row>
    <row r="206" spans="1:17" x14ac:dyDescent="0.3">
      <c r="A206" t="s">
        <v>495</v>
      </c>
      <c r="B206" t="s">
        <v>496</v>
      </c>
      <c r="C206" t="s">
        <v>19</v>
      </c>
      <c r="D206" t="s">
        <v>39</v>
      </c>
      <c r="E206">
        <v>44</v>
      </c>
      <c r="F206" t="s">
        <v>21</v>
      </c>
      <c r="G206" t="s">
        <v>21</v>
      </c>
      <c r="H206" t="s">
        <v>32</v>
      </c>
      <c r="I206" t="s">
        <v>33</v>
      </c>
      <c r="J206" t="s">
        <v>24</v>
      </c>
      <c r="K206">
        <v>8</v>
      </c>
      <c r="L206">
        <v>43400</v>
      </c>
      <c r="M206">
        <v>0</v>
      </c>
      <c r="N206">
        <v>347200</v>
      </c>
      <c r="O206" t="s">
        <v>105</v>
      </c>
      <c r="P206">
        <v>3</v>
      </c>
      <c r="Q206" t="s">
        <v>26</v>
      </c>
    </row>
    <row r="207" spans="1:17" x14ac:dyDescent="0.3">
      <c r="A207" t="s">
        <v>497</v>
      </c>
      <c r="B207" t="s">
        <v>498</v>
      </c>
      <c r="C207" t="s">
        <v>71</v>
      </c>
      <c r="D207" t="s">
        <v>39</v>
      </c>
      <c r="E207">
        <v>19</v>
      </c>
      <c r="F207" t="s">
        <v>30</v>
      </c>
      <c r="G207" t="s">
        <v>31</v>
      </c>
      <c r="H207" t="s">
        <v>32</v>
      </c>
      <c r="I207" t="s">
        <v>53</v>
      </c>
      <c r="J207" t="s">
        <v>34</v>
      </c>
      <c r="K207">
        <v>7</v>
      </c>
      <c r="L207">
        <v>30100</v>
      </c>
      <c r="M207">
        <v>5</v>
      </c>
      <c r="N207">
        <v>200165</v>
      </c>
      <c r="O207" t="s">
        <v>85</v>
      </c>
      <c r="P207">
        <v>1</v>
      </c>
      <c r="Q207" t="s">
        <v>74</v>
      </c>
    </row>
    <row r="208" spans="1:17" x14ac:dyDescent="0.3">
      <c r="A208" t="s">
        <v>499</v>
      </c>
      <c r="B208" t="s">
        <v>500</v>
      </c>
      <c r="C208" t="s">
        <v>29</v>
      </c>
      <c r="E208">
        <v>28</v>
      </c>
      <c r="F208" t="s">
        <v>44</v>
      </c>
      <c r="G208" t="s">
        <v>100</v>
      </c>
      <c r="H208" t="s">
        <v>32</v>
      </c>
      <c r="I208" t="s">
        <v>33</v>
      </c>
      <c r="J208" t="s">
        <v>72</v>
      </c>
      <c r="K208">
        <v>9</v>
      </c>
      <c r="L208">
        <v>49600</v>
      </c>
      <c r="M208">
        <v>0</v>
      </c>
      <c r="N208">
        <v>446400</v>
      </c>
      <c r="O208" t="s">
        <v>40</v>
      </c>
      <c r="P208">
        <v>1</v>
      </c>
      <c r="Q208" t="s">
        <v>26</v>
      </c>
    </row>
    <row r="209" spans="1:17" x14ac:dyDescent="0.3">
      <c r="A209" t="s">
        <v>501</v>
      </c>
      <c r="B209" t="s">
        <v>502</v>
      </c>
      <c r="C209" t="s">
        <v>88</v>
      </c>
      <c r="D209" t="s">
        <v>20</v>
      </c>
      <c r="E209">
        <v>39</v>
      </c>
      <c r="F209" t="s">
        <v>503</v>
      </c>
      <c r="G209" t="s">
        <v>31</v>
      </c>
      <c r="H209" t="s">
        <v>22</v>
      </c>
      <c r="I209" t="s">
        <v>23</v>
      </c>
      <c r="J209" t="s">
        <v>64</v>
      </c>
      <c r="K209">
        <v>4</v>
      </c>
      <c r="L209">
        <v>46300</v>
      </c>
      <c r="M209">
        <v>20</v>
      </c>
      <c r="N209" t="s">
        <v>504</v>
      </c>
      <c r="O209" t="s">
        <v>35</v>
      </c>
      <c r="P209">
        <v>2</v>
      </c>
      <c r="Q209" t="s">
        <v>41</v>
      </c>
    </row>
    <row r="210" spans="1:17" x14ac:dyDescent="0.3">
      <c r="A210" t="s">
        <v>505</v>
      </c>
      <c r="B210" t="s">
        <v>154</v>
      </c>
      <c r="C210" t="s">
        <v>38</v>
      </c>
      <c r="D210" t="s">
        <v>39</v>
      </c>
      <c r="E210">
        <v>24</v>
      </c>
      <c r="F210" t="s">
        <v>211</v>
      </c>
      <c r="G210" t="s">
        <v>100</v>
      </c>
      <c r="H210" t="s">
        <v>46</v>
      </c>
      <c r="I210" t="s">
        <v>79</v>
      </c>
      <c r="J210" t="s">
        <v>89</v>
      </c>
      <c r="K210">
        <v>5</v>
      </c>
      <c r="L210">
        <v>24500</v>
      </c>
      <c r="M210">
        <v>5</v>
      </c>
      <c r="N210">
        <v>116375</v>
      </c>
      <c r="O210" t="s">
        <v>73</v>
      </c>
      <c r="P210">
        <v>2</v>
      </c>
      <c r="Q210" t="s">
        <v>65</v>
      </c>
    </row>
    <row r="211" spans="1:17" x14ac:dyDescent="0.3">
      <c r="A211" t="s">
        <v>506</v>
      </c>
      <c r="B211" t="s">
        <v>507</v>
      </c>
      <c r="C211" t="s">
        <v>68</v>
      </c>
      <c r="D211" t="s">
        <v>20</v>
      </c>
      <c r="E211">
        <v>42</v>
      </c>
      <c r="F211" t="s">
        <v>21</v>
      </c>
      <c r="G211" t="s">
        <v>21</v>
      </c>
      <c r="H211" t="s">
        <v>46</v>
      </c>
      <c r="I211" t="s">
        <v>79</v>
      </c>
      <c r="J211" t="s">
        <v>80</v>
      </c>
      <c r="K211">
        <v>8</v>
      </c>
      <c r="L211">
        <v>32400</v>
      </c>
      <c r="M211">
        <v>25</v>
      </c>
      <c r="N211">
        <v>194400</v>
      </c>
      <c r="O211" t="s">
        <v>73</v>
      </c>
      <c r="P211">
        <v>3</v>
      </c>
      <c r="Q211" t="s">
        <v>74</v>
      </c>
    </row>
    <row r="212" spans="1:17" x14ac:dyDescent="0.3">
      <c r="A212" t="s">
        <v>508</v>
      </c>
      <c r="B212" t="s">
        <v>509</v>
      </c>
      <c r="C212" t="s">
        <v>38</v>
      </c>
      <c r="D212" t="s">
        <v>103</v>
      </c>
      <c r="E212">
        <v>33</v>
      </c>
      <c r="F212" t="s">
        <v>51</v>
      </c>
      <c r="G212" t="s">
        <v>52</v>
      </c>
      <c r="H212" t="s">
        <v>32</v>
      </c>
      <c r="I212" t="s">
        <v>53</v>
      </c>
      <c r="J212" t="s">
        <v>34</v>
      </c>
      <c r="K212">
        <v>6</v>
      </c>
      <c r="L212">
        <v>31500</v>
      </c>
      <c r="M212">
        <v>20</v>
      </c>
      <c r="N212">
        <v>151200</v>
      </c>
      <c r="O212" t="s">
        <v>48</v>
      </c>
      <c r="P212">
        <v>3</v>
      </c>
      <c r="Q212" t="s">
        <v>74</v>
      </c>
    </row>
    <row r="213" spans="1:17" x14ac:dyDescent="0.3">
      <c r="A213" t="s">
        <v>510</v>
      </c>
      <c r="B213" t="s">
        <v>511</v>
      </c>
      <c r="C213" t="s">
        <v>60</v>
      </c>
      <c r="D213" t="s">
        <v>20</v>
      </c>
      <c r="E213">
        <v>54</v>
      </c>
      <c r="F213" t="s">
        <v>77</v>
      </c>
      <c r="G213" t="s">
        <v>78</v>
      </c>
      <c r="H213" t="s">
        <v>431</v>
      </c>
      <c r="I213" t="s">
        <v>47</v>
      </c>
      <c r="J213" t="s">
        <v>72</v>
      </c>
      <c r="K213">
        <v>2</v>
      </c>
      <c r="L213">
        <v>40900</v>
      </c>
      <c r="M213">
        <v>15</v>
      </c>
      <c r="N213">
        <v>69530</v>
      </c>
      <c r="O213" t="s">
        <v>85</v>
      </c>
      <c r="P213">
        <v>4</v>
      </c>
      <c r="Q213" t="s">
        <v>26</v>
      </c>
    </row>
    <row r="214" spans="1:17" x14ac:dyDescent="0.3">
      <c r="A214" t="s">
        <v>512</v>
      </c>
      <c r="B214" t="s">
        <v>513</v>
      </c>
      <c r="C214" t="s">
        <v>29</v>
      </c>
      <c r="D214" t="s">
        <v>39</v>
      </c>
      <c r="E214">
        <v>41</v>
      </c>
      <c r="F214" t="s">
        <v>51</v>
      </c>
      <c r="G214" t="s">
        <v>104</v>
      </c>
      <c r="H214" t="s">
        <v>32</v>
      </c>
      <c r="I214" t="s">
        <v>33</v>
      </c>
      <c r="J214" t="s">
        <v>89</v>
      </c>
      <c r="K214">
        <v>6</v>
      </c>
      <c r="L214">
        <v>38400</v>
      </c>
      <c r="M214">
        <v>15</v>
      </c>
      <c r="N214">
        <v>195840</v>
      </c>
      <c r="O214" t="s">
        <v>35</v>
      </c>
      <c r="Q214" t="s">
        <v>26</v>
      </c>
    </row>
    <row r="215" spans="1:17" x14ac:dyDescent="0.3">
      <c r="A215" t="s">
        <v>514</v>
      </c>
      <c r="B215" t="s">
        <v>139</v>
      </c>
      <c r="C215" t="s">
        <v>113</v>
      </c>
      <c r="D215" t="s">
        <v>20</v>
      </c>
      <c r="E215">
        <v>57</v>
      </c>
      <c r="F215" t="s">
        <v>51</v>
      </c>
      <c r="G215" t="s">
        <v>104</v>
      </c>
      <c r="H215" t="s">
        <v>32</v>
      </c>
      <c r="I215" t="s">
        <v>53</v>
      </c>
      <c r="J215" t="s">
        <v>89</v>
      </c>
      <c r="K215">
        <v>2</v>
      </c>
      <c r="L215">
        <v>41000</v>
      </c>
      <c r="M215">
        <v>25</v>
      </c>
      <c r="N215">
        <v>61500</v>
      </c>
      <c r="O215" t="s">
        <v>105</v>
      </c>
      <c r="Q215" t="s">
        <v>41</v>
      </c>
    </row>
    <row r="216" spans="1:17" x14ac:dyDescent="0.3">
      <c r="A216" t="s">
        <v>515</v>
      </c>
      <c r="B216" t="s">
        <v>283</v>
      </c>
      <c r="C216" t="s">
        <v>113</v>
      </c>
      <c r="D216" t="s">
        <v>20</v>
      </c>
      <c r="E216">
        <v>26</v>
      </c>
      <c r="F216" t="s">
        <v>77</v>
      </c>
      <c r="G216" t="s">
        <v>95</v>
      </c>
      <c r="H216" t="s">
        <v>32</v>
      </c>
      <c r="I216" t="s">
        <v>53</v>
      </c>
      <c r="J216" t="s">
        <v>89</v>
      </c>
      <c r="K216">
        <v>1</v>
      </c>
      <c r="L216">
        <v>9300</v>
      </c>
      <c r="M216">
        <v>20</v>
      </c>
      <c r="N216">
        <v>7440</v>
      </c>
      <c r="O216" t="s">
        <v>48</v>
      </c>
      <c r="P216">
        <v>1</v>
      </c>
      <c r="Q216" t="s">
        <v>26</v>
      </c>
    </row>
    <row r="217" spans="1:17" x14ac:dyDescent="0.3">
      <c r="A217" t="s">
        <v>516</v>
      </c>
      <c r="B217" t="s">
        <v>256</v>
      </c>
      <c r="C217" t="s">
        <v>71</v>
      </c>
      <c r="E217">
        <v>34</v>
      </c>
      <c r="F217" t="s">
        <v>30</v>
      </c>
      <c r="G217" t="s">
        <v>57</v>
      </c>
      <c r="H217" t="s">
        <v>32</v>
      </c>
      <c r="I217" t="s">
        <v>53</v>
      </c>
      <c r="J217" t="s">
        <v>72</v>
      </c>
      <c r="K217">
        <v>4</v>
      </c>
      <c r="L217">
        <v>23200</v>
      </c>
      <c r="M217">
        <v>25</v>
      </c>
      <c r="N217">
        <v>69600</v>
      </c>
      <c r="O217" t="s">
        <v>48</v>
      </c>
      <c r="P217">
        <v>2</v>
      </c>
      <c r="Q217" t="s">
        <v>41</v>
      </c>
    </row>
    <row r="218" spans="1:17" x14ac:dyDescent="0.3">
      <c r="A218" t="s">
        <v>517</v>
      </c>
      <c r="B218" t="s">
        <v>518</v>
      </c>
      <c r="C218" t="s">
        <v>19</v>
      </c>
      <c r="D218" t="s">
        <v>20</v>
      </c>
      <c r="E218">
        <v>20</v>
      </c>
      <c r="F218" t="s">
        <v>77</v>
      </c>
      <c r="G218" t="s">
        <v>78</v>
      </c>
      <c r="H218" t="s">
        <v>46</v>
      </c>
      <c r="I218" t="s">
        <v>47</v>
      </c>
      <c r="J218" t="s">
        <v>64</v>
      </c>
      <c r="K218">
        <v>4</v>
      </c>
      <c r="L218">
        <v>37800</v>
      </c>
      <c r="M218">
        <v>25</v>
      </c>
      <c r="N218">
        <v>113400</v>
      </c>
      <c r="O218" t="s">
        <v>73</v>
      </c>
      <c r="P218">
        <v>2</v>
      </c>
      <c r="Q218" t="s">
        <v>65</v>
      </c>
    </row>
    <row r="219" spans="1:17" x14ac:dyDescent="0.3">
      <c r="A219" t="s">
        <v>519</v>
      </c>
      <c r="B219" t="s">
        <v>520</v>
      </c>
      <c r="C219" t="s">
        <v>38</v>
      </c>
      <c r="D219" t="s">
        <v>39</v>
      </c>
      <c r="E219">
        <v>34</v>
      </c>
      <c r="F219" t="s">
        <v>61</v>
      </c>
      <c r="G219" t="s">
        <v>61</v>
      </c>
      <c r="H219" t="s">
        <v>22</v>
      </c>
      <c r="I219" t="s">
        <v>84</v>
      </c>
      <c r="J219" t="s">
        <v>80</v>
      </c>
      <c r="K219">
        <v>2</v>
      </c>
      <c r="L219">
        <v>39000</v>
      </c>
      <c r="M219">
        <v>10</v>
      </c>
      <c r="N219">
        <v>70200</v>
      </c>
      <c r="O219" t="s">
        <v>105</v>
      </c>
      <c r="P219">
        <v>1</v>
      </c>
      <c r="Q219" t="s">
        <v>65</v>
      </c>
    </row>
    <row r="220" spans="1:17" x14ac:dyDescent="0.3">
      <c r="A220" t="s">
        <v>521</v>
      </c>
      <c r="B220" t="s">
        <v>522</v>
      </c>
      <c r="C220" t="s">
        <v>88</v>
      </c>
      <c r="D220" t="s">
        <v>83</v>
      </c>
      <c r="E220">
        <v>42</v>
      </c>
      <c r="F220" t="s">
        <v>51</v>
      </c>
      <c r="G220" t="s">
        <v>104</v>
      </c>
      <c r="H220" t="s">
        <v>22</v>
      </c>
      <c r="I220" t="s">
        <v>23</v>
      </c>
      <c r="J220" t="s">
        <v>80</v>
      </c>
      <c r="K220">
        <v>7</v>
      </c>
      <c r="L220">
        <v>25400</v>
      </c>
      <c r="M220">
        <v>10</v>
      </c>
      <c r="N220">
        <v>160020</v>
      </c>
      <c r="O220" t="s">
        <v>25</v>
      </c>
      <c r="P220">
        <v>5</v>
      </c>
      <c r="Q220" t="s">
        <v>65</v>
      </c>
    </row>
    <row r="221" spans="1:17" x14ac:dyDescent="0.3">
      <c r="A221" t="s">
        <v>523</v>
      </c>
      <c r="B221" t="s">
        <v>524</v>
      </c>
      <c r="C221" t="s">
        <v>38</v>
      </c>
      <c r="D221" t="s">
        <v>20</v>
      </c>
      <c r="E221">
        <v>26</v>
      </c>
      <c r="F221" t="s">
        <v>44</v>
      </c>
      <c r="G221" t="s">
        <v>45</v>
      </c>
      <c r="H221" t="s">
        <v>32</v>
      </c>
      <c r="I221" t="s">
        <v>33</v>
      </c>
      <c r="J221" t="s">
        <v>89</v>
      </c>
      <c r="K221">
        <v>2</v>
      </c>
      <c r="L221">
        <v>39900</v>
      </c>
      <c r="M221">
        <v>0</v>
      </c>
      <c r="N221">
        <v>79800</v>
      </c>
      <c r="O221" t="s">
        <v>105</v>
      </c>
      <c r="P221">
        <v>3</v>
      </c>
      <c r="Q221" t="s">
        <v>74</v>
      </c>
    </row>
    <row r="222" spans="1:17" x14ac:dyDescent="0.3">
      <c r="A222" t="s">
        <v>525</v>
      </c>
      <c r="B222" t="s">
        <v>526</v>
      </c>
      <c r="C222" t="s">
        <v>60</v>
      </c>
      <c r="D222" t="s">
        <v>39</v>
      </c>
      <c r="E222">
        <v>27</v>
      </c>
      <c r="F222" t="s">
        <v>77</v>
      </c>
      <c r="G222" t="s">
        <v>78</v>
      </c>
      <c r="H222" t="s">
        <v>62</v>
      </c>
      <c r="I222" t="s">
        <v>63</v>
      </c>
      <c r="J222" t="s">
        <v>80</v>
      </c>
      <c r="K222" t="s">
        <v>165</v>
      </c>
      <c r="L222">
        <v>4700</v>
      </c>
      <c r="M222">
        <v>25</v>
      </c>
      <c r="N222">
        <v>3525</v>
      </c>
      <c r="O222" t="s">
        <v>105</v>
      </c>
      <c r="P222">
        <v>3</v>
      </c>
      <c r="Q222" t="s">
        <v>26</v>
      </c>
    </row>
    <row r="223" spans="1:17" x14ac:dyDescent="0.3">
      <c r="A223" t="s">
        <v>527</v>
      </c>
      <c r="B223" t="s">
        <v>528</v>
      </c>
      <c r="C223" t="s">
        <v>60</v>
      </c>
      <c r="D223" t="s">
        <v>103</v>
      </c>
      <c r="E223">
        <v>38</v>
      </c>
      <c r="F223" t="s">
        <v>30</v>
      </c>
      <c r="G223" t="s">
        <v>31</v>
      </c>
      <c r="H223" t="s">
        <v>62</v>
      </c>
      <c r="I223" t="s">
        <v>63</v>
      </c>
      <c r="J223" t="s">
        <v>80</v>
      </c>
      <c r="K223">
        <v>3</v>
      </c>
      <c r="L223">
        <v>12100</v>
      </c>
      <c r="M223">
        <v>0</v>
      </c>
      <c r="N223">
        <v>36300</v>
      </c>
      <c r="O223" t="s">
        <v>25</v>
      </c>
      <c r="P223">
        <v>1</v>
      </c>
      <c r="Q223" t="s">
        <v>74</v>
      </c>
    </row>
    <row r="224" spans="1:17" x14ac:dyDescent="0.3">
      <c r="A224" t="s">
        <v>529</v>
      </c>
      <c r="B224" t="s">
        <v>530</v>
      </c>
      <c r="C224" t="s">
        <v>60</v>
      </c>
      <c r="E224">
        <v>24</v>
      </c>
      <c r="F224" t="s">
        <v>30</v>
      </c>
      <c r="G224" t="s">
        <v>31</v>
      </c>
      <c r="H224" t="s">
        <v>431</v>
      </c>
      <c r="I224" t="s">
        <v>79</v>
      </c>
      <c r="J224" t="s">
        <v>89</v>
      </c>
      <c r="K224">
        <v>8</v>
      </c>
      <c r="L224">
        <v>7900</v>
      </c>
      <c r="M224">
        <v>5</v>
      </c>
      <c r="N224">
        <v>60040</v>
      </c>
      <c r="O224" t="s">
        <v>105</v>
      </c>
      <c r="P224">
        <v>2</v>
      </c>
      <c r="Q224" t="s">
        <v>74</v>
      </c>
    </row>
    <row r="225" spans="1:17" x14ac:dyDescent="0.3">
      <c r="A225" t="s">
        <v>531</v>
      </c>
      <c r="B225" t="s">
        <v>532</v>
      </c>
      <c r="C225" t="s">
        <v>19</v>
      </c>
      <c r="D225" t="s">
        <v>103</v>
      </c>
      <c r="E225">
        <v>56</v>
      </c>
      <c r="F225" t="s">
        <v>44</v>
      </c>
      <c r="G225" t="s">
        <v>100</v>
      </c>
      <c r="H225" t="s">
        <v>46</v>
      </c>
      <c r="I225" t="s">
        <v>47</v>
      </c>
      <c r="J225" t="s">
        <v>80</v>
      </c>
      <c r="K225">
        <v>4</v>
      </c>
      <c r="L225">
        <v>42800</v>
      </c>
      <c r="M225">
        <v>10</v>
      </c>
      <c r="N225">
        <v>154080</v>
      </c>
      <c r="O225" t="s">
        <v>35</v>
      </c>
      <c r="P225">
        <v>2</v>
      </c>
      <c r="Q225" t="s">
        <v>41</v>
      </c>
    </row>
    <row r="226" spans="1:17" x14ac:dyDescent="0.3">
      <c r="A226" t="s">
        <v>533</v>
      </c>
      <c r="B226" t="s">
        <v>534</v>
      </c>
      <c r="C226" t="s">
        <v>113</v>
      </c>
      <c r="D226" t="s">
        <v>39</v>
      </c>
      <c r="E226">
        <v>56</v>
      </c>
      <c r="F226" t="s">
        <v>30</v>
      </c>
      <c r="G226" t="s">
        <v>57</v>
      </c>
      <c r="H226" t="s">
        <v>62</v>
      </c>
      <c r="I226" t="s">
        <v>140</v>
      </c>
      <c r="J226" t="s">
        <v>34</v>
      </c>
      <c r="K226">
        <v>7</v>
      </c>
      <c r="L226">
        <v>37900</v>
      </c>
      <c r="M226">
        <v>20</v>
      </c>
      <c r="N226">
        <v>212240</v>
      </c>
      <c r="O226" t="s">
        <v>40</v>
      </c>
      <c r="P226">
        <v>4</v>
      </c>
      <c r="Q226" t="s">
        <v>26</v>
      </c>
    </row>
    <row r="227" spans="1:17" x14ac:dyDescent="0.3">
      <c r="A227" t="s">
        <v>535</v>
      </c>
      <c r="B227" t="s">
        <v>536</v>
      </c>
      <c r="C227" t="s">
        <v>71</v>
      </c>
      <c r="D227" t="s">
        <v>103</v>
      </c>
      <c r="E227">
        <v>57</v>
      </c>
      <c r="F227" t="s">
        <v>21</v>
      </c>
      <c r="G227" t="s">
        <v>21</v>
      </c>
      <c r="H227" t="s">
        <v>62</v>
      </c>
      <c r="I227" t="s">
        <v>140</v>
      </c>
      <c r="J227" t="s">
        <v>89</v>
      </c>
      <c r="K227">
        <v>3</v>
      </c>
      <c r="L227">
        <v>26900</v>
      </c>
      <c r="M227">
        <v>10</v>
      </c>
      <c r="N227">
        <v>72630</v>
      </c>
      <c r="O227" t="s">
        <v>40</v>
      </c>
      <c r="P227">
        <v>1</v>
      </c>
      <c r="Q227" t="s">
        <v>41</v>
      </c>
    </row>
    <row r="228" spans="1:17" x14ac:dyDescent="0.3">
      <c r="A228" t="s">
        <v>537</v>
      </c>
      <c r="B228" t="s">
        <v>538</v>
      </c>
      <c r="C228" t="s">
        <v>60</v>
      </c>
      <c r="D228" t="s">
        <v>39</v>
      </c>
      <c r="E228">
        <v>62</v>
      </c>
      <c r="F228" t="s">
        <v>30</v>
      </c>
      <c r="G228" t="s">
        <v>31</v>
      </c>
      <c r="H228" t="s">
        <v>46</v>
      </c>
      <c r="I228" t="s">
        <v>79</v>
      </c>
      <c r="J228" t="s">
        <v>34</v>
      </c>
      <c r="K228">
        <v>10</v>
      </c>
      <c r="L228">
        <v>36600</v>
      </c>
      <c r="M228">
        <v>0</v>
      </c>
      <c r="N228">
        <v>366000</v>
      </c>
      <c r="O228" t="s">
        <v>35</v>
      </c>
      <c r="P228">
        <v>3</v>
      </c>
      <c r="Q228" t="s">
        <v>65</v>
      </c>
    </row>
    <row r="229" spans="1:17" x14ac:dyDescent="0.3">
      <c r="A229" t="s">
        <v>539</v>
      </c>
      <c r="B229" t="s">
        <v>540</v>
      </c>
      <c r="C229" t="s">
        <v>38</v>
      </c>
      <c r="D229" t="s">
        <v>103</v>
      </c>
      <c r="E229">
        <v>38</v>
      </c>
      <c r="F229" t="s">
        <v>61</v>
      </c>
      <c r="G229" t="s">
        <v>61</v>
      </c>
      <c r="H229" t="s">
        <v>62</v>
      </c>
      <c r="I229" t="s">
        <v>63</v>
      </c>
      <c r="J229" t="s">
        <v>80</v>
      </c>
      <c r="K229">
        <v>9</v>
      </c>
      <c r="L229">
        <v>21900</v>
      </c>
      <c r="M229">
        <v>20</v>
      </c>
      <c r="N229">
        <v>157680</v>
      </c>
      <c r="O229" t="s">
        <v>35</v>
      </c>
      <c r="Q229" t="s">
        <v>65</v>
      </c>
    </row>
    <row r="230" spans="1:17" x14ac:dyDescent="0.3">
      <c r="A230" t="s">
        <v>541</v>
      </c>
      <c r="B230" t="s">
        <v>542</v>
      </c>
      <c r="C230" t="s">
        <v>38</v>
      </c>
      <c r="D230" t="s">
        <v>83</v>
      </c>
      <c r="E230">
        <v>20</v>
      </c>
      <c r="F230" t="s">
        <v>44</v>
      </c>
      <c r="G230" t="s">
        <v>100</v>
      </c>
      <c r="H230" t="s">
        <v>22</v>
      </c>
      <c r="I230" t="s">
        <v>84</v>
      </c>
      <c r="J230" t="s">
        <v>72</v>
      </c>
      <c r="K230">
        <v>4</v>
      </c>
      <c r="L230">
        <v>4200</v>
      </c>
      <c r="M230">
        <v>25</v>
      </c>
      <c r="N230">
        <v>12600</v>
      </c>
      <c r="O230" t="s">
        <v>48</v>
      </c>
      <c r="P230">
        <v>1</v>
      </c>
      <c r="Q230" t="s">
        <v>65</v>
      </c>
    </row>
    <row r="231" spans="1:17" x14ac:dyDescent="0.3">
      <c r="A231" t="s">
        <v>543</v>
      </c>
      <c r="B231" t="s">
        <v>123</v>
      </c>
      <c r="C231" t="s">
        <v>113</v>
      </c>
      <c r="D231" t="s">
        <v>83</v>
      </c>
      <c r="E231">
        <v>23</v>
      </c>
      <c r="F231" t="s">
        <v>51</v>
      </c>
      <c r="G231" t="s">
        <v>52</v>
      </c>
      <c r="H231" t="s">
        <v>431</v>
      </c>
      <c r="I231" t="s">
        <v>47</v>
      </c>
      <c r="J231" t="s">
        <v>64</v>
      </c>
      <c r="K231">
        <v>1</v>
      </c>
      <c r="L231">
        <v>39500</v>
      </c>
      <c r="M231">
        <v>15</v>
      </c>
      <c r="N231">
        <v>33575</v>
      </c>
      <c r="O231" t="s">
        <v>40</v>
      </c>
      <c r="Q231" t="s">
        <v>26</v>
      </c>
    </row>
    <row r="232" spans="1:17" x14ac:dyDescent="0.3">
      <c r="A232" t="s">
        <v>544</v>
      </c>
      <c r="B232" t="s">
        <v>545</v>
      </c>
      <c r="C232" t="s">
        <v>19</v>
      </c>
      <c r="D232" t="s">
        <v>39</v>
      </c>
      <c r="E232">
        <v>27</v>
      </c>
      <c r="F232" t="s">
        <v>30</v>
      </c>
      <c r="G232" t="s">
        <v>31</v>
      </c>
      <c r="H232" t="s">
        <v>46</v>
      </c>
      <c r="I232" t="s">
        <v>47</v>
      </c>
      <c r="J232" t="s">
        <v>64</v>
      </c>
      <c r="K232">
        <v>2</v>
      </c>
      <c r="L232">
        <v>28200</v>
      </c>
      <c r="M232">
        <v>0</v>
      </c>
      <c r="N232" t="s">
        <v>546</v>
      </c>
      <c r="O232" t="s">
        <v>48</v>
      </c>
      <c r="P232">
        <v>3</v>
      </c>
      <c r="Q232" t="s">
        <v>65</v>
      </c>
    </row>
    <row r="233" spans="1:17" x14ac:dyDescent="0.3">
      <c r="A233" t="s">
        <v>547</v>
      </c>
      <c r="B233" t="s">
        <v>548</v>
      </c>
      <c r="C233" t="s">
        <v>113</v>
      </c>
      <c r="D233" t="s">
        <v>39</v>
      </c>
      <c r="E233">
        <v>63</v>
      </c>
      <c r="F233" t="s">
        <v>51</v>
      </c>
      <c r="G233" t="s">
        <v>52</v>
      </c>
      <c r="H233" t="s">
        <v>32</v>
      </c>
      <c r="I233" t="s">
        <v>53</v>
      </c>
      <c r="J233" t="s">
        <v>72</v>
      </c>
      <c r="K233">
        <v>7</v>
      </c>
      <c r="L233">
        <v>13400</v>
      </c>
      <c r="M233">
        <v>10</v>
      </c>
      <c r="N233">
        <v>84420</v>
      </c>
      <c r="O233" t="s">
        <v>48</v>
      </c>
      <c r="P233">
        <v>4</v>
      </c>
      <c r="Q233" t="s">
        <v>26</v>
      </c>
    </row>
    <row r="234" spans="1:17" x14ac:dyDescent="0.3">
      <c r="A234" t="s">
        <v>549</v>
      </c>
      <c r="B234" t="s">
        <v>550</v>
      </c>
      <c r="C234" t="s">
        <v>71</v>
      </c>
      <c r="D234" t="s">
        <v>83</v>
      </c>
      <c r="E234">
        <v>59</v>
      </c>
      <c r="F234" t="s">
        <v>77</v>
      </c>
      <c r="G234" t="s">
        <v>78</v>
      </c>
      <c r="H234" t="s">
        <v>32</v>
      </c>
      <c r="I234" t="s">
        <v>53</v>
      </c>
      <c r="J234" t="s">
        <v>64</v>
      </c>
      <c r="K234">
        <v>9</v>
      </c>
      <c r="L234">
        <v>34700</v>
      </c>
      <c r="M234">
        <v>5</v>
      </c>
      <c r="N234">
        <v>296685</v>
      </c>
      <c r="O234" t="s">
        <v>73</v>
      </c>
      <c r="P234">
        <v>3</v>
      </c>
      <c r="Q234" t="s">
        <v>74</v>
      </c>
    </row>
    <row r="235" spans="1:17" x14ac:dyDescent="0.3">
      <c r="A235" t="s">
        <v>551</v>
      </c>
      <c r="B235" t="s">
        <v>552</v>
      </c>
      <c r="C235" t="s">
        <v>29</v>
      </c>
      <c r="D235" t="s">
        <v>39</v>
      </c>
      <c r="E235">
        <v>62</v>
      </c>
      <c r="F235" t="s">
        <v>51</v>
      </c>
      <c r="G235" t="s">
        <v>52</v>
      </c>
      <c r="H235" t="s">
        <v>32</v>
      </c>
      <c r="I235" t="s">
        <v>53</v>
      </c>
      <c r="J235" t="s">
        <v>34</v>
      </c>
      <c r="K235">
        <v>10</v>
      </c>
      <c r="L235">
        <v>29200</v>
      </c>
      <c r="M235">
        <v>0</v>
      </c>
      <c r="N235">
        <v>292000</v>
      </c>
      <c r="O235" t="s">
        <v>73</v>
      </c>
      <c r="P235">
        <v>3</v>
      </c>
      <c r="Q235" t="s">
        <v>65</v>
      </c>
    </row>
    <row r="236" spans="1:17" x14ac:dyDescent="0.3">
      <c r="A236" t="s">
        <v>553</v>
      </c>
      <c r="B236" t="s">
        <v>349</v>
      </c>
      <c r="C236" t="s">
        <v>60</v>
      </c>
      <c r="E236">
        <v>26</v>
      </c>
      <c r="F236" t="s">
        <v>21</v>
      </c>
      <c r="G236" t="s">
        <v>21</v>
      </c>
      <c r="H236" t="s">
        <v>32</v>
      </c>
      <c r="I236" t="s">
        <v>53</v>
      </c>
      <c r="J236" t="s">
        <v>72</v>
      </c>
      <c r="K236">
        <v>10</v>
      </c>
      <c r="L236">
        <v>31100</v>
      </c>
      <c r="M236">
        <v>15</v>
      </c>
      <c r="N236">
        <v>264350</v>
      </c>
      <c r="O236" t="s">
        <v>73</v>
      </c>
      <c r="P236">
        <v>5</v>
      </c>
      <c r="Q236" t="s">
        <v>74</v>
      </c>
    </row>
    <row r="237" spans="1:17" x14ac:dyDescent="0.3">
      <c r="A237" t="s">
        <v>554</v>
      </c>
      <c r="B237" t="s">
        <v>555</v>
      </c>
      <c r="C237" t="s">
        <v>113</v>
      </c>
      <c r="D237" t="s">
        <v>83</v>
      </c>
      <c r="E237">
        <v>38</v>
      </c>
      <c r="F237" t="s">
        <v>61</v>
      </c>
      <c r="G237" t="s">
        <v>61</v>
      </c>
      <c r="H237" t="s">
        <v>32</v>
      </c>
      <c r="I237" t="s">
        <v>53</v>
      </c>
      <c r="J237" t="s">
        <v>72</v>
      </c>
      <c r="K237">
        <v>8</v>
      </c>
      <c r="L237">
        <v>34100</v>
      </c>
      <c r="M237">
        <v>0</v>
      </c>
      <c r="N237">
        <v>272800</v>
      </c>
      <c r="O237" t="s">
        <v>25</v>
      </c>
      <c r="P237">
        <v>4</v>
      </c>
      <c r="Q237" t="s">
        <v>65</v>
      </c>
    </row>
    <row r="238" spans="1:17" x14ac:dyDescent="0.3">
      <c r="A238" t="s">
        <v>556</v>
      </c>
      <c r="B238" t="s">
        <v>557</v>
      </c>
      <c r="C238" t="s">
        <v>19</v>
      </c>
      <c r="D238" t="s">
        <v>83</v>
      </c>
      <c r="E238">
        <v>31</v>
      </c>
      <c r="F238" t="s">
        <v>51</v>
      </c>
      <c r="G238" t="s">
        <v>52</v>
      </c>
      <c r="H238" t="s">
        <v>431</v>
      </c>
      <c r="I238" t="s">
        <v>47</v>
      </c>
      <c r="J238" t="s">
        <v>89</v>
      </c>
      <c r="K238">
        <v>3</v>
      </c>
      <c r="L238">
        <v>19000</v>
      </c>
      <c r="M238">
        <v>25</v>
      </c>
      <c r="N238">
        <v>42750</v>
      </c>
      <c r="O238" t="s">
        <v>105</v>
      </c>
      <c r="P238">
        <v>4</v>
      </c>
      <c r="Q238" t="s">
        <v>65</v>
      </c>
    </row>
    <row r="239" spans="1:17" x14ac:dyDescent="0.3">
      <c r="A239" t="s">
        <v>558</v>
      </c>
      <c r="B239" t="s">
        <v>559</v>
      </c>
      <c r="C239" t="s">
        <v>71</v>
      </c>
      <c r="D239" t="s">
        <v>103</v>
      </c>
      <c r="E239">
        <v>46</v>
      </c>
      <c r="F239" t="s">
        <v>61</v>
      </c>
      <c r="G239" t="s">
        <v>61</v>
      </c>
      <c r="H239" t="s">
        <v>22</v>
      </c>
      <c r="I239" t="s">
        <v>23</v>
      </c>
      <c r="J239" t="s">
        <v>72</v>
      </c>
      <c r="K239">
        <v>2</v>
      </c>
      <c r="L239">
        <v>21400</v>
      </c>
      <c r="M239">
        <v>5</v>
      </c>
      <c r="N239">
        <v>40660</v>
      </c>
      <c r="O239" t="s">
        <v>48</v>
      </c>
      <c r="P239">
        <v>1</v>
      </c>
      <c r="Q239" t="s">
        <v>41</v>
      </c>
    </row>
    <row r="240" spans="1:17" x14ac:dyDescent="0.3">
      <c r="A240" t="s">
        <v>560</v>
      </c>
      <c r="B240" t="s">
        <v>561</v>
      </c>
      <c r="C240" t="s">
        <v>29</v>
      </c>
      <c r="D240" t="s">
        <v>83</v>
      </c>
      <c r="E240">
        <v>51</v>
      </c>
      <c r="F240" t="s">
        <v>61</v>
      </c>
      <c r="G240" t="s">
        <v>61</v>
      </c>
      <c r="H240" t="s">
        <v>32</v>
      </c>
      <c r="I240" t="s">
        <v>53</v>
      </c>
      <c r="J240" t="s">
        <v>89</v>
      </c>
      <c r="K240" t="s">
        <v>562</v>
      </c>
      <c r="L240">
        <v>7800</v>
      </c>
      <c r="M240">
        <v>10</v>
      </c>
      <c r="N240">
        <v>28080</v>
      </c>
      <c r="O240" t="s">
        <v>105</v>
      </c>
      <c r="P240">
        <v>3</v>
      </c>
      <c r="Q240" t="s">
        <v>26</v>
      </c>
    </row>
    <row r="241" spans="1:17" x14ac:dyDescent="0.3">
      <c r="A241" t="s">
        <v>563</v>
      </c>
      <c r="B241" t="s">
        <v>564</v>
      </c>
      <c r="C241" t="s">
        <v>121</v>
      </c>
      <c r="D241" t="s">
        <v>103</v>
      </c>
      <c r="E241">
        <v>49</v>
      </c>
      <c r="F241" t="s">
        <v>565</v>
      </c>
      <c r="G241" t="s">
        <v>45</v>
      </c>
      <c r="H241" t="s">
        <v>32</v>
      </c>
      <c r="I241" t="s">
        <v>33</v>
      </c>
      <c r="J241" t="s">
        <v>34</v>
      </c>
      <c r="K241">
        <v>8</v>
      </c>
      <c r="L241">
        <v>7000</v>
      </c>
      <c r="M241">
        <v>0</v>
      </c>
      <c r="N241">
        <v>56000</v>
      </c>
      <c r="O241" t="s">
        <v>73</v>
      </c>
      <c r="Q241" t="s">
        <v>26</v>
      </c>
    </row>
    <row r="242" spans="1:17" x14ac:dyDescent="0.3">
      <c r="A242" t="s">
        <v>566</v>
      </c>
      <c r="B242" t="s">
        <v>206</v>
      </c>
      <c r="C242" t="s">
        <v>38</v>
      </c>
      <c r="E242">
        <v>51</v>
      </c>
      <c r="F242" t="s">
        <v>44</v>
      </c>
      <c r="G242" t="s">
        <v>45</v>
      </c>
      <c r="H242" t="s">
        <v>46</v>
      </c>
      <c r="I242" t="s">
        <v>79</v>
      </c>
      <c r="J242" t="s">
        <v>89</v>
      </c>
      <c r="K242">
        <v>4</v>
      </c>
      <c r="L242">
        <v>36700</v>
      </c>
      <c r="M242">
        <v>5</v>
      </c>
      <c r="N242">
        <v>139460</v>
      </c>
      <c r="O242" t="s">
        <v>85</v>
      </c>
      <c r="P242">
        <v>3</v>
      </c>
      <c r="Q242" t="s">
        <v>65</v>
      </c>
    </row>
    <row r="243" spans="1:17" x14ac:dyDescent="0.3">
      <c r="A243" t="s">
        <v>567</v>
      </c>
      <c r="B243" t="s">
        <v>568</v>
      </c>
      <c r="C243" t="s">
        <v>121</v>
      </c>
      <c r="D243" t="s">
        <v>103</v>
      </c>
      <c r="E243">
        <v>57</v>
      </c>
      <c r="F243" t="s">
        <v>44</v>
      </c>
      <c r="G243" t="s">
        <v>45</v>
      </c>
      <c r="H243" t="s">
        <v>46</v>
      </c>
      <c r="I243" t="s">
        <v>47</v>
      </c>
      <c r="J243" t="s">
        <v>64</v>
      </c>
      <c r="K243">
        <v>7</v>
      </c>
      <c r="L243">
        <v>21200</v>
      </c>
      <c r="M243">
        <v>5</v>
      </c>
      <c r="N243">
        <v>140980</v>
      </c>
      <c r="O243" t="s">
        <v>48</v>
      </c>
      <c r="P243">
        <v>4</v>
      </c>
      <c r="Q243" t="s">
        <v>26</v>
      </c>
    </row>
    <row r="244" spans="1:17" x14ac:dyDescent="0.3">
      <c r="A244" t="s">
        <v>569</v>
      </c>
      <c r="B244" t="s">
        <v>570</v>
      </c>
      <c r="C244" t="s">
        <v>121</v>
      </c>
      <c r="D244" t="s">
        <v>39</v>
      </c>
      <c r="E244">
        <v>33</v>
      </c>
      <c r="F244" t="s">
        <v>61</v>
      </c>
      <c r="G244" t="s">
        <v>61</v>
      </c>
      <c r="H244" t="s">
        <v>46</v>
      </c>
      <c r="I244" t="s">
        <v>79</v>
      </c>
      <c r="J244" t="s">
        <v>24</v>
      </c>
      <c r="K244">
        <v>7</v>
      </c>
      <c r="L244">
        <v>16400</v>
      </c>
      <c r="M244">
        <v>20</v>
      </c>
      <c r="N244">
        <v>91840</v>
      </c>
      <c r="O244" t="s">
        <v>48</v>
      </c>
      <c r="P244">
        <v>2</v>
      </c>
      <c r="Q244" t="s">
        <v>74</v>
      </c>
    </row>
    <row r="245" spans="1:17" x14ac:dyDescent="0.3">
      <c r="A245" t="s">
        <v>571</v>
      </c>
      <c r="B245" t="s">
        <v>264</v>
      </c>
      <c r="C245" t="s">
        <v>19</v>
      </c>
      <c r="D245" t="s">
        <v>20</v>
      </c>
      <c r="E245">
        <v>21</v>
      </c>
      <c r="F245" t="s">
        <v>21</v>
      </c>
      <c r="G245" t="s">
        <v>21</v>
      </c>
      <c r="H245" t="s">
        <v>62</v>
      </c>
      <c r="I245" t="s">
        <v>63</v>
      </c>
      <c r="J245" t="s">
        <v>64</v>
      </c>
      <c r="K245">
        <v>9</v>
      </c>
      <c r="L245">
        <v>16200</v>
      </c>
      <c r="M245">
        <v>0</v>
      </c>
      <c r="N245">
        <v>145800</v>
      </c>
      <c r="O245" t="s">
        <v>40</v>
      </c>
      <c r="P245">
        <v>2</v>
      </c>
      <c r="Q245" t="s">
        <v>41</v>
      </c>
    </row>
    <row r="246" spans="1:17" x14ac:dyDescent="0.3">
      <c r="A246" t="s">
        <v>572</v>
      </c>
      <c r="B246" t="s">
        <v>573</v>
      </c>
      <c r="C246" t="s">
        <v>68</v>
      </c>
      <c r="D246" t="s">
        <v>20</v>
      </c>
      <c r="E246">
        <v>20</v>
      </c>
      <c r="F246" t="s">
        <v>61</v>
      </c>
      <c r="G246" t="s">
        <v>61</v>
      </c>
      <c r="H246" t="s">
        <v>32</v>
      </c>
      <c r="I246" t="s">
        <v>33</v>
      </c>
      <c r="J246" t="s">
        <v>64</v>
      </c>
      <c r="K246">
        <v>6</v>
      </c>
      <c r="L246">
        <v>22100</v>
      </c>
      <c r="M246">
        <v>25</v>
      </c>
      <c r="N246">
        <v>99450</v>
      </c>
      <c r="O246" t="s">
        <v>105</v>
      </c>
      <c r="P246">
        <v>4</v>
      </c>
      <c r="Q246" t="s">
        <v>26</v>
      </c>
    </row>
    <row r="247" spans="1:17" x14ac:dyDescent="0.3">
      <c r="A247" t="s">
        <v>574</v>
      </c>
      <c r="B247" t="s">
        <v>575</v>
      </c>
      <c r="C247" t="s">
        <v>71</v>
      </c>
      <c r="D247" t="s">
        <v>39</v>
      </c>
      <c r="E247">
        <v>63</v>
      </c>
      <c r="F247" t="s">
        <v>44</v>
      </c>
      <c r="G247" t="s">
        <v>45</v>
      </c>
      <c r="H247" t="s">
        <v>46</v>
      </c>
      <c r="I247" t="s">
        <v>47</v>
      </c>
      <c r="J247" t="s">
        <v>64</v>
      </c>
      <c r="K247">
        <v>9</v>
      </c>
      <c r="L247">
        <v>23000</v>
      </c>
      <c r="M247">
        <v>25</v>
      </c>
      <c r="N247">
        <v>155250</v>
      </c>
      <c r="O247" t="s">
        <v>48</v>
      </c>
      <c r="P247">
        <v>5</v>
      </c>
      <c r="Q247" t="s">
        <v>26</v>
      </c>
    </row>
    <row r="248" spans="1:17" x14ac:dyDescent="0.3">
      <c r="A248" t="s">
        <v>576</v>
      </c>
      <c r="B248" t="s">
        <v>577</v>
      </c>
      <c r="C248" t="s">
        <v>88</v>
      </c>
      <c r="D248" t="s">
        <v>83</v>
      </c>
      <c r="E248">
        <v>29</v>
      </c>
      <c r="F248" t="s">
        <v>44</v>
      </c>
      <c r="G248" t="s">
        <v>100</v>
      </c>
      <c r="H248" t="s">
        <v>46</v>
      </c>
      <c r="I248" t="s">
        <v>79</v>
      </c>
      <c r="J248" t="s">
        <v>89</v>
      </c>
      <c r="K248">
        <v>1</v>
      </c>
      <c r="L248">
        <v>21600</v>
      </c>
      <c r="M248">
        <v>20</v>
      </c>
      <c r="N248">
        <v>17280</v>
      </c>
      <c r="O248" t="s">
        <v>35</v>
      </c>
      <c r="P248">
        <v>1</v>
      </c>
      <c r="Q248" t="s">
        <v>74</v>
      </c>
    </row>
    <row r="249" spans="1:17" x14ac:dyDescent="0.3">
      <c r="A249" t="s">
        <v>578</v>
      </c>
      <c r="B249" t="s">
        <v>579</v>
      </c>
      <c r="C249" t="s">
        <v>29</v>
      </c>
      <c r="D249" t="s">
        <v>103</v>
      </c>
      <c r="E249">
        <v>65</v>
      </c>
      <c r="F249" t="s">
        <v>565</v>
      </c>
      <c r="G249" t="s">
        <v>100</v>
      </c>
      <c r="H249" t="s">
        <v>32</v>
      </c>
      <c r="I249" t="s">
        <v>53</v>
      </c>
      <c r="J249" t="s">
        <v>24</v>
      </c>
      <c r="K249">
        <v>9</v>
      </c>
      <c r="L249">
        <v>4000</v>
      </c>
      <c r="M249">
        <v>10</v>
      </c>
      <c r="N249">
        <v>32400</v>
      </c>
      <c r="O249" t="s">
        <v>40</v>
      </c>
      <c r="P249">
        <v>4</v>
      </c>
      <c r="Q249" t="s">
        <v>41</v>
      </c>
    </row>
    <row r="250" spans="1:17" x14ac:dyDescent="0.3">
      <c r="A250" t="s">
        <v>580</v>
      </c>
      <c r="B250" t="s">
        <v>581</v>
      </c>
      <c r="C250" t="s">
        <v>113</v>
      </c>
      <c r="D250" t="s">
        <v>20</v>
      </c>
      <c r="E250">
        <v>20</v>
      </c>
      <c r="F250" t="s">
        <v>30</v>
      </c>
      <c r="G250" t="s">
        <v>31</v>
      </c>
      <c r="H250" t="s">
        <v>22</v>
      </c>
      <c r="I250" t="s">
        <v>84</v>
      </c>
      <c r="J250" t="s">
        <v>89</v>
      </c>
      <c r="K250">
        <v>2</v>
      </c>
      <c r="L250">
        <v>46900</v>
      </c>
      <c r="M250">
        <v>10</v>
      </c>
      <c r="N250">
        <v>84420</v>
      </c>
      <c r="O250" t="s">
        <v>48</v>
      </c>
      <c r="P250">
        <v>3</v>
      </c>
      <c r="Q250" t="s">
        <v>74</v>
      </c>
    </row>
    <row r="251" spans="1:17" x14ac:dyDescent="0.3">
      <c r="A251" t="s">
        <v>582</v>
      </c>
      <c r="B251" t="s">
        <v>583</v>
      </c>
      <c r="C251" t="s">
        <v>94</v>
      </c>
      <c r="D251" t="s">
        <v>103</v>
      </c>
      <c r="E251">
        <v>39</v>
      </c>
      <c r="F251" t="s">
        <v>51</v>
      </c>
      <c r="G251" t="s">
        <v>52</v>
      </c>
      <c r="H251" t="s">
        <v>32</v>
      </c>
      <c r="I251" t="s">
        <v>33</v>
      </c>
      <c r="J251" t="s">
        <v>64</v>
      </c>
      <c r="K251">
        <v>10</v>
      </c>
      <c r="L251">
        <v>15100</v>
      </c>
      <c r="M251">
        <v>25</v>
      </c>
      <c r="N251">
        <v>113250</v>
      </c>
      <c r="O251" t="s">
        <v>48</v>
      </c>
      <c r="Q251" t="s">
        <v>26</v>
      </c>
    </row>
    <row r="252" spans="1:17" x14ac:dyDescent="0.3">
      <c r="A252" t="s">
        <v>584</v>
      </c>
      <c r="B252" t="s">
        <v>585</v>
      </c>
      <c r="C252" t="s">
        <v>29</v>
      </c>
      <c r="D252" t="s">
        <v>83</v>
      </c>
      <c r="E252">
        <v>36</v>
      </c>
      <c r="F252" t="s">
        <v>44</v>
      </c>
      <c r="G252" t="s">
        <v>100</v>
      </c>
      <c r="H252" t="s">
        <v>32</v>
      </c>
      <c r="I252" t="s">
        <v>33</v>
      </c>
      <c r="J252" t="s">
        <v>80</v>
      </c>
      <c r="K252" t="s">
        <v>443</v>
      </c>
      <c r="L252">
        <v>28700</v>
      </c>
      <c r="M252">
        <v>5</v>
      </c>
      <c r="N252">
        <v>272650</v>
      </c>
      <c r="O252" t="s">
        <v>40</v>
      </c>
      <c r="Q252" t="s">
        <v>41</v>
      </c>
    </row>
    <row r="253" spans="1:17" x14ac:dyDescent="0.3">
      <c r="A253" t="s">
        <v>586</v>
      </c>
      <c r="B253" t="s">
        <v>195</v>
      </c>
      <c r="C253" t="s">
        <v>19</v>
      </c>
      <c r="D253" t="s">
        <v>83</v>
      </c>
      <c r="E253">
        <v>28</v>
      </c>
      <c r="F253" t="s">
        <v>503</v>
      </c>
      <c r="G253" t="s">
        <v>57</v>
      </c>
      <c r="H253" t="s">
        <v>22</v>
      </c>
      <c r="I253" t="s">
        <v>23</v>
      </c>
      <c r="J253" t="s">
        <v>80</v>
      </c>
      <c r="K253">
        <v>10</v>
      </c>
      <c r="L253">
        <v>33700</v>
      </c>
      <c r="M253">
        <v>10</v>
      </c>
      <c r="N253">
        <v>303300</v>
      </c>
      <c r="O253" t="s">
        <v>40</v>
      </c>
      <c r="P253">
        <v>3</v>
      </c>
      <c r="Q253" t="s">
        <v>26</v>
      </c>
    </row>
    <row r="254" spans="1:17" x14ac:dyDescent="0.3">
      <c r="A254" t="s">
        <v>587</v>
      </c>
      <c r="B254" t="s">
        <v>588</v>
      </c>
      <c r="C254" t="s">
        <v>68</v>
      </c>
      <c r="D254" t="s">
        <v>83</v>
      </c>
      <c r="E254">
        <v>61</v>
      </c>
      <c r="F254" t="s">
        <v>77</v>
      </c>
      <c r="G254" t="s">
        <v>78</v>
      </c>
      <c r="H254" t="s">
        <v>22</v>
      </c>
      <c r="I254" t="s">
        <v>84</v>
      </c>
      <c r="J254" t="s">
        <v>80</v>
      </c>
      <c r="K254">
        <v>9</v>
      </c>
      <c r="L254">
        <v>48500</v>
      </c>
      <c r="M254">
        <v>10</v>
      </c>
      <c r="N254">
        <v>392850</v>
      </c>
      <c r="O254" t="s">
        <v>73</v>
      </c>
      <c r="P254">
        <v>3</v>
      </c>
      <c r="Q254" t="s">
        <v>65</v>
      </c>
    </row>
    <row r="255" spans="1:17" x14ac:dyDescent="0.3">
      <c r="A255" t="s">
        <v>589</v>
      </c>
      <c r="B255" t="s">
        <v>590</v>
      </c>
      <c r="C255" t="s">
        <v>71</v>
      </c>
      <c r="D255" t="s">
        <v>103</v>
      </c>
      <c r="E255">
        <v>65</v>
      </c>
      <c r="F255" t="s">
        <v>30</v>
      </c>
      <c r="G255" t="s">
        <v>57</v>
      </c>
      <c r="H255" t="s">
        <v>32</v>
      </c>
      <c r="I255" t="s">
        <v>53</v>
      </c>
      <c r="J255" t="s">
        <v>89</v>
      </c>
      <c r="K255">
        <v>6</v>
      </c>
      <c r="L255">
        <v>46600</v>
      </c>
      <c r="M255">
        <v>20</v>
      </c>
      <c r="N255">
        <v>223680</v>
      </c>
      <c r="O255" t="s">
        <v>35</v>
      </c>
      <c r="P255">
        <v>4</v>
      </c>
      <c r="Q255" t="s">
        <v>65</v>
      </c>
    </row>
    <row r="256" spans="1:17" x14ac:dyDescent="0.3">
      <c r="A256" t="s">
        <v>591</v>
      </c>
      <c r="B256" t="s">
        <v>592</v>
      </c>
      <c r="C256" t="s">
        <v>94</v>
      </c>
      <c r="E256">
        <v>44</v>
      </c>
      <c r="F256" t="s">
        <v>30</v>
      </c>
      <c r="G256" t="s">
        <v>31</v>
      </c>
      <c r="H256" t="s">
        <v>46</v>
      </c>
      <c r="I256" t="s">
        <v>79</v>
      </c>
      <c r="J256" t="s">
        <v>34</v>
      </c>
      <c r="K256">
        <v>6</v>
      </c>
      <c r="L256">
        <v>18600</v>
      </c>
      <c r="M256">
        <v>10</v>
      </c>
      <c r="N256">
        <v>100440</v>
      </c>
      <c r="O256" t="s">
        <v>35</v>
      </c>
      <c r="Q256" t="s">
        <v>65</v>
      </c>
    </row>
    <row r="257" spans="1:17" x14ac:dyDescent="0.3">
      <c r="A257" t="s">
        <v>593</v>
      </c>
      <c r="B257" t="s">
        <v>536</v>
      </c>
      <c r="C257" t="s">
        <v>29</v>
      </c>
      <c r="D257" t="s">
        <v>103</v>
      </c>
      <c r="E257">
        <v>29</v>
      </c>
      <c r="F257" t="s">
        <v>21</v>
      </c>
      <c r="G257" t="s">
        <v>21</v>
      </c>
      <c r="H257" t="s">
        <v>32</v>
      </c>
      <c r="I257" t="s">
        <v>33</v>
      </c>
      <c r="J257" t="s">
        <v>24</v>
      </c>
      <c r="K257">
        <v>7</v>
      </c>
      <c r="L257">
        <v>13400</v>
      </c>
      <c r="M257">
        <v>5</v>
      </c>
      <c r="N257">
        <v>89110</v>
      </c>
      <c r="O257" t="s">
        <v>48</v>
      </c>
      <c r="Q257" t="s">
        <v>41</v>
      </c>
    </row>
    <row r="258" spans="1:17" x14ac:dyDescent="0.3">
      <c r="A258" t="s">
        <v>594</v>
      </c>
      <c r="B258" t="s">
        <v>595</v>
      </c>
      <c r="C258" t="s">
        <v>29</v>
      </c>
      <c r="D258" t="s">
        <v>39</v>
      </c>
      <c r="E258">
        <v>-3</v>
      </c>
      <c r="F258" t="s">
        <v>21</v>
      </c>
      <c r="G258" t="s">
        <v>21</v>
      </c>
      <c r="H258" t="s">
        <v>62</v>
      </c>
      <c r="I258" t="s">
        <v>140</v>
      </c>
      <c r="J258" t="s">
        <v>72</v>
      </c>
      <c r="K258">
        <v>9</v>
      </c>
      <c r="L258">
        <v>49500</v>
      </c>
      <c r="M258">
        <v>10</v>
      </c>
      <c r="N258">
        <v>400950</v>
      </c>
      <c r="O258" t="s">
        <v>85</v>
      </c>
      <c r="P258">
        <v>4</v>
      </c>
      <c r="Q258" t="s">
        <v>65</v>
      </c>
    </row>
    <row r="259" spans="1:17" x14ac:dyDescent="0.3">
      <c r="A259" t="s">
        <v>596</v>
      </c>
      <c r="B259" t="s">
        <v>360</v>
      </c>
      <c r="C259" t="s">
        <v>29</v>
      </c>
      <c r="E259">
        <v>48</v>
      </c>
      <c r="F259" t="s">
        <v>21</v>
      </c>
      <c r="G259" t="s">
        <v>21</v>
      </c>
      <c r="H259" t="s">
        <v>32</v>
      </c>
      <c r="I259" t="s">
        <v>53</v>
      </c>
      <c r="J259" t="s">
        <v>34</v>
      </c>
      <c r="K259">
        <v>3</v>
      </c>
      <c r="L259">
        <v>44900</v>
      </c>
      <c r="M259">
        <v>25</v>
      </c>
      <c r="N259">
        <v>101025</v>
      </c>
      <c r="O259" t="s">
        <v>105</v>
      </c>
      <c r="P259">
        <v>3</v>
      </c>
      <c r="Q259" t="s">
        <v>41</v>
      </c>
    </row>
    <row r="260" spans="1:17" x14ac:dyDescent="0.3">
      <c r="A260" t="s">
        <v>597</v>
      </c>
      <c r="B260" t="s">
        <v>598</v>
      </c>
      <c r="C260" t="s">
        <v>19</v>
      </c>
      <c r="D260" t="s">
        <v>103</v>
      </c>
      <c r="E260">
        <v>31</v>
      </c>
      <c r="F260" t="s">
        <v>30</v>
      </c>
      <c r="G260" t="s">
        <v>57</v>
      </c>
      <c r="H260" t="s">
        <v>46</v>
      </c>
      <c r="I260" t="s">
        <v>79</v>
      </c>
      <c r="J260" t="s">
        <v>64</v>
      </c>
      <c r="K260">
        <v>6</v>
      </c>
      <c r="L260">
        <v>4600</v>
      </c>
      <c r="M260">
        <v>5</v>
      </c>
      <c r="N260">
        <v>26220</v>
      </c>
      <c r="O260" t="s">
        <v>73</v>
      </c>
      <c r="P260">
        <v>3</v>
      </c>
      <c r="Q260" t="s">
        <v>26</v>
      </c>
    </row>
    <row r="261" spans="1:17" x14ac:dyDescent="0.3">
      <c r="A261" t="s">
        <v>599</v>
      </c>
      <c r="B261" t="s">
        <v>600</v>
      </c>
      <c r="C261" t="s">
        <v>121</v>
      </c>
      <c r="D261" t="s">
        <v>83</v>
      </c>
      <c r="E261">
        <v>34</v>
      </c>
      <c r="F261" t="s">
        <v>51</v>
      </c>
      <c r="G261" t="s">
        <v>104</v>
      </c>
      <c r="H261" t="s">
        <v>32</v>
      </c>
      <c r="I261" t="s">
        <v>53</v>
      </c>
      <c r="J261" t="s">
        <v>34</v>
      </c>
      <c r="K261">
        <v>8</v>
      </c>
      <c r="L261">
        <v>42900</v>
      </c>
      <c r="M261">
        <v>0</v>
      </c>
      <c r="N261">
        <v>343200</v>
      </c>
      <c r="O261" t="s">
        <v>40</v>
      </c>
      <c r="P261">
        <v>5</v>
      </c>
      <c r="Q261" t="s">
        <v>74</v>
      </c>
    </row>
    <row r="262" spans="1:17" x14ac:dyDescent="0.3">
      <c r="A262" t="s">
        <v>601</v>
      </c>
      <c r="B262" t="s">
        <v>602</v>
      </c>
      <c r="C262" t="s">
        <v>88</v>
      </c>
      <c r="D262" t="s">
        <v>103</v>
      </c>
      <c r="E262">
        <v>19</v>
      </c>
      <c r="F262" t="s">
        <v>51</v>
      </c>
      <c r="G262" t="s">
        <v>52</v>
      </c>
      <c r="H262" t="s">
        <v>32</v>
      </c>
      <c r="I262" t="s">
        <v>33</v>
      </c>
      <c r="J262" t="s">
        <v>72</v>
      </c>
      <c r="K262">
        <v>2</v>
      </c>
      <c r="L262">
        <v>36000</v>
      </c>
      <c r="M262">
        <v>10</v>
      </c>
      <c r="N262">
        <v>64800</v>
      </c>
      <c r="O262" t="s">
        <v>85</v>
      </c>
      <c r="P262">
        <v>2</v>
      </c>
      <c r="Q262" t="s">
        <v>74</v>
      </c>
    </row>
    <row r="263" spans="1:17" x14ac:dyDescent="0.3">
      <c r="A263" t="s">
        <v>603</v>
      </c>
      <c r="B263" t="s">
        <v>604</v>
      </c>
      <c r="C263" t="s">
        <v>71</v>
      </c>
      <c r="D263" t="s">
        <v>83</v>
      </c>
      <c r="E263">
        <v>52</v>
      </c>
      <c r="F263" t="s">
        <v>30</v>
      </c>
      <c r="G263" t="s">
        <v>57</v>
      </c>
      <c r="H263" t="s">
        <v>32</v>
      </c>
      <c r="I263" t="s">
        <v>33</v>
      </c>
      <c r="J263" t="s">
        <v>24</v>
      </c>
      <c r="K263">
        <v>2</v>
      </c>
      <c r="L263">
        <v>4600</v>
      </c>
      <c r="M263">
        <v>10</v>
      </c>
      <c r="N263">
        <v>8280</v>
      </c>
      <c r="O263" t="s">
        <v>85</v>
      </c>
      <c r="Q263" t="s">
        <v>41</v>
      </c>
    </row>
    <row r="264" spans="1:17" x14ac:dyDescent="0.3">
      <c r="A264" t="s">
        <v>605</v>
      </c>
      <c r="B264" t="s">
        <v>315</v>
      </c>
      <c r="C264" t="s">
        <v>60</v>
      </c>
      <c r="D264" t="s">
        <v>103</v>
      </c>
      <c r="E264">
        <v>42</v>
      </c>
      <c r="F264" t="s">
        <v>44</v>
      </c>
      <c r="G264" t="s">
        <v>100</v>
      </c>
      <c r="H264" t="s">
        <v>32</v>
      </c>
      <c r="I264" t="s">
        <v>53</v>
      </c>
      <c r="J264" t="s">
        <v>34</v>
      </c>
      <c r="K264">
        <v>3</v>
      </c>
      <c r="L264">
        <v>16300</v>
      </c>
      <c r="M264">
        <v>10</v>
      </c>
      <c r="N264">
        <v>44010</v>
      </c>
      <c r="O264" t="s">
        <v>25</v>
      </c>
      <c r="P264">
        <v>3</v>
      </c>
      <c r="Q264" t="s">
        <v>65</v>
      </c>
    </row>
    <row r="265" spans="1:17" x14ac:dyDescent="0.3">
      <c r="A265" t="s">
        <v>606</v>
      </c>
      <c r="B265" t="s">
        <v>607</v>
      </c>
      <c r="C265" t="s">
        <v>121</v>
      </c>
      <c r="D265" t="s">
        <v>39</v>
      </c>
      <c r="E265">
        <v>25</v>
      </c>
      <c r="F265" t="s">
        <v>30</v>
      </c>
      <c r="G265" t="s">
        <v>31</v>
      </c>
      <c r="H265" t="s">
        <v>46</v>
      </c>
      <c r="I265" t="s">
        <v>47</v>
      </c>
      <c r="J265" t="s">
        <v>24</v>
      </c>
      <c r="K265">
        <v>4</v>
      </c>
      <c r="L265">
        <v>39900</v>
      </c>
      <c r="M265">
        <v>15</v>
      </c>
      <c r="N265">
        <v>135660</v>
      </c>
      <c r="O265" t="s">
        <v>35</v>
      </c>
      <c r="P265">
        <v>2</v>
      </c>
      <c r="Q265" t="s">
        <v>74</v>
      </c>
    </row>
    <row r="266" spans="1:17" x14ac:dyDescent="0.3">
      <c r="A266" t="s">
        <v>608</v>
      </c>
      <c r="B266" t="s">
        <v>609</v>
      </c>
      <c r="C266" t="s">
        <v>38</v>
      </c>
      <c r="D266" t="s">
        <v>20</v>
      </c>
      <c r="E266">
        <v>61</v>
      </c>
      <c r="F266" t="s">
        <v>30</v>
      </c>
      <c r="G266" t="s">
        <v>31</v>
      </c>
      <c r="H266" t="s">
        <v>46</v>
      </c>
      <c r="I266" t="s">
        <v>79</v>
      </c>
      <c r="J266" t="s">
        <v>80</v>
      </c>
      <c r="K266">
        <v>6</v>
      </c>
      <c r="L266">
        <v>28200</v>
      </c>
      <c r="M266">
        <v>5</v>
      </c>
      <c r="N266" t="s">
        <v>395</v>
      </c>
      <c r="O266" t="s">
        <v>73</v>
      </c>
      <c r="P266">
        <v>2</v>
      </c>
      <c r="Q266" t="s">
        <v>65</v>
      </c>
    </row>
    <row r="267" spans="1:17" x14ac:dyDescent="0.3">
      <c r="A267" t="s">
        <v>610</v>
      </c>
      <c r="B267" t="s">
        <v>611</v>
      </c>
      <c r="C267" t="s">
        <v>19</v>
      </c>
      <c r="D267" t="s">
        <v>103</v>
      </c>
      <c r="E267">
        <v>59</v>
      </c>
      <c r="F267" t="s">
        <v>30</v>
      </c>
      <c r="G267" t="s">
        <v>31</v>
      </c>
      <c r="H267" t="s">
        <v>22</v>
      </c>
      <c r="I267" t="s">
        <v>84</v>
      </c>
      <c r="J267" t="s">
        <v>80</v>
      </c>
      <c r="K267">
        <v>4</v>
      </c>
      <c r="L267">
        <v>24100</v>
      </c>
      <c r="M267">
        <v>15</v>
      </c>
      <c r="N267">
        <v>81940</v>
      </c>
      <c r="O267" t="s">
        <v>40</v>
      </c>
      <c r="P267">
        <v>2</v>
      </c>
      <c r="Q267" t="s">
        <v>26</v>
      </c>
    </row>
    <row r="268" spans="1:17" x14ac:dyDescent="0.3">
      <c r="A268" t="s">
        <v>612</v>
      </c>
      <c r="B268" t="s">
        <v>613</v>
      </c>
      <c r="C268" t="s">
        <v>121</v>
      </c>
      <c r="D268" t="s">
        <v>83</v>
      </c>
      <c r="E268">
        <v>58</v>
      </c>
      <c r="F268" t="s">
        <v>51</v>
      </c>
      <c r="G268" t="s">
        <v>104</v>
      </c>
      <c r="H268" t="s">
        <v>62</v>
      </c>
      <c r="I268" t="s">
        <v>63</v>
      </c>
      <c r="J268" t="s">
        <v>80</v>
      </c>
      <c r="K268" t="s">
        <v>165</v>
      </c>
      <c r="L268">
        <v>14200</v>
      </c>
      <c r="M268">
        <v>5</v>
      </c>
      <c r="N268">
        <v>13490</v>
      </c>
      <c r="O268" t="s">
        <v>25</v>
      </c>
      <c r="P268">
        <v>2</v>
      </c>
      <c r="Q268" t="s">
        <v>65</v>
      </c>
    </row>
    <row r="269" spans="1:17" x14ac:dyDescent="0.3">
      <c r="A269" t="s">
        <v>614</v>
      </c>
      <c r="B269" t="s">
        <v>615</v>
      </c>
      <c r="C269" t="s">
        <v>94</v>
      </c>
      <c r="D269" t="s">
        <v>103</v>
      </c>
      <c r="E269">
        <v>29</v>
      </c>
      <c r="F269" t="s">
        <v>30</v>
      </c>
      <c r="G269" t="s">
        <v>31</v>
      </c>
      <c r="H269" t="s">
        <v>22</v>
      </c>
      <c r="I269" t="s">
        <v>23</v>
      </c>
      <c r="J269" t="s">
        <v>24</v>
      </c>
      <c r="K269">
        <v>8</v>
      </c>
      <c r="L269">
        <v>45300</v>
      </c>
      <c r="M269">
        <v>10</v>
      </c>
      <c r="N269">
        <v>326160</v>
      </c>
      <c r="O269" t="s">
        <v>40</v>
      </c>
      <c r="P269">
        <v>1</v>
      </c>
      <c r="Q269" t="s">
        <v>65</v>
      </c>
    </row>
    <row r="270" spans="1:17" x14ac:dyDescent="0.3">
      <c r="A270" t="s">
        <v>616</v>
      </c>
      <c r="B270" t="s">
        <v>617</v>
      </c>
      <c r="C270" t="s">
        <v>121</v>
      </c>
      <c r="D270" t="s">
        <v>103</v>
      </c>
      <c r="E270">
        <v>28</v>
      </c>
      <c r="F270" t="s">
        <v>51</v>
      </c>
      <c r="G270" t="s">
        <v>52</v>
      </c>
      <c r="H270" t="s">
        <v>62</v>
      </c>
      <c r="I270" t="s">
        <v>63</v>
      </c>
      <c r="J270" t="s">
        <v>24</v>
      </c>
      <c r="K270">
        <v>9</v>
      </c>
      <c r="L270">
        <v>20800</v>
      </c>
      <c r="M270">
        <v>20</v>
      </c>
      <c r="N270">
        <v>149760</v>
      </c>
      <c r="O270" t="s">
        <v>48</v>
      </c>
      <c r="Q270" t="s">
        <v>41</v>
      </c>
    </row>
    <row r="271" spans="1:17" x14ac:dyDescent="0.3">
      <c r="A271" t="s">
        <v>618</v>
      </c>
      <c r="B271" t="s">
        <v>619</v>
      </c>
      <c r="C271" t="s">
        <v>113</v>
      </c>
      <c r="D271" t="s">
        <v>20</v>
      </c>
      <c r="E271">
        <v>40</v>
      </c>
      <c r="F271" t="s">
        <v>77</v>
      </c>
      <c r="G271" t="s">
        <v>78</v>
      </c>
      <c r="H271" t="s">
        <v>22</v>
      </c>
      <c r="I271" t="s">
        <v>84</v>
      </c>
      <c r="J271" t="s">
        <v>34</v>
      </c>
      <c r="K271">
        <v>3</v>
      </c>
      <c r="L271">
        <v>4500</v>
      </c>
      <c r="M271">
        <v>25</v>
      </c>
      <c r="N271">
        <v>10125</v>
      </c>
      <c r="O271" t="s">
        <v>85</v>
      </c>
      <c r="P271">
        <v>3</v>
      </c>
      <c r="Q271" t="s">
        <v>65</v>
      </c>
    </row>
    <row r="272" spans="1:17" x14ac:dyDescent="0.3">
      <c r="A272" t="s">
        <v>620</v>
      </c>
      <c r="B272" t="s">
        <v>621</v>
      </c>
      <c r="C272" t="s">
        <v>19</v>
      </c>
      <c r="D272" t="s">
        <v>83</v>
      </c>
      <c r="E272">
        <v>65</v>
      </c>
      <c r="F272" t="s">
        <v>21</v>
      </c>
      <c r="G272" t="s">
        <v>21</v>
      </c>
      <c r="H272" t="s">
        <v>32</v>
      </c>
      <c r="I272" t="s">
        <v>33</v>
      </c>
      <c r="J272" t="s">
        <v>34</v>
      </c>
      <c r="K272">
        <v>8</v>
      </c>
      <c r="L272">
        <v>14800</v>
      </c>
      <c r="M272">
        <v>20</v>
      </c>
      <c r="N272">
        <v>94720</v>
      </c>
      <c r="O272" t="s">
        <v>48</v>
      </c>
      <c r="Q272" t="s">
        <v>74</v>
      </c>
    </row>
    <row r="273" spans="1:17" x14ac:dyDescent="0.3">
      <c r="A273" t="s">
        <v>622</v>
      </c>
      <c r="B273" t="s">
        <v>59</v>
      </c>
      <c r="C273" t="s">
        <v>121</v>
      </c>
      <c r="D273" t="s">
        <v>103</v>
      </c>
      <c r="E273">
        <v>60</v>
      </c>
      <c r="F273" t="s">
        <v>61</v>
      </c>
      <c r="G273" t="s">
        <v>61</v>
      </c>
      <c r="H273" t="s">
        <v>22</v>
      </c>
      <c r="I273" t="s">
        <v>23</v>
      </c>
      <c r="J273" t="s">
        <v>24</v>
      </c>
      <c r="K273">
        <v>8</v>
      </c>
      <c r="L273">
        <v>39600</v>
      </c>
      <c r="M273">
        <v>25</v>
      </c>
      <c r="N273">
        <v>237600</v>
      </c>
      <c r="O273" t="s">
        <v>48</v>
      </c>
      <c r="P273">
        <v>5</v>
      </c>
      <c r="Q273" t="s">
        <v>65</v>
      </c>
    </row>
    <row r="274" spans="1:17" x14ac:dyDescent="0.3">
      <c r="A274" t="s">
        <v>623</v>
      </c>
      <c r="B274" t="s">
        <v>488</v>
      </c>
      <c r="C274" t="s">
        <v>113</v>
      </c>
      <c r="D274" t="s">
        <v>103</v>
      </c>
      <c r="E274">
        <v>32</v>
      </c>
      <c r="F274" t="s">
        <v>21</v>
      </c>
      <c r="G274" t="s">
        <v>21</v>
      </c>
      <c r="H274" t="s">
        <v>32</v>
      </c>
      <c r="I274" t="s">
        <v>33</v>
      </c>
      <c r="J274" t="s">
        <v>64</v>
      </c>
      <c r="K274">
        <v>9</v>
      </c>
      <c r="L274">
        <v>16900</v>
      </c>
      <c r="M274">
        <v>20</v>
      </c>
      <c r="N274">
        <v>121680</v>
      </c>
      <c r="O274" t="s">
        <v>48</v>
      </c>
      <c r="Q274" t="s">
        <v>74</v>
      </c>
    </row>
    <row r="275" spans="1:17" x14ac:dyDescent="0.3">
      <c r="A275" t="s">
        <v>624</v>
      </c>
      <c r="B275" t="s">
        <v>625</v>
      </c>
      <c r="C275" t="s">
        <v>38</v>
      </c>
      <c r="E275">
        <v>30</v>
      </c>
      <c r="F275" t="s">
        <v>51</v>
      </c>
      <c r="G275" t="s">
        <v>52</v>
      </c>
      <c r="H275" t="s">
        <v>32</v>
      </c>
      <c r="I275" t="s">
        <v>33</v>
      </c>
      <c r="J275" t="s">
        <v>89</v>
      </c>
      <c r="K275">
        <v>5</v>
      </c>
      <c r="L275">
        <v>14100</v>
      </c>
      <c r="M275">
        <v>10</v>
      </c>
      <c r="N275">
        <v>63450</v>
      </c>
      <c r="O275" t="s">
        <v>35</v>
      </c>
      <c r="P275">
        <v>1</v>
      </c>
      <c r="Q275" t="s">
        <v>74</v>
      </c>
    </row>
    <row r="276" spans="1:17" x14ac:dyDescent="0.3">
      <c r="A276" t="s">
        <v>626</v>
      </c>
      <c r="B276" t="s">
        <v>627</v>
      </c>
      <c r="C276" t="s">
        <v>88</v>
      </c>
      <c r="D276" t="s">
        <v>103</v>
      </c>
      <c r="E276">
        <v>56</v>
      </c>
      <c r="F276" t="s">
        <v>51</v>
      </c>
      <c r="G276" t="s">
        <v>52</v>
      </c>
      <c r="H276" t="s">
        <v>62</v>
      </c>
      <c r="I276" t="s">
        <v>140</v>
      </c>
      <c r="J276" t="s">
        <v>80</v>
      </c>
      <c r="K276">
        <v>1</v>
      </c>
      <c r="L276">
        <v>28600</v>
      </c>
      <c r="M276">
        <v>15</v>
      </c>
      <c r="N276">
        <v>24310</v>
      </c>
      <c r="O276" t="s">
        <v>25</v>
      </c>
      <c r="Q276" t="s">
        <v>41</v>
      </c>
    </row>
    <row r="277" spans="1:17" x14ac:dyDescent="0.3">
      <c r="A277" t="s">
        <v>628</v>
      </c>
      <c r="B277" t="s">
        <v>629</v>
      </c>
      <c r="C277" t="s">
        <v>113</v>
      </c>
      <c r="E277">
        <v>59</v>
      </c>
      <c r="F277" t="s">
        <v>51</v>
      </c>
      <c r="G277" t="s">
        <v>104</v>
      </c>
      <c r="H277" t="s">
        <v>62</v>
      </c>
      <c r="I277" t="s">
        <v>63</v>
      </c>
      <c r="J277" t="s">
        <v>80</v>
      </c>
      <c r="K277">
        <v>4</v>
      </c>
      <c r="L277">
        <v>18400</v>
      </c>
      <c r="M277">
        <v>10</v>
      </c>
      <c r="N277">
        <v>66240</v>
      </c>
      <c r="O277" t="s">
        <v>105</v>
      </c>
      <c r="P277">
        <v>1</v>
      </c>
      <c r="Q277" t="s">
        <v>74</v>
      </c>
    </row>
    <row r="278" spans="1:17" x14ac:dyDescent="0.3">
      <c r="A278" t="s">
        <v>630</v>
      </c>
      <c r="B278" t="s">
        <v>631</v>
      </c>
      <c r="C278" t="s">
        <v>19</v>
      </c>
      <c r="D278" t="s">
        <v>20</v>
      </c>
      <c r="E278">
        <v>47</v>
      </c>
      <c r="F278" t="s">
        <v>21</v>
      </c>
      <c r="G278" t="s">
        <v>21</v>
      </c>
      <c r="H278" t="s">
        <v>62</v>
      </c>
      <c r="I278" t="s">
        <v>63</v>
      </c>
      <c r="J278" t="s">
        <v>89</v>
      </c>
      <c r="K278">
        <v>8</v>
      </c>
      <c r="L278">
        <v>16700</v>
      </c>
      <c r="M278">
        <v>0</v>
      </c>
      <c r="N278">
        <v>133600</v>
      </c>
      <c r="O278" t="s">
        <v>25</v>
      </c>
      <c r="P278">
        <v>1</v>
      </c>
      <c r="Q278" t="s">
        <v>74</v>
      </c>
    </row>
    <row r="279" spans="1:17" x14ac:dyDescent="0.3">
      <c r="A279" t="s">
        <v>632</v>
      </c>
      <c r="B279" t="s">
        <v>633</v>
      </c>
      <c r="C279" t="s">
        <v>38</v>
      </c>
      <c r="D279" t="s">
        <v>39</v>
      </c>
      <c r="E279">
        <v>25</v>
      </c>
      <c r="F279" t="s">
        <v>44</v>
      </c>
      <c r="G279" t="s">
        <v>45</v>
      </c>
      <c r="H279" t="s">
        <v>62</v>
      </c>
      <c r="I279" t="s">
        <v>63</v>
      </c>
      <c r="J279" t="s">
        <v>64</v>
      </c>
      <c r="K279">
        <v>2</v>
      </c>
      <c r="L279">
        <v>26000</v>
      </c>
      <c r="M279">
        <v>10</v>
      </c>
      <c r="N279">
        <v>46800</v>
      </c>
      <c r="O279" t="s">
        <v>85</v>
      </c>
      <c r="P279">
        <v>2</v>
      </c>
      <c r="Q279" t="s">
        <v>26</v>
      </c>
    </row>
    <row r="280" spans="1:17" x14ac:dyDescent="0.3">
      <c r="A280" t="s">
        <v>634</v>
      </c>
      <c r="B280" t="s">
        <v>635</v>
      </c>
      <c r="C280" t="s">
        <v>71</v>
      </c>
      <c r="D280" t="s">
        <v>39</v>
      </c>
      <c r="E280">
        <v>59</v>
      </c>
      <c r="F280" t="s">
        <v>61</v>
      </c>
      <c r="G280" t="s">
        <v>61</v>
      </c>
      <c r="H280" t="s">
        <v>32</v>
      </c>
      <c r="I280" t="s">
        <v>53</v>
      </c>
      <c r="J280" t="s">
        <v>64</v>
      </c>
      <c r="K280">
        <v>8</v>
      </c>
      <c r="L280">
        <v>37200</v>
      </c>
      <c r="M280">
        <v>5</v>
      </c>
      <c r="N280">
        <v>282720</v>
      </c>
      <c r="O280" t="s">
        <v>48</v>
      </c>
      <c r="P280">
        <v>1</v>
      </c>
      <c r="Q280" t="s">
        <v>26</v>
      </c>
    </row>
    <row r="281" spans="1:17" x14ac:dyDescent="0.3">
      <c r="A281" t="s">
        <v>636</v>
      </c>
      <c r="B281" t="s">
        <v>637</v>
      </c>
      <c r="C281" t="s">
        <v>38</v>
      </c>
      <c r="D281" t="s">
        <v>39</v>
      </c>
      <c r="E281">
        <v>64</v>
      </c>
      <c r="F281" t="s">
        <v>30</v>
      </c>
      <c r="G281" t="s">
        <v>31</v>
      </c>
      <c r="H281" t="s">
        <v>32</v>
      </c>
      <c r="I281" t="s">
        <v>53</v>
      </c>
      <c r="J281" t="s">
        <v>24</v>
      </c>
      <c r="K281">
        <v>3</v>
      </c>
      <c r="L281">
        <v>15000</v>
      </c>
      <c r="M281">
        <v>25</v>
      </c>
      <c r="N281">
        <v>33750</v>
      </c>
      <c r="O281" t="s">
        <v>105</v>
      </c>
      <c r="P281">
        <v>4</v>
      </c>
      <c r="Q281" t="s">
        <v>74</v>
      </c>
    </row>
    <row r="282" spans="1:17" x14ac:dyDescent="0.3">
      <c r="A282" t="s">
        <v>638</v>
      </c>
      <c r="B282" t="s">
        <v>639</v>
      </c>
      <c r="C282" t="s">
        <v>19</v>
      </c>
      <c r="E282">
        <v>52</v>
      </c>
      <c r="F282" t="s">
        <v>51</v>
      </c>
      <c r="G282" t="s">
        <v>104</v>
      </c>
      <c r="H282" t="s">
        <v>32</v>
      </c>
      <c r="I282" t="s">
        <v>53</v>
      </c>
      <c r="J282" t="s">
        <v>64</v>
      </c>
      <c r="K282">
        <v>1</v>
      </c>
      <c r="L282">
        <v>11000</v>
      </c>
      <c r="M282">
        <v>0</v>
      </c>
      <c r="N282">
        <v>11000</v>
      </c>
      <c r="O282" t="s">
        <v>105</v>
      </c>
      <c r="P282">
        <v>3</v>
      </c>
      <c r="Q282" t="s">
        <v>26</v>
      </c>
    </row>
    <row r="283" spans="1:17" x14ac:dyDescent="0.3">
      <c r="A283" t="s">
        <v>640</v>
      </c>
      <c r="B283" t="s">
        <v>564</v>
      </c>
      <c r="C283" t="s">
        <v>19</v>
      </c>
      <c r="D283" t="s">
        <v>83</v>
      </c>
      <c r="E283">
        <v>60</v>
      </c>
      <c r="F283" t="s">
        <v>44</v>
      </c>
      <c r="G283" t="s">
        <v>45</v>
      </c>
      <c r="H283" t="s">
        <v>22</v>
      </c>
      <c r="I283" t="s">
        <v>84</v>
      </c>
      <c r="J283" t="s">
        <v>80</v>
      </c>
      <c r="K283">
        <v>9</v>
      </c>
      <c r="L283">
        <v>31100</v>
      </c>
      <c r="M283">
        <v>20</v>
      </c>
      <c r="N283">
        <v>223920</v>
      </c>
      <c r="O283" t="s">
        <v>25</v>
      </c>
      <c r="P283">
        <v>5</v>
      </c>
      <c r="Q283" t="s">
        <v>26</v>
      </c>
    </row>
    <row r="284" spans="1:17" x14ac:dyDescent="0.3">
      <c r="A284" t="s">
        <v>641</v>
      </c>
      <c r="B284" t="s">
        <v>642</v>
      </c>
      <c r="C284" t="s">
        <v>88</v>
      </c>
      <c r="D284" t="s">
        <v>20</v>
      </c>
      <c r="E284">
        <v>39</v>
      </c>
      <c r="F284" t="s">
        <v>461</v>
      </c>
      <c r="G284" t="s">
        <v>21</v>
      </c>
      <c r="H284" t="s">
        <v>32</v>
      </c>
      <c r="I284" t="s">
        <v>33</v>
      </c>
      <c r="J284" t="s">
        <v>24</v>
      </c>
      <c r="K284">
        <v>3</v>
      </c>
      <c r="L284">
        <v>44400</v>
      </c>
      <c r="M284">
        <v>5</v>
      </c>
      <c r="N284">
        <v>126540</v>
      </c>
      <c r="O284" t="s">
        <v>35</v>
      </c>
      <c r="Q284" t="s">
        <v>26</v>
      </c>
    </row>
    <row r="285" spans="1:17" x14ac:dyDescent="0.3">
      <c r="A285" t="s">
        <v>643</v>
      </c>
      <c r="B285" t="s">
        <v>644</v>
      </c>
      <c r="C285" t="s">
        <v>113</v>
      </c>
      <c r="D285" t="s">
        <v>83</v>
      </c>
      <c r="E285">
        <v>29</v>
      </c>
      <c r="F285" t="s">
        <v>30</v>
      </c>
      <c r="G285" t="s">
        <v>57</v>
      </c>
      <c r="H285" t="s">
        <v>22</v>
      </c>
      <c r="I285" t="s">
        <v>23</v>
      </c>
      <c r="J285" t="s">
        <v>72</v>
      </c>
      <c r="K285">
        <v>8</v>
      </c>
      <c r="L285">
        <v>24800</v>
      </c>
      <c r="M285">
        <v>10</v>
      </c>
      <c r="N285">
        <v>178560</v>
      </c>
      <c r="O285" t="s">
        <v>48</v>
      </c>
      <c r="P285">
        <v>4</v>
      </c>
      <c r="Q285" t="s">
        <v>41</v>
      </c>
    </row>
    <row r="286" spans="1:17" x14ac:dyDescent="0.3">
      <c r="A286" t="s">
        <v>645</v>
      </c>
      <c r="B286" t="s">
        <v>646</v>
      </c>
      <c r="C286" t="s">
        <v>71</v>
      </c>
      <c r="D286" t="s">
        <v>20</v>
      </c>
      <c r="E286">
        <v>37</v>
      </c>
      <c r="F286" t="s">
        <v>44</v>
      </c>
      <c r="G286" t="s">
        <v>100</v>
      </c>
      <c r="H286" t="s">
        <v>46</v>
      </c>
      <c r="I286" t="s">
        <v>79</v>
      </c>
      <c r="J286" t="s">
        <v>24</v>
      </c>
      <c r="K286">
        <v>2</v>
      </c>
      <c r="L286">
        <v>46800</v>
      </c>
      <c r="M286">
        <v>5</v>
      </c>
      <c r="N286">
        <v>88920</v>
      </c>
      <c r="O286" t="s">
        <v>48</v>
      </c>
      <c r="Q286" t="s">
        <v>74</v>
      </c>
    </row>
    <row r="287" spans="1:17" x14ac:dyDescent="0.3">
      <c r="A287" t="s">
        <v>647</v>
      </c>
      <c r="B287" t="s">
        <v>648</v>
      </c>
      <c r="C287" t="s">
        <v>71</v>
      </c>
      <c r="D287" t="s">
        <v>39</v>
      </c>
      <c r="E287">
        <v>22</v>
      </c>
      <c r="F287" t="s">
        <v>277</v>
      </c>
      <c r="G287" t="s">
        <v>100</v>
      </c>
      <c r="H287" t="s">
        <v>62</v>
      </c>
      <c r="I287" t="s">
        <v>63</v>
      </c>
      <c r="J287" t="s">
        <v>64</v>
      </c>
      <c r="K287">
        <v>3</v>
      </c>
      <c r="L287">
        <v>23100</v>
      </c>
      <c r="M287">
        <v>0</v>
      </c>
      <c r="N287" t="s">
        <v>649</v>
      </c>
      <c r="O287" t="s">
        <v>162</v>
      </c>
      <c r="P287">
        <v>4</v>
      </c>
      <c r="Q287" t="s">
        <v>41</v>
      </c>
    </row>
    <row r="288" spans="1:17" x14ac:dyDescent="0.3">
      <c r="A288" t="s">
        <v>650</v>
      </c>
      <c r="B288" t="s">
        <v>651</v>
      </c>
      <c r="C288" t="s">
        <v>88</v>
      </c>
      <c r="D288" t="s">
        <v>39</v>
      </c>
      <c r="E288">
        <v>29</v>
      </c>
      <c r="F288" t="s">
        <v>77</v>
      </c>
      <c r="G288" t="s">
        <v>95</v>
      </c>
      <c r="H288" t="s">
        <v>32</v>
      </c>
      <c r="I288" t="s">
        <v>53</v>
      </c>
      <c r="J288" t="s">
        <v>89</v>
      </c>
      <c r="K288">
        <v>7</v>
      </c>
      <c r="L288">
        <v>32500</v>
      </c>
      <c r="M288">
        <v>15</v>
      </c>
      <c r="N288">
        <v>193375</v>
      </c>
      <c r="O288" t="s">
        <v>48</v>
      </c>
      <c r="P288">
        <v>5</v>
      </c>
      <c r="Q288" t="s">
        <v>65</v>
      </c>
    </row>
    <row r="289" spans="1:17" x14ac:dyDescent="0.3">
      <c r="A289" t="s">
        <v>652</v>
      </c>
      <c r="B289" t="s">
        <v>293</v>
      </c>
      <c r="C289" t="s">
        <v>29</v>
      </c>
      <c r="D289" t="s">
        <v>39</v>
      </c>
      <c r="E289">
        <v>63</v>
      </c>
      <c r="F289" t="s">
        <v>44</v>
      </c>
      <c r="G289" t="s">
        <v>100</v>
      </c>
      <c r="H289" t="s">
        <v>32</v>
      </c>
      <c r="I289" t="s">
        <v>33</v>
      </c>
      <c r="J289" t="s">
        <v>72</v>
      </c>
      <c r="K289">
        <v>7</v>
      </c>
      <c r="L289">
        <v>19000</v>
      </c>
      <c r="M289">
        <v>0</v>
      </c>
      <c r="N289" t="s">
        <v>653</v>
      </c>
      <c r="O289" t="s">
        <v>105</v>
      </c>
      <c r="P289">
        <v>3</v>
      </c>
      <c r="Q289" t="s">
        <v>26</v>
      </c>
    </row>
    <row r="290" spans="1:17" x14ac:dyDescent="0.3">
      <c r="A290" t="s">
        <v>654</v>
      </c>
      <c r="B290" t="s">
        <v>323</v>
      </c>
      <c r="C290" t="s">
        <v>88</v>
      </c>
      <c r="E290">
        <v>20</v>
      </c>
      <c r="F290" t="s">
        <v>61</v>
      </c>
      <c r="G290" t="s">
        <v>61</v>
      </c>
      <c r="H290" t="s">
        <v>22</v>
      </c>
      <c r="I290" t="s">
        <v>84</v>
      </c>
      <c r="J290" t="s">
        <v>34</v>
      </c>
      <c r="K290">
        <v>3</v>
      </c>
      <c r="L290">
        <v>32700</v>
      </c>
      <c r="M290">
        <v>0</v>
      </c>
      <c r="N290">
        <v>98100</v>
      </c>
      <c r="O290" t="s">
        <v>105</v>
      </c>
      <c r="P290">
        <v>1</v>
      </c>
      <c r="Q290" t="s">
        <v>26</v>
      </c>
    </row>
    <row r="291" spans="1:17" x14ac:dyDescent="0.3">
      <c r="A291" t="s">
        <v>655</v>
      </c>
      <c r="B291" t="s">
        <v>656</v>
      </c>
      <c r="C291" t="s">
        <v>38</v>
      </c>
      <c r="D291" t="s">
        <v>83</v>
      </c>
      <c r="E291">
        <v>58</v>
      </c>
      <c r="F291" t="s">
        <v>21</v>
      </c>
      <c r="G291" t="s">
        <v>21</v>
      </c>
      <c r="H291" t="s">
        <v>32</v>
      </c>
      <c r="I291" t="s">
        <v>33</v>
      </c>
      <c r="J291" t="s">
        <v>72</v>
      </c>
      <c r="K291">
        <v>10</v>
      </c>
      <c r="L291">
        <v>37400</v>
      </c>
      <c r="M291">
        <v>25</v>
      </c>
      <c r="N291">
        <v>280500</v>
      </c>
      <c r="O291" t="s">
        <v>73</v>
      </c>
      <c r="P291">
        <v>2</v>
      </c>
      <c r="Q291" t="s">
        <v>41</v>
      </c>
    </row>
    <row r="292" spans="1:17" x14ac:dyDescent="0.3">
      <c r="A292" t="s">
        <v>657</v>
      </c>
      <c r="B292" t="s">
        <v>658</v>
      </c>
      <c r="C292" t="s">
        <v>29</v>
      </c>
      <c r="D292" t="s">
        <v>83</v>
      </c>
      <c r="E292">
        <v>52</v>
      </c>
      <c r="F292" t="s">
        <v>211</v>
      </c>
      <c r="G292" t="s">
        <v>100</v>
      </c>
      <c r="H292" t="s">
        <v>62</v>
      </c>
      <c r="I292" t="s">
        <v>63</v>
      </c>
      <c r="J292" t="s">
        <v>89</v>
      </c>
      <c r="K292">
        <v>8</v>
      </c>
      <c r="L292">
        <v>17200</v>
      </c>
      <c r="M292">
        <v>10</v>
      </c>
      <c r="N292">
        <v>123840</v>
      </c>
      <c r="O292" t="s">
        <v>73</v>
      </c>
      <c r="P292">
        <v>3</v>
      </c>
      <c r="Q292" t="s">
        <v>26</v>
      </c>
    </row>
    <row r="293" spans="1:17" x14ac:dyDescent="0.3">
      <c r="A293" t="s">
        <v>659</v>
      </c>
      <c r="B293" t="s">
        <v>660</v>
      </c>
      <c r="C293" t="s">
        <v>88</v>
      </c>
      <c r="D293" t="s">
        <v>20</v>
      </c>
      <c r="E293">
        <v>51</v>
      </c>
      <c r="F293" t="s">
        <v>44</v>
      </c>
      <c r="G293" t="s">
        <v>100</v>
      </c>
      <c r="H293" t="s">
        <v>46</v>
      </c>
      <c r="I293" t="s">
        <v>79</v>
      </c>
      <c r="J293" t="s">
        <v>80</v>
      </c>
      <c r="K293">
        <v>5</v>
      </c>
      <c r="L293">
        <v>45300</v>
      </c>
      <c r="M293">
        <v>10</v>
      </c>
      <c r="N293">
        <v>203850</v>
      </c>
      <c r="O293" t="s">
        <v>85</v>
      </c>
      <c r="P293">
        <v>1</v>
      </c>
      <c r="Q293" t="s">
        <v>41</v>
      </c>
    </row>
    <row r="294" spans="1:17" x14ac:dyDescent="0.3">
      <c r="A294" t="s">
        <v>661</v>
      </c>
      <c r="B294" t="s">
        <v>662</v>
      </c>
      <c r="C294" t="s">
        <v>94</v>
      </c>
      <c r="E294">
        <v>42</v>
      </c>
      <c r="F294" t="s">
        <v>30</v>
      </c>
      <c r="G294" t="s">
        <v>57</v>
      </c>
      <c r="H294" t="s">
        <v>22</v>
      </c>
      <c r="I294" t="s">
        <v>84</v>
      </c>
      <c r="J294" t="s">
        <v>72</v>
      </c>
      <c r="K294">
        <v>5</v>
      </c>
      <c r="L294">
        <v>23600</v>
      </c>
      <c r="M294">
        <v>25</v>
      </c>
      <c r="N294">
        <v>88500</v>
      </c>
      <c r="O294" t="s">
        <v>85</v>
      </c>
      <c r="P294">
        <v>2</v>
      </c>
      <c r="Q294" t="s">
        <v>74</v>
      </c>
    </row>
    <row r="295" spans="1:17" x14ac:dyDescent="0.3">
      <c r="A295" t="s">
        <v>663</v>
      </c>
      <c r="B295" t="s">
        <v>664</v>
      </c>
      <c r="C295" t="s">
        <v>68</v>
      </c>
      <c r="D295" t="s">
        <v>20</v>
      </c>
      <c r="E295">
        <v>32</v>
      </c>
      <c r="F295" t="s">
        <v>56</v>
      </c>
      <c r="G295" t="s">
        <v>57</v>
      </c>
      <c r="H295" t="s">
        <v>62</v>
      </c>
      <c r="I295" t="s">
        <v>63</v>
      </c>
      <c r="J295" t="s">
        <v>80</v>
      </c>
      <c r="K295">
        <v>8</v>
      </c>
      <c r="L295">
        <v>17600</v>
      </c>
      <c r="M295">
        <v>10</v>
      </c>
      <c r="N295">
        <v>126720</v>
      </c>
      <c r="O295" t="s">
        <v>40</v>
      </c>
      <c r="Q295" t="s">
        <v>65</v>
      </c>
    </row>
    <row r="296" spans="1:17" x14ac:dyDescent="0.3">
      <c r="A296" t="s">
        <v>665</v>
      </c>
      <c r="B296" t="s">
        <v>325</v>
      </c>
      <c r="C296" t="s">
        <v>19</v>
      </c>
      <c r="E296">
        <v>27</v>
      </c>
      <c r="F296" t="s">
        <v>44</v>
      </c>
      <c r="G296" t="s">
        <v>45</v>
      </c>
      <c r="H296" t="s">
        <v>62</v>
      </c>
      <c r="I296" t="s">
        <v>63</v>
      </c>
      <c r="J296" t="s">
        <v>72</v>
      </c>
      <c r="K296">
        <v>2</v>
      </c>
      <c r="L296">
        <v>35100</v>
      </c>
      <c r="M296">
        <v>25</v>
      </c>
      <c r="N296">
        <v>52650</v>
      </c>
      <c r="O296" t="s">
        <v>48</v>
      </c>
      <c r="Q296" t="s">
        <v>74</v>
      </c>
    </row>
    <row r="297" spans="1:17" x14ac:dyDescent="0.3">
      <c r="A297" t="s">
        <v>666</v>
      </c>
      <c r="B297" t="s">
        <v>667</v>
      </c>
      <c r="C297" t="s">
        <v>94</v>
      </c>
      <c r="D297" t="s">
        <v>20</v>
      </c>
      <c r="E297">
        <v>39</v>
      </c>
      <c r="F297" t="s">
        <v>44</v>
      </c>
      <c r="G297" t="s">
        <v>45</v>
      </c>
      <c r="H297" t="s">
        <v>22</v>
      </c>
      <c r="I297" t="s">
        <v>23</v>
      </c>
      <c r="J297" t="s">
        <v>72</v>
      </c>
      <c r="K297">
        <v>6</v>
      </c>
      <c r="L297">
        <v>28100</v>
      </c>
      <c r="M297">
        <v>0</v>
      </c>
      <c r="N297">
        <v>168600</v>
      </c>
      <c r="O297" t="s">
        <v>35</v>
      </c>
      <c r="Q297" t="s">
        <v>65</v>
      </c>
    </row>
    <row r="298" spans="1:17" x14ac:dyDescent="0.3">
      <c r="A298" t="s">
        <v>668</v>
      </c>
      <c r="B298" t="s">
        <v>669</v>
      </c>
      <c r="C298" t="s">
        <v>19</v>
      </c>
      <c r="D298" t="s">
        <v>39</v>
      </c>
      <c r="E298">
        <v>45</v>
      </c>
      <c r="F298" t="s">
        <v>21</v>
      </c>
      <c r="G298" t="s">
        <v>21</v>
      </c>
      <c r="H298" t="s">
        <v>62</v>
      </c>
      <c r="I298" t="s">
        <v>140</v>
      </c>
      <c r="J298" t="s">
        <v>34</v>
      </c>
      <c r="K298">
        <v>1</v>
      </c>
      <c r="L298">
        <v>2500</v>
      </c>
      <c r="M298">
        <v>10</v>
      </c>
      <c r="N298">
        <v>2250</v>
      </c>
      <c r="O298" t="s">
        <v>105</v>
      </c>
      <c r="P298">
        <v>2</v>
      </c>
      <c r="Q298" t="s">
        <v>41</v>
      </c>
    </row>
    <row r="299" spans="1:17" x14ac:dyDescent="0.3">
      <c r="A299" t="s">
        <v>670</v>
      </c>
      <c r="B299" t="s">
        <v>671</v>
      </c>
      <c r="C299" t="s">
        <v>113</v>
      </c>
      <c r="D299" t="s">
        <v>39</v>
      </c>
      <c r="E299">
        <v>24</v>
      </c>
      <c r="F299" t="s">
        <v>61</v>
      </c>
      <c r="G299" t="s">
        <v>61</v>
      </c>
      <c r="H299" t="s">
        <v>62</v>
      </c>
      <c r="I299" t="s">
        <v>140</v>
      </c>
      <c r="J299" t="s">
        <v>24</v>
      </c>
      <c r="K299">
        <v>1</v>
      </c>
      <c r="L299">
        <v>33100</v>
      </c>
      <c r="M299">
        <v>0</v>
      </c>
      <c r="N299">
        <v>33100</v>
      </c>
      <c r="O299" t="s">
        <v>40</v>
      </c>
      <c r="P299">
        <v>3</v>
      </c>
      <c r="Q299" t="s">
        <v>26</v>
      </c>
    </row>
    <row r="300" spans="1:17" x14ac:dyDescent="0.3">
      <c r="A300" t="s">
        <v>672</v>
      </c>
      <c r="B300" t="s">
        <v>673</v>
      </c>
      <c r="C300" t="s">
        <v>71</v>
      </c>
      <c r="D300" t="s">
        <v>20</v>
      </c>
      <c r="E300">
        <v>28</v>
      </c>
      <c r="F300" t="s">
        <v>51</v>
      </c>
      <c r="G300" t="s">
        <v>104</v>
      </c>
      <c r="H300" t="s">
        <v>22</v>
      </c>
      <c r="I300" t="s">
        <v>84</v>
      </c>
      <c r="J300" t="s">
        <v>24</v>
      </c>
      <c r="K300">
        <v>4</v>
      </c>
      <c r="L300">
        <v>17000</v>
      </c>
      <c r="M300">
        <v>10</v>
      </c>
      <c r="N300">
        <v>61200</v>
      </c>
      <c r="O300" t="s">
        <v>48</v>
      </c>
      <c r="P300">
        <v>1</v>
      </c>
      <c r="Q300" t="s">
        <v>41</v>
      </c>
    </row>
    <row r="301" spans="1:17" x14ac:dyDescent="0.3">
      <c r="A301" t="s">
        <v>674</v>
      </c>
      <c r="B301" t="s">
        <v>675</v>
      </c>
      <c r="C301" t="s">
        <v>71</v>
      </c>
      <c r="E301">
        <v>20</v>
      </c>
      <c r="F301" t="s">
        <v>61</v>
      </c>
      <c r="G301" t="s">
        <v>61</v>
      </c>
      <c r="H301" t="s">
        <v>32</v>
      </c>
      <c r="I301" t="s">
        <v>33</v>
      </c>
      <c r="J301" t="s">
        <v>80</v>
      </c>
      <c r="K301">
        <v>8</v>
      </c>
      <c r="L301">
        <v>23200</v>
      </c>
      <c r="M301">
        <v>15</v>
      </c>
      <c r="N301">
        <v>157760</v>
      </c>
      <c r="O301" t="s">
        <v>25</v>
      </c>
      <c r="Q301" t="s">
        <v>41</v>
      </c>
    </row>
    <row r="302" spans="1:17" x14ac:dyDescent="0.3">
      <c r="A302" t="s">
        <v>676</v>
      </c>
      <c r="B302" t="s">
        <v>677</v>
      </c>
      <c r="C302" t="s">
        <v>60</v>
      </c>
      <c r="D302" t="s">
        <v>39</v>
      </c>
      <c r="E302">
        <v>65</v>
      </c>
      <c r="F302" t="s">
        <v>30</v>
      </c>
      <c r="G302" t="s">
        <v>31</v>
      </c>
      <c r="H302" t="s">
        <v>32</v>
      </c>
      <c r="I302" t="s">
        <v>53</v>
      </c>
      <c r="J302" t="s">
        <v>72</v>
      </c>
      <c r="K302">
        <v>2</v>
      </c>
      <c r="L302">
        <v>48100</v>
      </c>
      <c r="M302">
        <v>10</v>
      </c>
      <c r="N302">
        <v>86580</v>
      </c>
      <c r="O302" t="s">
        <v>48</v>
      </c>
      <c r="P302">
        <v>2</v>
      </c>
      <c r="Q302" t="s">
        <v>41</v>
      </c>
    </row>
    <row r="303" spans="1:17" x14ac:dyDescent="0.3">
      <c r="A303" t="s">
        <v>678</v>
      </c>
      <c r="B303" t="s">
        <v>679</v>
      </c>
      <c r="C303" t="s">
        <v>68</v>
      </c>
      <c r="E303">
        <v>28</v>
      </c>
      <c r="F303" t="s">
        <v>61</v>
      </c>
      <c r="G303" t="s">
        <v>61</v>
      </c>
      <c r="H303" t="s">
        <v>46</v>
      </c>
      <c r="I303" t="s">
        <v>47</v>
      </c>
      <c r="J303" t="s">
        <v>24</v>
      </c>
      <c r="K303">
        <v>8</v>
      </c>
      <c r="L303">
        <v>36300</v>
      </c>
      <c r="M303">
        <v>10</v>
      </c>
      <c r="N303">
        <v>261360</v>
      </c>
      <c r="O303" t="s">
        <v>48</v>
      </c>
      <c r="P303">
        <v>2</v>
      </c>
      <c r="Q303" t="s">
        <v>26</v>
      </c>
    </row>
    <row r="304" spans="1:17" x14ac:dyDescent="0.3">
      <c r="A304" t="s">
        <v>680</v>
      </c>
      <c r="B304" t="s">
        <v>681</v>
      </c>
      <c r="C304" t="s">
        <v>60</v>
      </c>
      <c r="D304" t="s">
        <v>83</v>
      </c>
      <c r="E304">
        <v>46</v>
      </c>
      <c r="F304" t="s">
        <v>51</v>
      </c>
      <c r="G304" t="s">
        <v>52</v>
      </c>
      <c r="H304" t="s">
        <v>32</v>
      </c>
      <c r="I304" t="s">
        <v>53</v>
      </c>
      <c r="J304" t="s">
        <v>72</v>
      </c>
      <c r="K304">
        <v>8</v>
      </c>
      <c r="L304">
        <v>40400</v>
      </c>
      <c r="M304">
        <v>5</v>
      </c>
      <c r="N304">
        <v>307040</v>
      </c>
      <c r="O304" t="s">
        <v>35</v>
      </c>
      <c r="P304">
        <v>4</v>
      </c>
      <c r="Q304" t="s">
        <v>41</v>
      </c>
    </row>
    <row r="305" spans="1:17" x14ac:dyDescent="0.3">
      <c r="A305" t="s">
        <v>682</v>
      </c>
      <c r="B305" t="s">
        <v>683</v>
      </c>
      <c r="C305" t="s">
        <v>19</v>
      </c>
      <c r="D305" t="s">
        <v>83</v>
      </c>
      <c r="E305">
        <v>49</v>
      </c>
      <c r="F305" t="s">
        <v>684</v>
      </c>
      <c r="G305" t="s">
        <v>61</v>
      </c>
      <c r="H305" t="s">
        <v>32</v>
      </c>
      <c r="I305" t="s">
        <v>53</v>
      </c>
      <c r="J305" t="s">
        <v>64</v>
      </c>
      <c r="K305">
        <v>4</v>
      </c>
      <c r="L305">
        <v>18100</v>
      </c>
      <c r="M305">
        <v>20</v>
      </c>
      <c r="N305">
        <v>57920</v>
      </c>
      <c r="O305" t="s">
        <v>73</v>
      </c>
      <c r="P305">
        <v>5</v>
      </c>
      <c r="Q305" t="s">
        <v>41</v>
      </c>
    </row>
    <row r="306" spans="1:17" x14ac:dyDescent="0.3">
      <c r="A306" t="s">
        <v>685</v>
      </c>
      <c r="B306" t="s">
        <v>686</v>
      </c>
      <c r="C306" t="s">
        <v>19</v>
      </c>
      <c r="D306" t="s">
        <v>83</v>
      </c>
      <c r="E306">
        <v>19</v>
      </c>
      <c r="F306" t="s">
        <v>21</v>
      </c>
      <c r="G306" t="s">
        <v>21</v>
      </c>
      <c r="H306" t="s">
        <v>32</v>
      </c>
      <c r="I306" t="s">
        <v>53</v>
      </c>
      <c r="J306" t="s">
        <v>64</v>
      </c>
      <c r="K306">
        <v>1</v>
      </c>
      <c r="L306">
        <v>43800</v>
      </c>
      <c r="M306">
        <v>15</v>
      </c>
      <c r="N306">
        <v>37230</v>
      </c>
      <c r="O306" t="s">
        <v>35</v>
      </c>
      <c r="Q306" t="s">
        <v>65</v>
      </c>
    </row>
    <row r="307" spans="1:17" x14ac:dyDescent="0.3">
      <c r="A307" t="s">
        <v>687</v>
      </c>
      <c r="B307" t="s">
        <v>688</v>
      </c>
      <c r="C307" t="s">
        <v>88</v>
      </c>
      <c r="E307">
        <v>58</v>
      </c>
      <c r="F307" t="s">
        <v>30</v>
      </c>
      <c r="G307" t="s">
        <v>31</v>
      </c>
      <c r="H307" t="s">
        <v>46</v>
      </c>
      <c r="I307" t="s">
        <v>79</v>
      </c>
      <c r="J307" t="s">
        <v>72</v>
      </c>
      <c r="K307">
        <v>9</v>
      </c>
      <c r="L307">
        <v>45500</v>
      </c>
      <c r="M307">
        <v>15</v>
      </c>
      <c r="N307">
        <v>348075</v>
      </c>
      <c r="O307" t="s">
        <v>105</v>
      </c>
      <c r="P307">
        <v>5</v>
      </c>
      <c r="Q307" t="s">
        <v>26</v>
      </c>
    </row>
    <row r="308" spans="1:17" x14ac:dyDescent="0.3">
      <c r="A308" t="s">
        <v>689</v>
      </c>
      <c r="B308" t="s">
        <v>690</v>
      </c>
      <c r="C308" t="s">
        <v>68</v>
      </c>
      <c r="E308">
        <v>54</v>
      </c>
      <c r="F308" t="s">
        <v>30</v>
      </c>
      <c r="G308" t="s">
        <v>57</v>
      </c>
      <c r="H308" t="s">
        <v>32</v>
      </c>
      <c r="I308" t="s">
        <v>33</v>
      </c>
      <c r="J308" t="s">
        <v>89</v>
      </c>
      <c r="K308">
        <v>6</v>
      </c>
      <c r="L308">
        <v>21000</v>
      </c>
      <c r="M308">
        <v>10</v>
      </c>
      <c r="N308">
        <v>113400</v>
      </c>
      <c r="O308" t="s">
        <v>40</v>
      </c>
      <c r="P308">
        <v>1</v>
      </c>
      <c r="Q308" t="s">
        <v>74</v>
      </c>
    </row>
    <row r="309" spans="1:17" x14ac:dyDescent="0.3">
      <c r="A309" t="s">
        <v>691</v>
      </c>
      <c r="B309" t="s">
        <v>692</v>
      </c>
      <c r="C309" t="s">
        <v>38</v>
      </c>
      <c r="E309">
        <v>30</v>
      </c>
      <c r="F309" t="s">
        <v>30</v>
      </c>
      <c r="G309" t="s">
        <v>57</v>
      </c>
      <c r="H309" t="s">
        <v>62</v>
      </c>
      <c r="I309" t="s">
        <v>140</v>
      </c>
      <c r="J309" t="s">
        <v>80</v>
      </c>
      <c r="K309">
        <v>3</v>
      </c>
      <c r="L309">
        <v>42000</v>
      </c>
      <c r="M309">
        <v>5</v>
      </c>
      <c r="N309">
        <v>119700</v>
      </c>
      <c r="O309" t="s">
        <v>48</v>
      </c>
      <c r="Q309" t="s">
        <v>74</v>
      </c>
    </row>
    <row r="310" spans="1:17" x14ac:dyDescent="0.3">
      <c r="A310" t="s">
        <v>693</v>
      </c>
      <c r="B310" t="s">
        <v>694</v>
      </c>
      <c r="C310" t="s">
        <v>88</v>
      </c>
      <c r="D310" t="s">
        <v>20</v>
      </c>
      <c r="E310">
        <v>60</v>
      </c>
      <c r="F310" t="s">
        <v>427</v>
      </c>
      <c r="G310" t="s">
        <v>78</v>
      </c>
      <c r="H310" t="s">
        <v>32</v>
      </c>
      <c r="I310" t="s">
        <v>33</v>
      </c>
      <c r="J310" t="s">
        <v>72</v>
      </c>
      <c r="K310">
        <v>2</v>
      </c>
      <c r="L310">
        <v>45700</v>
      </c>
      <c r="M310">
        <v>15</v>
      </c>
      <c r="N310">
        <v>77690</v>
      </c>
      <c r="O310" t="s">
        <v>105</v>
      </c>
      <c r="P310">
        <v>4</v>
      </c>
      <c r="Q310" t="s">
        <v>41</v>
      </c>
    </row>
    <row r="311" spans="1:17" x14ac:dyDescent="0.3">
      <c r="A311" t="s">
        <v>695</v>
      </c>
      <c r="B311" t="s">
        <v>696</v>
      </c>
      <c r="C311" t="s">
        <v>121</v>
      </c>
      <c r="D311" t="s">
        <v>20</v>
      </c>
      <c r="E311">
        <v>24</v>
      </c>
      <c r="F311" t="s">
        <v>77</v>
      </c>
      <c r="G311" t="s">
        <v>78</v>
      </c>
      <c r="H311" t="s">
        <v>62</v>
      </c>
      <c r="I311" t="s">
        <v>63</v>
      </c>
      <c r="J311" t="s">
        <v>64</v>
      </c>
      <c r="K311" t="s">
        <v>165</v>
      </c>
      <c r="L311">
        <v>9600</v>
      </c>
      <c r="M311">
        <v>25</v>
      </c>
      <c r="N311">
        <v>7200</v>
      </c>
      <c r="O311" t="s">
        <v>35</v>
      </c>
      <c r="P311">
        <v>5</v>
      </c>
      <c r="Q311" t="s">
        <v>74</v>
      </c>
    </row>
    <row r="312" spans="1:17" x14ac:dyDescent="0.3">
      <c r="A312" t="s">
        <v>697</v>
      </c>
      <c r="B312" t="s">
        <v>698</v>
      </c>
      <c r="C312" t="s">
        <v>113</v>
      </c>
      <c r="D312" t="s">
        <v>20</v>
      </c>
      <c r="E312">
        <v>41</v>
      </c>
      <c r="F312" t="s">
        <v>21</v>
      </c>
      <c r="G312" t="s">
        <v>21</v>
      </c>
      <c r="H312" t="s">
        <v>46</v>
      </c>
      <c r="I312" t="s">
        <v>47</v>
      </c>
      <c r="J312" t="s">
        <v>80</v>
      </c>
      <c r="K312">
        <v>10</v>
      </c>
      <c r="L312">
        <v>41700</v>
      </c>
      <c r="M312">
        <v>20</v>
      </c>
      <c r="N312">
        <v>333600</v>
      </c>
      <c r="O312" t="s">
        <v>40</v>
      </c>
      <c r="P312">
        <v>4</v>
      </c>
      <c r="Q312" t="s">
        <v>41</v>
      </c>
    </row>
    <row r="313" spans="1:17" x14ac:dyDescent="0.3">
      <c r="A313" t="s">
        <v>699</v>
      </c>
      <c r="B313" t="s">
        <v>700</v>
      </c>
      <c r="C313" t="s">
        <v>38</v>
      </c>
      <c r="D313" t="s">
        <v>83</v>
      </c>
      <c r="E313">
        <v>48</v>
      </c>
      <c r="F313" t="s">
        <v>44</v>
      </c>
      <c r="G313" t="s">
        <v>45</v>
      </c>
      <c r="H313" t="s">
        <v>62</v>
      </c>
      <c r="I313" t="s">
        <v>140</v>
      </c>
      <c r="J313" t="s">
        <v>34</v>
      </c>
      <c r="K313">
        <v>2</v>
      </c>
      <c r="L313">
        <v>30300</v>
      </c>
      <c r="M313">
        <v>5</v>
      </c>
      <c r="N313">
        <v>57570</v>
      </c>
      <c r="O313" t="s">
        <v>40</v>
      </c>
      <c r="P313">
        <v>4</v>
      </c>
      <c r="Q313" t="s">
        <v>41</v>
      </c>
    </row>
    <row r="314" spans="1:17" x14ac:dyDescent="0.3">
      <c r="A314" t="s">
        <v>701</v>
      </c>
      <c r="B314" t="s">
        <v>702</v>
      </c>
      <c r="C314" t="s">
        <v>94</v>
      </c>
      <c r="D314" t="s">
        <v>83</v>
      </c>
      <c r="E314">
        <v>33</v>
      </c>
      <c r="F314" t="s">
        <v>21</v>
      </c>
      <c r="G314" t="s">
        <v>21</v>
      </c>
      <c r="H314" t="s">
        <v>46</v>
      </c>
      <c r="I314" t="s">
        <v>79</v>
      </c>
      <c r="J314" t="s">
        <v>80</v>
      </c>
      <c r="K314">
        <v>8</v>
      </c>
      <c r="L314">
        <v>5200</v>
      </c>
      <c r="M314">
        <v>10</v>
      </c>
      <c r="N314">
        <v>37440</v>
      </c>
      <c r="O314" t="s">
        <v>73</v>
      </c>
      <c r="Q314" t="s">
        <v>41</v>
      </c>
    </row>
    <row r="315" spans="1:17" x14ac:dyDescent="0.3">
      <c r="A315" t="s">
        <v>703</v>
      </c>
      <c r="B315" t="s">
        <v>704</v>
      </c>
      <c r="C315" t="s">
        <v>94</v>
      </c>
      <c r="D315" t="s">
        <v>20</v>
      </c>
      <c r="E315">
        <v>20</v>
      </c>
      <c r="F315" t="s">
        <v>61</v>
      </c>
      <c r="G315" t="s">
        <v>61</v>
      </c>
      <c r="H315" t="s">
        <v>32</v>
      </c>
      <c r="I315" t="s">
        <v>33</v>
      </c>
      <c r="J315" t="s">
        <v>34</v>
      </c>
      <c r="K315">
        <v>1</v>
      </c>
      <c r="L315">
        <v>12000</v>
      </c>
      <c r="M315">
        <v>0</v>
      </c>
      <c r="N315" t="s">
        <v>705</v>
      </c>
      <c r="O315" t="s">
        <v>40</v>
      </c>
      <c r="Q315" t="s">
        <v>26</v>
      </c>
    </row>
    <row r="316" spans="1:17" x14ac:dyDescent="0.3">
      <c r="A316" t="s">
        <v>706</v>
      </c>
      <c r="B316" t="s">
        <v>707</v>
      </c>
      <c r="C316" t="s">
        <v>60</v>
      </c>
      <c r="D316" t="s">
        <v>83</v>
      </c>
      <c r="E316">
        <v>22</v>
      </c>
      <c r="F316" t="s">
        <v>30</v>
      </c>
      <c r="G316" t="s">
        <v>31</v>
      </c>
      <c r="H316" t="s">
        <v>46</v>
      </c>
      <c r="I316" t="s">
        <v>79</v>
      </c>
      <c r="J316" t="s">
        <v>64</v>
      </c>
      <c r="K316">
        <v>1</v>
      </c>
      <c r="L316">
        <v>21400</v>
      </c>
      <c r="M316">
        <v>0</v>
      </c>
      <c r="N316">
        <v>21400</v>
      </c>
      <c r="O316" t="s">
        <v>105</v>
      </c>
      <c r="P316">
        <v>2</v>
      </c>
      <c r="Q316" t="s">
        <v>41</v>
      </c>
    </row>
    <row r="317" spans="1:17" x14ac:dyDescent="0.3">
      <c r="A317" t="s">
        <v>708</v>
      </c>
      <c r="B317" t="s">
        <v>709</v>
      </c>
      <c r="C317" t="s">
        <v>113</v>
      </c>
      <c r="E317">
        <v>49</v>
      </c>
      <c r="F317" t="s">
        <v>61</v>
      </c>
      <c r="G317" t="s">
        <v>61</v>
      </c>
      <c r="H317" t="s">
        <v>46</v>
      </c>
      <c r="I317" t="s">
        <v>79</v>
      </c>
      <c r="J317" t="s">
        <v>34</v>
      </c>
      <c r="K317">
        <v>1</v>
      </c>
      <c r="L317">
        <v>30900</v>
      </c>
      <c r="M317">
        <v>0</v>
      </c>
      <c r="N317">
        <v>30900</v>
      </c>
      <c r="O317" t="s">
        <v>73</v>
      </c>
      <c r="P317">
        <v>1</v>
      </c>
      <c r="Q317" t="s">
        <v>65</v>
      </c>
    </row>
    <row r="318" spans="1:17" x14ac:dyDescent="0.3">
      <c r="A318" t="s">
        <v>710</v>
      </c>
      <c r="B318" t="s">
        <v>711</v>
      </c>
      <c r="C318" t="s">
        <v>88</v>
      </c>
      <c r="D318" t="s">
        <v>103</v>
      </c>
      <c r="E318">
        <v>54</v>
      </c>
      <c r="F318" t="s">
        <v>51</v>
      </c>
      <c r="G318" t="s">
        <v>104</v>
      </c>
      <c r="H318" t="s">
        <v>62</v>
      </c>
      <c r="I318" t="s">
        <v>140</v>
      </c>
      <c r="J318" t="s">
        <v>64</v>
      </c>
      <c r="K318">
        <v>2</v>
      </c>
      <c r="L318">
        <v>46800</v>
      </c>
      <c r="M318">
        <v>20</v>
      </c>
      <c r="N318">
        <v>74880</v>
      </c>
      <c r="O318" t="s">
        <v>48</v>
      </c>
      <c r="P318">
        <v>3</v>
      </c>
      <c r="Q318" t="s">
        <v>26</v>
      </c>
    </row>
    <row r="319" spans="1:17" x14ac:dyDescent="0.3">
      <c r="A319" t="s">
        <v>712</v>
      </c>
      <c r="B319" t="s">
        <v>254</v>
      </c>
      <c r="C319" t="s">
        <v>88</v>
      </c>
      <c r="D319" t="s">
        <v>83</v>
      </c>
      <c r="E319">
        <v>46</v>
      </c>
      <c r="F319" t="s">
        <v>51</v>
      </c>
      <c r="G319" t="s">
        <v>52</v>
      </c>
      <c r="H319" t="s">
        <v>22</v>
      </c>
      <c r="I319" t="s">
        <v>23</v>
      </c>
      <c r="J319" t="s">
        <v>72</v>
      </c>
      <c r="K319">
        <v>1</v>
      </c>
      <c r="L319">
        <v>11500</v>
      </c>
      <c r="M319">
        <v>15</v>
      </c>
      <c r="N319">
        <v>9775</v>
      </c>
      <c r="O319" t="s">
        <v>73</v>
      </c>
      <c r="P319">
        <v>2</v>
      </c>
      <c r="Q319" t="s">
        <v>26</v>
      </c>
    </row>
    <row r="320" spans="1:17" x14ac:dyDescent="0.3">
      <c r="A320" t="s">
        <v>713</v>
      </c>
      <c r="B320" t="s">
        <v>714</v>
      </c>
      <c r="C320" t="s">
        <v>121</v>
      </c>
      <c r="D320" t="s">
        <v>103</v>
      </c>
      <c r="E320">
        <v>18</v>
      </c>
      <c r="F320" t="s">
        <v>30</v>
      </c>
      <c r="G320" t="s">
        <v>31</v>
      </c>
      <c r="H320" t="s">
        <v>32</v>
      </c>
      <c r="I320" t="s">
        <v>53</v>
      </c>
      <c r="J320" t="s">
        <v>72</v>
      </c>
      <c r="K320" t="s">
        <v>278</v>
      </c>
      <c r="L320">
        <v>38300</v>
      </c>
      <c r="M320">
        <v>10</v>
      </c>
      <c r="N320">
        <v>310230</v>
      </c>
      <c r="O320" t="s">
        <v>40</v>
      </c>
      <c r="P320">
        <v>5</v>
      </c>
      <c r="Q320" t="s">
        <v>65</v>
      </c>
    </row>
    <row r="321" spans="1:17" x14ac:dyDescent="0.3">
      <c r="A321" t="s">
        <v>715</v>
      </c>
      <c r="B321" t="s">
        <v>716</v>
      </c>
      <c r="C321" t="s">
        <v>29</v>
      </c>
      <c r="D321" t="s">
        <v>103</v>
      </c>
      <c r="E321">
        <v>49</v>
      </c>
      <c r="F321" t="s">
        <v>61</v>
      </c>
      <c r="G321" t="s">
        <v>61</v>
      </c>
      <c r="H321" t="s">
        <v>46</v>
      </c>
      <c r="I321" t="s">
        <v>47</v>
      </c>
      <c r="J321" t="s">
        <v>64</v>
      </c>
      <c r="K321">
        <v>3</v>
      </c>
      <c r="L321">
        <v>48800</v>
      </c>
      <c r="M321">
        <v>20</v>
      </c>
      <c r="N321">
        <v>117120</v>
      </c>
      <c r="O321" t="s">
        <v>85</v>
      </c>
      <c r="Q321" t="s">
        <v>65</v>
      </c>
    </row>
    <row r="322" spans="1:17" x14ac:dyDescent="0.3">
      <c r="A322" t="s">
        <v>717</v>
      </c>
      <c r="B322" t="s">
        <v>718</v>
      </c>
      <c r="C322" t="s">
        <v>29</v>
      </c>
      <c r="E322">
        <v>43</v>
      </c>
      <c r="F322" t="s">
        <v>44</v>
      </c>
      <c r="G322" t="s">
        <v>45</v>
      </c>
      <c r="H322" t="s">
        <v>22</v>
      </c>
      <c r="I322" t="s">
        <v>23</v>
      </c>
      <c r="J322" t="s">
        <v>80</v>
      </c>
      <c r="K322">
        <v>4</v>
      </c>
      <c r="L322">
        <v>30700</v>
      </c>
      <c r="M322">
        <v>15</v>
      </c>
      <c r="N322">
        <v>104380</v>
      </c>
      <c r="O322" t="s">
        <v>85</v>
      </c>
      <c r="Q322" t="s">
        <v>74</v>
      </c>
    </row>
    <row r="323" spans="1:17" x14ac:dyDescent="0.3">
      <c r="A323" t="s">
        <v>719</v>
      </c>
      <c r="B323" t="s">
        <v>486</v>
      </c>
      <c r="C323" t="s">
        <v>121</v>
      </c>
      <c r="D323" t="s">
        <v>39</v>
      </c>
      <c r="E323">
        <v>48</v>
      </c>
      <c r="F323" t="s">
        <v>61</v>
      </c>
      <c r="G323" t="s">
        <v>61</v>
      </c>
      <c r="H323" t="s">
        <v>62</v>
      </c>
      <c r="I323" t="s">
        <v>63</v>
      </c>
      <c r="J323" t="s">
        <v>34</v>
      </c>
      <c r="K323">
        <v>5</v>
      </c>
      <c r="L323">
        <v>20000</v>
      </c>
      <c r="M323">
        <v>10</v>
      </c>
      <c r="N323">
        <v>90000</v>
      </c>
      <c r="O323" t="s">
        <v>85</v>
      </c>
      <c r="Q323" t="s">
        <v>65</v>
      </c>
    </row>
    <row r="324" spans="1:17" x14ac:dyDescent="0.3">
      <c r="A324" t="s">
        <v>720</v>
      </c>
      <c r="B324" t="s">
        <v>721</v>
      </c>
      <c r="C324" t="s">
        <v>19</v>
      </c>
      <c r="E324">
        <v>39</v>
      </c>
      <c r="F324" t="s">
        <v>44</v>
      </c>
      <c r="G324" t="s">
        <v>45</v>
      </c>
      <c r="H324" t="s">
        <v>110</v>
      </c>
      <c r="I324" t="s">
        <v>53</v>
      </c>
      <c r="J324" t="s">
        <v>80</v>
      </c>
      <c r="K324" t="s">
        <v>165</v>
      </c>
      <c r="L324">
        <v>40400</v>
      </c>
      <c r="M324">
        <v>20</v>
      </c>
      <c r="N324">
        <v>32320</v>
      </c>
      <c r="O324" t="s">
        <v>48</v>
      </c>
      <c r="P324">
        <v>1</v>
      </c>
      <c r="Q324" t="s">
        <v>41</v>
      </c>
    </row>
    <row r="325" spans="1:17" x14ac:dyDescent="0.3">
      <c r="A325" t="s">
        <v>722</v>
      </c>
      <c r="B325" t="s">
        <v>723</v>
      </c>
      <c r="C325" t="s">
        <v>19</v>
      </c>
      <c r="D325" t="s">
        <v>39</v>
      </c>
      <c r="E325">
        <v>58</v>
      </c>
      <c r="F325" t="s">
        <v>44</v>
      </c>
      <c r="G325" t="s">
        <v>100</v>
      </c>
      <c r="H325" t="s">
        <v>32</v>
      </c>
      <c r="I325" t="s">
        <v>33</v>
      </c>
      <c r="J325" t="s">
        <v>80</v>
      </c>
      <c r="K325">
        <v>10</v>
      </c>
      <c r="L325">
        <v>30600</v>
      </c>
      <c r="M325">
        <v>15</v>
      </c>
      <c r="N325">
        <v>260100</v>
      </c>
      <c r="O325" t="s">
        <v>162</v>
      </c>
      <c r="P325">
        <v>2</v>
      </c>
      <c r="Q325" t="s">
        <v>65</v>
      </c>
    </row>
    <row r="326" spans="1:17" x14ac:dyDescent="0.3">
      <c r="A326" t="s">
        <v>724</v>
      </c>
      <c r="B326" t="s">
        <v>500</v>
      </c>
      <c r="C326" t="s">
        <v>121</v>
      </c>
      <c r="D326" t="s">
        <v>103</v>
      </c>
      <c r="E326">
        <v>43</v>
      </c>
      <c r="F326" t="s">
        <v>21</v>
      </c>
      <c r="G326" t="s">
        <v>21</v>
      </c>
      <c r="H326" t="s">
        <v>46</v>
      </c>
      <c r="I326" t="s">
        <v>79</v>
      </c>
      <c r="J326" t="s">
        <v>64</v>
      </c>
      <c r="K326">
        <v>4</v>
      </c>
      <c r="L326">
        <v>34500</v>
      </c>
      <c r="M326">
        <v>20</v>
      </c>
      <c r="N326">
        <v>110400</v>
      </c>
      <c r="O326" t="s">
        <v>25</v>
      </c>
      <c r="Q326" t="s">
        <v>65</v>
      </c>
    </row>
    <row r="327" spans="1:17" x14ac:dyDescent="0.3">
      <c r="A327" t="s">
        <v>725</v>
      </c>
      <c r="B327" t="s">
        <v>726</v>
      </c>
      <c r="C327" t="s">
        <v>121</v>
      </c>
      <c r="D327" t="s">
        <v>83</v>
      </c>
      <c r="E327">
        <v>29</v>
      </c>
      <c r="F327" t="s">
        <v>30</v>
      </c>
      <c r="G327" t="s">
        <v>31</v>
      </c>
      <c r="H327" t="s">
        <v>46</v>
      </c>
      <c r="I327" t="s">
        <v>47</v>
      </c>
      <c r="J327" t="s">
        <v>72</v>
      </c>
      <c r="K327" t="s">
        <v>443</v>
      </c>
      <c r="L327">
        <v>2700</v>
      </c>
      <c r="M327">
        <v>10</v>
      </c>
      <c r="N327">
        <v>24300</v>
      </c>
      <c r="O327" t="s">
        <v>40</v>
      </c>
      <c r="P327">
        <v>3</v>
      </c>
      <c r="Q327" t="s">
        <v>74</v>
      </c>
    </row>
    <row r="328" spans="1:17" x14ac:dyDescent="0.3">
      <c r="A328" t="s">
        <v>727</v>
      </c>
      <c r="B328" t="s">
        <v>728</v>
      </c>
      <c r="C328" t="s">
        <v>113</v>
      </c>
      <c r="D328" t="s">
        <v>103</v>
      </c>
      <c r="E328">
        <v>40</v>
      </c>
      <c r="F328" t="s">
        <v>21</v>
      </c>
      <c r="G328" t="s">
        <v>21</v>
      </c>
      <c r="H328" t="s">
        <v>46</v>
      </c>
      <c r="I328" t="s">
        <v>47</v>
      </c>
      <c r="J328" t="s">
        <v>89</v>
      </c>
      <c r="K328">
        <v>10</v>
      </c>
      <c r="L328">
        <v>43400</v>
      </c>
      <c r="M328">
        <v>5</v>
      </c>
      <c r="N328">
        <v>412300</v>
      </c>
      <c r="O328" t="s">
        <v>25</v>
      </c>
      <c r="P328">
        <v>2</v>
      </c>
      <c r="Q328" t="s">
        <v>41</v>
      </c>
    </row>
    <row r="329" spans="1:17" x14ac:dyDescent="0.3">
      <c r="A329" t="s">
        <v>729</v>
      </c>
      <c r="B329" t="s">
        <v>730</v>
      </c>
      <c r="C329" t="s">
        <v>121</v>
      </c>
      <c r="D329" t="s">
        <v>103</v>
      </c>
      <c r="E329">
        <v>65</v>
      </c>
      <c r="F329" t="s">
        <v>21</v>
      </c>
      <c r="G329" t="s">
        <v>21</v>
      </c>
      <c r="H329" t="s">
        <v>46</v>
      </c>
      <c r="I329" t="s">
        <v>47</v>
      </c>
      <c r="J329" t="s">
        <v>24</v>
      </c>
      <c r="K329">
        <v>5</v>
      </c>
      <c r="L329">
        <v>38600</v>
      </c>
      <c r="M329">
        <v>15</v>
      </c>
      <c r="N329">
        <v>164050</v>
      </c>
      <c r="O329" t="s">
        <v>105</v>
      </c>
      <c r="P329">
        <v>3</v>
      </c>
      <c r="Q329" t="s">
        <v>74</v>
      </c>
    </row>
    <row r="330" spans="1:17" x14ac:dyDescent="0.3">
      <c r="A330" t="s">
        <v>731</v>
      </c>
      <c r="B330" t="s">
        <v>698</v>
      </c>
      <c r="C330" t="s">
        <v>68</v>
      </c>
      <c r="E330">
        <v>25</v>
      </c>
      <c r="F330" t="s">
        <v>30</v>
      </c>
      <c r="G330" t="s">
        <v>31</v>
      </c>
      <c r="H330" t="s">
        <v>110</v>
      </c>
      <c r="I330" t="s">
        <v>33</v>
      </c>
      <c r="J330" t="s">
        <v>72</v>
      </c>
      <c r="K330">
        <v>3</v>
      </c>
      <c r="L330">
        <v>19400</v>
      </c>
      <c r="M330">
        <v>25</v>
      </c>
      <c r="N330">
        <v>43650</v>
      </c>
      <c r="O330" t="s">
        <v>25</v>
      </c>
      <c r="P330">
        <v>4</v>
      </c>
      <c r="Q330" t="s">
        <v>65</v>
      </c>
    </row>
    <row r="331" spans="1:17" x14ac:dyDescent="0.3">
      <c r="A331" t="s">
        <v>732</v>
      </c>
      <c r="B331" t="s">
        <v>733</v>
      </c>
      <c r="C331" t="s">
        <v>71</v>
      </c>
      <c r="D331" t="s">
        <v>83</v>
      </c>
      <c r="E331">
        <v>24</v>
      </c>
      <c r="F331" t="s">
        <v>61</v>
      </c>
      <c r="G331" t="s">
        <v>61</v>
      </c>
      <c r="H331" t="s">
        <v>46</v>
      </c>
      <c r="I331" t="s">
        <v>79</v>
      </c>
      <c r="J331" t="s">
        <v>72</v>
      </c>
      <c r="K331">
        <v>5</v>
      </c>
      <c r="L331">
        <v>32100</v>
      </c>
      <c r="M331">
        <v>20</v>
      </c>
      <c r="N331">
        <v>128400</v>
      </c>
      <c r="O331" t="s">
        <v>35</v>
      </c>
      <c r="P331">
        <v>3</v>
      </c>
      <c r="Q331" t="s">
        <v>74</v>
      </c>
    </row>
    <row r="332" spans="1:17" x14ac:dyDescent="0.3">
      <c r="A332" t="s">
        <v>734</v>
      </c>
      <c r="B332" t="s">
        <v>280</v>
      </c>
      <c r="C332" t="s">
        <v>121</v>
      </c>
      <c r="D332" t="s">
        <v>83</v>
      </c>
      <c r="E332">
        <v>30</v>
      </c>
      <c r="F332" t="s">
        <v>61</v>
      </c>
      <c r="G332" t="s">
        <v>61</v>
      </c>
      <c r="H332" t="s">
        <v>22</v>
      </c>
      <c r="I332" t="s">
        <v>84</v>
      </c>
      <c r="J332" t="s">
        <v>24</v>
      </c>
      <c r="K332">
        <v>1</v>
      </c>
      <c r="L332">
        <v>34100</v>
      </c>
      <c r="M332">
        <v>5</v>
      </c>
      <c r="N332">
        <v>32395</v>
      </c>
      <c r="O332" t="s">
        <v>48</v>
      </c>
      <c r="P332">
        <v>1</v>
      </c>
      <c r="Q332" t="s">
        <v>65</v>
      </c>
    </row>
    <row r="333" spans="1:17" x14ac:dyDescent="0.3">
      <c r="A333" t="s">
        <v>735</v>
      </c>
      <c r="B333" t="s">
        <v>509</v>
      </c>
      <c r="C333" t="s">
        <v>121</v>
      </c>
      <c r="D333" t="s">
        <v>83</v>
      </c>
      <c r="E333">
        <v>29</v>
      </c>
      <c r="F333" t="s">
        <v>51</v>
      </c>
      <c r="G333" t="s">
        <v>52</v>
      </c>
      <c r="H333" t="s">
        <v>62</v>
      </c>
      <c r="I333" t="s">
        <v>140</v>
      </c>
      <c r="J333" t="s">
        <v>80</v>
      </c>
      <c r="K333">
        <v>7</v>
      </c>
      <c r="L333">
        <v>2100</v>
      </c>
      <c r="M333">
        <v>0</v>
      </c>
      <c r="N333">
        <v>14700</v>
      </c>
      <c r="O333" t="s">
        <v>73</v>
      </c>
      <c r="Q333" t="s">
        <v>41</v>
      </c>
    </row>
    <row r="334" spans="1:17" x14ac:dyDescent="0.3">
      <c r="A334" t="s">
        <v>736</v>
      </c>
      <c r="B334" t="s">
        <v>737</v>
      </c>
      <c r="C334" t="s">
        <v>29</v>
      </c>
      <c r="E334">
        <v>35</v>
      </c>
      <c r="F334" t="s">
        <v>30</v>
      </c>
      <c r="G334" t="s">
        <v>57</v>
      </c>
      <c r="H334" t="s">
        <v>22</v>
      </c>
      <c r="I334" t="s">
        <v>23</v>
      </c>
      <c r="J334" t="s">
        <v>72</v>
      </c>
      <c r="K334">
        <v>6</v>
      </c>
      <c r="L334">
        <v>11000</v>
      </c>
      <c r="M334">
        <v>20</v>
      </c>
      <c r="N334">
        <v>52800</v>
      </c>
      <c r="O334" t="s">
        <v>40</v>
      </c>
      <c r="P334">
        <v>1</v>
      </c>
      <c r="Q334" t="s">
        <v>26</v>
      </c>
    </row>
    <row r="335" spans="1:17" x14ac:dyDescent="0.3">
      <c r="A335" t="s">
        <v>738</v>
      </c>
      <c r="B335" t="s">
        <v>739</v>
      </c>
      <c r="C335" t="s">
        <v>29</v>
      </c>
      <c r="D335" t="s">
        <v>83</v>
      </c>
      <c r="E335">
        <v>28</v>
      </c>
      <c r="F335" t="s">
        <v>61</v>
      </c>
      <c r="G335" t="s">
        <v>61</v>
      </c>
      <c r="H335" t="s">
        <v>46</v>
      </c>
      <c r="I335" t="s">
        <v>79</v>
      </c>
      <c r="J335" t="s">
        <v>72</v>
      </c>
      <c r="K335">
        <v>3</v>
      </c>
      <c r="L335">
        <v>46400</v>
      </c>
      <c r="M335">
        <v>0</v>
      </c>
      <c r="N335">
        <v>139200</v>
      </c>
      <c r="O335" t="s">
        <v>40</v>
      </c>
      <c r="P335">
        <v>3</v>
      </c>
      <c r="Q335" t="s">
        <v>74</v>
      </c>
    </row>
    <row r="336" spans="1:17" x14ac:dyDescent="0.3">
      <c r="A336" t="s">
        <v>740</v>
      </c>
      <c r="B336" t="s">
        <v>325</v>
      </c>
      <c r="C336" t="s">
        <v>29</v>
      </c>
      <c r="D336" t="s">
        <v>83</v>
      </c>
      <c r="E336">
        <v>51</v>
      </c>
      <c r="F336" t="s">
        <v>44</v>
      </c>
      <c r="G336" t="s">
        <v>45</v>
      </c>
      <c r="H336" t="s">
        <v>455</v>
      </c>
      <c r="I336" t="s">
        <v>63</v>
      </c>
      <c r="J336" t="s">
        <v>34</v>
      </c>
      <c r="K336">
        <v>2</v>
      </c>
      <c r="L336">
        <v>43500</v>
      </c>
      <c r="M336">
        <v>0</v>
      </c>
      <c r="N336">
        <v>87000</v>
      </c>
      <c r="O336" t="s">
        <v>73</v>
      </c>
      <c r="P336">
        <v>3</v>
      </c>
      <c r="Q336" t="s">
        <v>26</v>
      </c>
    </row>
    <row r="337" spans="1:17" x14ac:dyDescent="0.3">
      <c r="A337" t="s">
        <v>741</v>
      </c>
      <c r="B337" t="s">
        <v>742</v>
      </c>
      <c r="C337" t="s">
        <v>38</v>
      </c>
      <c r="D337" t="s">
        <v>20</v>
      </c>
      <c r="E337">
        <v>55</v>
      </c>
      <c r="F337" t="s">
        <v>30</v>
      </c>
      <c r="G337" t="s">
        <v>31</v>
      </c>
      <c r="H337" t="s">
        <v>62</v>
      </c>
      <c r="I337" t="s">
        <v>63</v>
      </c>
      <c r="J337" t="s">
        <v>89</v>
      </c>
      <c r="K337">
        <v>2</v>
      </c>
      <c r="L337">
        <v>27000</v>
      </c>
      <c r="M337">
        <v>15</v>
      </c>
      <c r="N337">
        <v>45900</v>
      </c>
      <c r="O337" t="s">
        <v>73</v>
      </c>
      <c r="Q337" t="s">
        <v>65</v>
      </c>
    </row>
    <row r="338" spans="1:17" x14ac:dyDescent="0.3">
      <c r="A338" t="s">
        <v>743</v>
      </c>
      <c r="B338" t="s">
        <v>744</v>
      </c>
      <c r="C338" t="s">
        <v>121</v>
      </c>
      <c r="D338" t="s">
        <v>103</v>
      </c>
      <c r="E338">
        <v>42</v>
      </c>
      <c r="F338" t="s">
        <v>77</v>
      </c>
      <c r="G338" t="s">
        <v>95</v>
      </c>
      <c r="H338" t="s">
        <v>32</v>
      </c>
      <c r="I338" t="s">
        <v>53</v>
      </c>
      <c r="J338" t="s">
        <v>64</v>
      </c>
      <c r="K338">
        <v>6</v>
      </c>
      <c r="L338">
        <v>43300</v>
      </c>
      <c r="M338">
        <v>15</v>
      </c>
      <c r="N338">
        <v>220830</v>
      </c>
      <c r="O338" t="s">
        <v>35</v>
      </c>
      <c r="P338">
        <v>2</v>
      </c>
      <c r="Q338" t="s">
        <v>74</v>
      </c>
    </row>
    <row r="339" spans="1:17" x14ac:dyDescent="0.3">
      <c r="A339" t="s">
        <v>745</v>
      </c>
      <c r="B339" t="s">
        <v>746</v>
      </c>
      <c r="C339" t="s">
        <v>121</v>
      </c>
      <c r="D339" t="s">
        <v>83</v>
      </c>
      <c r="E339">
        <v>45</v>
      </c>
      <c r="F339" t="s">
        <v>30</v>
      </c>
      <c r="G339" t="s">
        <v>57</v>
      </c>
      <c r="H339" t="s">
        <v>22</v>
      </c>
      <c r="I339" t="s">
        <v>23</v>
      </c>
      <c r="J339" t="s">
        <v>80</v>
      </c>
      <c r="K339">
        <v>5</v>
      </c>
      <c r="L339">
        <v>37900</v>
      </c>
      <c r="M339">
        <v>25</v>
      </c>
      <c r="N339">
        <v>142125</v>
      </c>
      <c r="O339" t="s">
        <v>40</v>
      </c>
      <c r="Q339" t="s">
        <v>74</v>
      </c>
    </row>
    <row r="340" spans="1:17" x14ac:dyDescent="0.3">
      <c r="A340" t="s">
        <v>747</v>
      </c>
      <c r="B340" t="s">
        <v>748</v>
      </c>
      <c r="C340" t="s">
        <v>94</v>
      </c>
      <c r="D340" t="s">
        <v>20</v>
      </c>
      <c r="E340">
        <v>62</v>
      </c>
      <c r="F340" t="s">
        <v>30</v>
      </c>
      <c r="G340" t="s">
        <v>57</v>
      </c>
      <c r="H340" t="s">
        <v>46</v>
      </c>
      <c r="I340" t="s">
        <v>79</v>
      </c>
      <c r="J340" t="s">
        <v>24</v>
      </c>
      <c r="K340">
        <v>6</v>
      </c>
      <c r="L340">
        <v>27900</v>
      </c>
      <c r="M340">
        <v>20</v>
      </c>
      <c r="N340">
        <v>133920</v>
      </c>
      <c r="O340" t="s">
        <v>35</v>
      </c>
      <c r="Q340" t="s">
        <v>26</v>
      </c>
    </row>
    <row r="341" spans="1:17" x14ac:dyDescent="0.3">
      <c r="A341" t="s">
        <v>749</v>
      </c>
      <c r="B341" t="s">
        <v>750</v>
      </c>
      <c r="C341" t="s">
        <v>68</v>
      </c>
      <c r="D341" t="s">
        <v>39</v>
      </c>
      <c r="E341">
        <v>36</v>
      </c>
      <c r="F341" t="s">
        <v>51</v>
      </c>
      <c r="G341" t="s">
        <v>104</v>
      </c>
      <c r="H341" t="s">
        <v>22</v>
      </c>
      <c r="I341" t="s">
        <v>23</v>
      </c>
      <c r="J341" t="s">
        <v>34</v>
      </c>
      <c r="K341">
        <v>7</v>
      </c>
      <c r="L341">
        <v>7200</v>
      </c>
      <c r="M341">
        <v>10</v>
      </c>
      <c r="N341">
        <v>45360</v>
      </c>
      <c r="O341" t="s">
        <v>162</v>
      </c>
      <c r="P341">
        <v>4</v>
      </c>
      <c r="Q341" t="s">
        <v>74</v>
      </c>
    </row>
    <row r="342" spans="1:17" x14ac:dyDescent="0.3">
      <c r="A342" t="s">
        <v>751</v>
      </c>
      <c r="B342" t="s">
        <v>752</v>
      </c>
      <c r="C342" t="s">
        <v>60</v>
      </c>
      <c r="D342" t="s">
        <v>103</v>
      </c>
      <c r="E342">
        <v>44</v>
      </c>
      <c r="F342" t="s">
        <v>30</v>
      </c>
      <c r="G342" t="s">
        <v>31</v>
      </c>
      <c r="H342" t="s">
        <v>110</v>
      </c>
      <c r="I342" t="s">
        <v>53</v>
      </c>
      <c r="J342" t="s">
        <v>72</v>
      </c>
      <c r="K342">
        <v>4</v>
      </c>
      <c r="L342">
        <v>44200</v>
      </c>
      <c r="M342">
        <v>0</v>
      </c>
      <c r="N342">
        <v>176800</v>
      </c>
      <c r="O342" t="s">
        <v>35</v>
      </c>
      <c r="P342">
        <v>5</v>
      </c>
      <c r="Q342" t="s">
        <v>26</v>
      </c>
    </row>
    <row r="343" spans="1:17" x14ac:dyDescent="0.3">
      <c r="A343" t="s">
        <v>753</v>
      </c>
      <c r="B343" t="s">
        <v>340</v>
      </c>
      <c r="C343" t="s">
        <v>88</v>
      </c>
      <c r="D343" t="s">
        <v>20</v>
      </c>
      <c r="E343">
        <v>30</v>
      </c>
      <c r="F343" t="s">
        <v>44</v>
      </c>
      <c r="G343" t="s">
        <v>45</v>
      </c>
      <c r="H343" t="s">
        <v>32</v>
      </c>
      <c r="I343" t="s">
        <v>33</v>
      </c>
      <c r="J343" t="s">
        <v>24</v>
      </c>
      <c r="K343">
        <v>6</v>
      </c>
      <c r="L343">
        <v>21100</v>
      </c>
      <c r="M343">
        <v>25</v>
      </c>
      <c r="N343">
        <v>94950</v>
      </c>
      <c r="O343" t="s">
        <v>85</v>
      </c>
      <c r="P343">
        <v>5</v>
      </c>
      <c r="Q343" t="s">
        <v>41</v>
      </c>
    </row>
    <row r="344" spans="1:17" x14ac:dyDescent="0.3">
      <c r="A344" t="s">
        <v>754</v>
      </c>
      <c r="B344" t="s">
        <v>755</v>
      </c>
      <c r="C344" t="s">
        <v>88</v>
      </c>
      <c r="E344">
        <v>57</v>
      </c>
      <c r="F344" t="s">
        <v>61</v>
      </c>
      <c r="G344" t="s">
        <v>61</v>
      </c>
      <c r="H344" t="s">
        <v>22</v>
      </c>
      <c r="I344" t="s">
        <v>23</v>
      </c>
      <c r="J344" t="s">
        <v>64</v>
      </c>
      <c r="K344">
        <v>8</v>
      </c>
      <c r="L344">
        <v>32800</v>
      </c>
      <c r="M344">
        <v>15</v>
      </c>
      <c r="N344">
        <v>223040</v>
      </c>
      <c r="O344" t="s">
        <v>73</v>
      </c>
      <c r="P344">
        <v>3</v>
      </c>
      <c r="Q344" t="s">
        <v>74</v>
      </c>
    </row>
    <row r="345" spans="1:17" x14ac:dyDescent="0.3">
      <c r="A345" t="s">
        <v>756</v>
      </c>
      <c r="B345" t="s">
        <v>757</v>
      </c>
      <c r="C345" t="s">
        <v>71</v>
      </c>
      <c r="E345">
        <v>47</v>
      </c>
      <c r="F345" t="s">
        <v>51</v>
      </c>
      <c r="G345" t="s">
        <v>104</v>
      </c>
      <c r="H345" t="s">
        <v>32</v>
      </c>
      <c r="I345" t="s">
        <v>53</v>
      </c>
      <c r="J345" t="s">
        <v>72</v>
      </c>
      <c r="K345">
        <v>2</v>
      </c>
      <c r="L345">
        <v>31100</v>
      </c>
      <c r="M345">
        <v>0</v>
      </c>
      <c r="N345">
        <v>62200</v>
      </c>
      <c r="O345" t="s">
        <v>73</v>
      </c>
      <c r="P345">
        <v>1</v>
      </c>
      <c r="Q345" t="s">
        <v>74</v>
      </c>
    </row>
    <row r="346" spans="1:17" x14ac:dyDescent="0.3">
      <c r="A346" t="s">
        <v>758</v>
      </c>
      <c r="B346" t="s">
        <v>759</v>
      </c>
      <c r="C346" t="s">
        <v>71</v>
      </c>
      <c r="D346" t="s">
        <v>83</v>
      </c>
      <c r="E346">
        <v>22</v>
      </c>
      <c r="F346" t="s">
        <v>77</v>
      </c>
      <c r="G346" t="s">
        <v>78</v>
      </c>
      <c r="H346" t="s">
        <v>46</v>
      </c>
      <c r="I346" t="s">
        <v>79</v>
      </c>
      <c r="J346" t="s">
        <v>72</v>
      </c>
      <c r="K346">
        <v>2</v>
      </c>
      <c r="L346">
        <v>3900</v>
      </c>
      <c r="M346">
        <v>0</v>
      </c>
      <c r="N346">
        <v>7800</v>
      </c>
      <c r="O346" t="s">
        <v>35</v>
      </c>
      <c r="P346">
        <v>2</v>
      </c>
      <c r="Q346" t="s">
        <v>26</v>
      </c>
    </row>
    <row r="347" spans="1:17" x14ac:dyDescent="0.3">
      <c r="A347" t="s">
        <v>760</v>
      </c>
      <c r="B347" t="s">
        <v>761</v>
      </c>
      <c r="C347" t="s">
        <v>71</v>
      </c>
      <c r="D347" t="s">
        <v>103</v>
      </c>
      <c r="E347">
        <v>58</v>
      </c>
      <c r="F347" t="s">
        <v>30</v>
      </c>
      <c r="G347" t="s">
        <v>57</v>
      </c>
      <c r="H347" t="s">
        <v>22</v>
      </c>
      <c r="I347" t="s">
        <v>84</v>
      </c>
      <c r="J347" t="s">
        <v>80</v>
      </c>
      <c r="K347">
        <v>7</v>
      </c>
      <c r="L347">
        <v>22300</v>
      </c>
      <c r="M347">
        <v>10</v>
      </c>
      <c r="N347">
        <v>140490</v>
      </c>
      <c r="O347" t="s">
        <v>25</v>
      </c>
      <c r="P347">
        <v>2</v>
      </c>
      <c r="Q347" t="s">
        <v>26</v>
      </c>
    </row>
    <row r="348" spans="1:17" x14ac:dyDescent="0.3">
      <c r="A348" t="s">
        <v>762</v>
      </c>
      <c r="B348" t="s">
        <v>763</v>
      </c>
      <c r="C348" t="s">
        <v>19</v>
      </c>
      <c r="E348">
        <v>25</v>
      </c>
      <c r="F348" t="s">
        <v>44</v>
      </c>
      <c r="G348" t="s">
        <v>100</v>
      </c>
      <c r="H348" t="s">
        <v>62</v>
      </c>
      <c r="I348" t="s">
        <v>63</v>
      </c>
      <c r="J348" t="s">
        <v>89</v>
      </c>
      <c r="K348">
        <v>5</v>
      </c>
      <c r="L348">
        <v>36900</v>
      </c>
      <c r="M348">
        <v>25</v>
      </c>
      <c r="N348">
        <v>138375</v>
      </c>
      <c r="O348" t="s">
        <v>48</v>
      </c>
      <c r="P348">
        <v>2</v>
      </c>
      <c r="Q348" t="s">
        <v>41</v>
      </c>
    </row>
    <row r="349" spans="1:17" x14ac:dyDescent="0.3">
      <c r="A349" t="s">
        <v>764</v>
      </c>
      <c r="B349" t="s">
        <v>765</v>
      </c>
      <c r="C349" t="s">
        <v>121</v>
      </c>
      <c r="D349" t="s">
        <v>20</v>
      </c>
      <c r="E349">
        <v>33</v>
      </c>
      <c r="F349" t="s">
        <v>30</v>
      </c>
      <c r="G349" t="s">
        <v>31</v>
      </c>
      <c r="H349" t="s">
        <v>32</v>
      </c>
      <c r="I349" t="s">
        <v>33</v>
      </c>
      <c r="J349" t="s">
        <v>64</v>
      </c>
      <c r="K349">
        <v>1</v>
      </c>
      <c r="L349">
        <v>10800</v>
      </c>
      <c r="M349">
        <v>5</v>
      </c>
      <c r="N349">
        <v>10260</v>
      </c>
      <c r="O349" t="s">
        <v>48</v>
      </c>
      <c r="P349">
        <v>5</v>
      </c>
      <c r="Q349" t="s">
        <v>26</v>
      </c>
    </row>
    <row r="350" spans="1:17" x14ac:dyDescent="0.3">
      <c r="A350" t="s">
        <v>766</v>
      </c>
      <c r="B350" t="s">
        <v>767</v>
      </c>
      <c r="C350" t="s">
        <v>88</v>
      </c>
      <c r="E350">
        <v>32</v>
      </c>
      <c r="F350" t="s">
        <v>565</v>
      </c>
      <c r="G350" t="s">
        <v>100</v>
      </c>
      <c r="H350" t="s">
        <v>32</v>
      </c>
      <c r="I350" t="s">
        <v>53</v>
      </c>
      <c r="J350" t="s">
        <v>89</v>
      </c>
      <c r="K350">
        <v>4</v>
      </c>
      <c r="L350">
        <v>24400</v>
      </c>
      <c r="M350">
        <v>15</v>
      </c>
      <c r="N350">
        <v>82960</v>
      </c>
      <c r="O350" t="s">
        <v>35</v>
      </c>
      <c r="P350">
        <v>2</v>
      </c>
      <c r="Q350" t="s">
        <v>74</v>
      </c>
    </row>
    <row r="351" spans="1:17" x14ac:dyDescent="0.3">
      <c r="A351" t="s">
        <v>768</v>
      </c>
      <c r="B351" t="s">
        <v>769</v>
      </c>
      <c r="C351" t="s">
        <v>94</v>
      </c>
      <c r="D351" t="s">
        <v>83</v>
      </c>
      <c r="E351">
        <v>33</v>
      </c>
      <c r="F351" t="s">
        <v>77</v>
      </c>
      <c r="G351" t="s">
        <v>78</v>
      </c>
      <c r="H351" t="s">
        <v>22</v>
      </c>
      <c r="I351" t="s">
        <v>23</v>
      </c>
      <c r="J351" t="s">
        <v>72</v>
      </c>
      <c r="K351">
        <v>4</v>
      </c>
      <c r="L351">
        <v>27100</v>
      </c>
      <c r="M351">
        <v>10</v>
      </c>
      <c r="N351">
        <v>97560</v>
      </c>
      <c r="O351" t="s">
        <v>73</v>
      </c>
      <c r="Q351" t="s">
        <v>74</v>
      </c>
    </row>
    <row r="352" spans="1:17" x14ac:dyDescent="0.3">
      <c r="A352" t="s">
        <v>770</v>
      </c>
      <c r="B352" t="s">
        <v>771</v>
      </c>
      <c r="C352" t="s">
        <v>121</v>
      </c>
      <c r="D352" t="s">
        <v>20</v>
      </c>
      <c r="E352">
        <v>65</v>
      </c>
      <c r="F352" t="s">
        <v>30</v>
      </c>
      <c r="G352" t="s">
        <v>31</v>
      </c>
      <c r="H352" t="s">
        <v>32</v>
      </c>
      <c r="I352" t="s">
        <v>53</v>
      </c>
      <c r="J352" t="s">
        <v>80</v>
      </c>
      <c r="K352">
        <v>2</v>
      </c>
      <c r="L352">
        <v>44900</v>
      </c>
      <c r="M352">
        <v>10</v>
      </c>
      <c r="N352">
        <v>80820</v>
      </c>
      <c r="O352" t="s">
        <v>25</v>
      </c>
      <c r="Q352" t="s">
        <v>74</v>
      </c>
    </row>
    <row r="353" spans="1:17" x14ac:dyDescent="0.3">
      <c r="A353" t="s">
        <v>772</v>
      </c>
      <c r="B353" t="s">
        <v>295</v>
      </c>
      <c r="C353" t="s">
        <v>19</v>
      </c>
      <c r="D353" t="s">
        <v>20</v>
      </c>
      <c r="E353">
        <v>51</v>
      </c>
      <c r="F353" t="s">
        <v>30</v>
      </c>
      <c r="G353" t="s">
        <v>31</v>
      </c>
      <c r="H353" t="s">
        <v>46</v>
      </c>
      <c r="I353" t="s">
        <v>47</v>
      </c>
      <c r="J353" t="s">
        <v>24</v>
      </c>
      <c r="K353">
        <v>3</v>
      </c>
      <c r="L353">
        <v>2900</v>
      </c>
      <c r="M353">
        <v>25</v>
      </c>
      <c r="N353">
        <v>6525</v>
      </c>
      <c r="O353" t="s">
        <v>48</v>
      </c>
      <c r="Q353" t="s">
        <v>26</v>
      </c>
    </row>
    <row r="354" spans="1:17" x14ac:dyDescent="0.3">
      <c r="A354" t="s">
        <v>773</v>
      </c>
      <c r="B354" t="s">
        <v>774</v>
      </c>
      <c r="C354" t="s">
        <v>121</v>
      </c>
      <c r="D354" t="s">
        <v>83</v>
      </c>
      <c r="E354">
        <v>38</v>
      </c>
      <c r="F354" t="s">
        <v>30</v>
      </c>
      <c r="G354" t="s">
        <v>57</v>
      </c>
      <c r="H354" t="s">
        <v>32</v>
      </c>
      <c r="I354" t="s">
        <v>53</v>
      </c>
      <c r="J354" t="s">
        <v>34</v>
      </c>
      <c r="K354">
        <v>2</v>
      </c>
      <c r="L354">
        <v>8300</v>
      </c>
      <c r="M354">
        <v>20</v>
      </c>
      <c r="N354">
        <v>13280</v>
      </c>
      <c r="O354" t="s">
        <v>73</v>
      </c>
      <c r="P354">
        <v>5</v>
      </c>
      <c r="Q354" t="s">
        <v>74</v>
      </c>
    </row>
    <row r="355" spans="1:17" x14ac:dyDescent="0.3">
      <c r="A355" t="s">
        <v>775</v>
      </c>
      <c r="B355" t="s">
        <v>129</v>
      </c>
      <c r="C355" t="s">
        <v>113</v>
      </c>
      <c r="D355" t="s">
        <v>103</v>
      </c>
      <c r="E355">
        <v>21</v>
      </c>
      <c r="F355" t="s">
        <v>44</v>
      </c>
      <c r="G355" t="s">
        <v>45</v>
      </c>
      <c r="H355" t="s">
        <v>62</v>
      </c>
      <c r="I355" t="s">
        <v>63</v>
      </c>
      <c r="J355" t="s">
        <v>34</v>
      </c>
      <c r="K355">
        <v>1</v>
      </c>
      <c r="L355">
        <v>34000</v>
      </c>
      <c r="M355">
        <v>0</v>
      </c>
      <c r="N355">
        <v>34000</v>
      </c>
      <c r="O355" t="s">
        <v>73</v>
      </c>
      <c r="P355">
        <v>3</v>
      </c>
      <c r="Q355" t="s">
        <v>74</v>
      </c>
    </row>
    <row r="356" spans="1:17" x14ac:dyDescent="0.3">
      <c r="A356" t="s">
        <v>776</v>
      </c>
      <c r="B356" t="s">
        <v>262</v>
      </c>
      <c r="C356" t="s">
        <v>113</v>
      </c>
      <c r="D356" t="s">
        <v>39</v>
      </c>
      <c r="E356">
        <v>48</v>
      </c>
      <c r="F356" t="s">
        <v>44</v>
      </c>
      <c r="G356" t="s">
        <v>45</v>
      </c>
      <c r="H356" t="s">
        <v>32</v>
      </c>
      <c r="I356" t="s">
        <v>53</v>
      </c>
      <c r="J356" t="s">
        <v>80</v>
      </c>
      <c r="K356">
        <v>7</v>
      </c>
      <c r="L356">
        <v>6200</v>
      </c>
      <c r="M356">
        <v>25</v>
      </c>
      <c r="N356">
        <v>32550</v>
      </c>
      <c r="O356" t="s">
        <v>85</v>
      </c>
      <c r="Q356" t="s">
        <v>41</v>
      </c>
    </row>
    <row r="357" spans="1:17" x14ac:dyDescent="0.3">
      <c r="A357" t="s">
        <v>777</v>
      </c>
      <c r="B357" t="s">
        <v>778</v>
      </c>
      <c r="C357" t="s">
        <v>19</v>
      </c>
      <c r="D357" t="s">
        <v>83</v>
      </c>
      <c r="E357">
        <v>34</v>
      </c>
      <c r="F357" t="s">
        <v>51</v>
      </c>
      <c r="G357" t="s">
        <v>104</v>
      </c>
      <c r="H357" t="s">
        <v>62</v>
      </c>
      <c r="I357" t="s">
        <v>63</v>
      </c>
      <c r="J357" t="s">
        <v>64</v>
      </c>
      <c r="K357">
        <v>7</v>
      </c>
      <c r="L357">
        <v>26300</v>
      </c>
      <c r="M357">
        <v>5</v>
      </c>
      <c r="N357">
        <v>174895</v>
      </c>
      <c r="O357" t="s">
        <v>73</v>
      </c>
      <c r="P357">
        <v>5</v>
      </c>
      <c r="Q357" t="s">
        <v>41</v>
      </c>
    </row>
    <row r="358" spans="1:17" x14ac:dyDescent="0.3">
      <c r="A358" t="s">
        <v>779</v>
      </c>
      <c r="B358" t="s">
        <v>139</v>
      </c>
      <c r="C358" t="s">
        <v>38</v>
      </c>
      <c r="D358" t="s">
        <v>39</v>
      </c>
      <c r="E358">
        <v>65</v>
      </c>
      <c r="F358" t="s">
        <v>21</v>
      </c>
      <c r="G358" t="s">
        <v>21</v>
      </c>
      <c r="H358" t="s">
        <v>62</v>
      </c>
      <c r="I358" t="s">
        <v>63</v>
      </c>
      <c r="J358" t="s">
        <v>34</v>
      </c>
      <c r="K358">
        <v>10</v>
      </c>
      <c r="L358">
        <v>6500</v>
      </c>
      <c r="M358">
        <v>5</v>
      </c>
      <c r="N358" t="s">
        <v>780</v>
      </c>
      <c r="O358" t="s">
        <v>40</v>
      </c>
      <c r="Q358" t="s">
        <v>65</v>
      </c>
    </row>
    <row r="359" spans="1:17" x14ac:dyDescent="0.3">
      <c r="A359" t="s">
        <v>781</v>
      </c>
      <c r="B359" t="s">
        <v>782</v>
      </c>
      <c r="C359" t="s">
        <v>88</v>
      </c>
      <c r="D359" t="s">
        <v>83</v>
      </c>
      <c r="E359">
        <v>43</v>
      </c>
      <c r="F359" t="s">
        <v>461</v>
      </c>
      <c r="G359" t="s">
        <v>21</v>
      </c>
      <c r="H359" t="s">
        <v>32</v>
      </c>
      <c r="I359" t="s">
        <v>53</v>
      </c>
      <c r="J359" t="s">
        <v>34</v>
      </c>
      <c r="K359">
        <v>2</v>
      </c>
      <c r="L359">
        <v>42600</v>
      </c>
      <c r="M359">
        <v>20</v>
      </c>
      <c r="N359">
        <v>68160</v>
      </c>
      <c r="O359" t="s">
        <v>85</v>
      </c>
      <c r="P359">
        <v>5</v>
      </c>
      <c r="Q359" t="s">
        <v>41</v>
      </c>
    </row>
    <row r="360" spans="1:17" x14ac:dyDescent="0.3">
      <c r="A360" t="s">
        <v>783</v>
      </c>
      <c r="B360" t="s">
        <v>262</v>
      </c>
      <c r="C360" t="s">
        <v>29</v>
      </c>
      <c r="D360" t="s">
        <v>20</v>
      </c>
      <c r="E360">
        <v>18</v>
      </c>
      <c r="F360" t="s">
        <v>44</v>
      </c>
      <c r="G360" t="s">
        <v>100</v>
      </c>
      <c r="H360" t="s">
        <v>46</v>
      </c>
      <c r="I360" t="s">
        <v>47</v>
      </c>
      <c r="J360" t="s">
        <v>80</v>
      </c>
      <c r="K360">
        <v>6</v>
      </c>
      <c r="L360">
        <v>35500</v>
      </c>
      <c r="M360">
        <v>5</v>
      </c>
      <c r="N360">
        <v>202350</v>
      </c>
      <c r="O360" t="s">
        <v>105</v>
      </c>
      <c r="P360">
        <v>5</v>
      </c>
      <c r="Q360" t="s">
        <v>74</v>
      </c>
    </row>
    <row r="361" spans="1:17" x14ac:dyDescent="0.3">
      <c r="A361" t="s">
        <v>784</v>
      </c>
      <c r="B361" t="s">
        <v>785</v>
      </c>
      <c r="C361" t="s">
        <v>68</v>
      </c>
      <c r="E361">
        <v>60</v>
      </c>
      <c r="F361" t="s">
        <v>51</v>
      </c>
      <c r="G361" t="s">
        <v>52</v>
      </c>
      <c r="H361" t="s">
        <v>46</v>
      </c>
      <c r="I361" t="s">
        <v>79</v>
      </c>
      <c r="J361" t="s">
        <v>72</v>
      </c>
      <c r="K361">
        <v>2</v>
      </c>
      <c r="L361">
        <v>44800</v>
      </c>
      <c r="M361">
        <v>0</v>
      </c>
      <c r="N361">
        <v>89600</v>
      </c>
      <c r="O361" t="s">
        <v>48</v>
      </c>
      <c r="P361">
        <v>1</v>
      </c>
      <c r="Q361" t="s">
        <v>65</v>
      </c>
    </row>
    <row r="362" spans="1:17" x14ac:dyDescent="0.3">
      <c r="A362" t="s">
        <v>786</v>
      </c>
      <c r="B362" t="s">
        <v>787</v>
      </c>
      <c r="C362" t="s">
        <v>60</v>
      </c>
      <c r="D362" t="s">
        <v>83</v>
      </c>
      <c r="E362">
        <v>51</v>
      </c>
      <c r="F362" t="s">
        <v>61</v>
      </c>
      <c r="G362" t="s">
        <v>61</v>
      </c>
      <c r="H362" t="s">
        <v>32</v>
      </c>
      <c r="I362" t="s">
        <v>53</v>
      </c>
      <c r="J362" t="s">
        <v>89</v>
      </c>
      <c r="K362">
        <v>3</v>
      </c>
      <c r="L362">
        <v>39300</v>
      </c>
      <c r="M362">
        <v>5</v>
      </c>
      <c r="N362">
        <v>112005</v>
      </c>
      <c r="O362" t="s">
        <v>105</v>
      </c>
      <c r="P362">
        <v>4</v>
      </c>
      <c r="Q362" t="s">
        <v>26</v>
      </c>
    </row>
    <row r="363" spans="1:17" x14ac:dyDescent="0.3">
      <c r="A363" t="s">
        <v>788</v>
      </c>
      <c r="B363" t="s">
        <v>789</v>
      </c>
      <c r="C363" t="s">
        <v>60</v>
      </c>
      <c r="D363" t="s">
        <v>83</v>
      </c>
      <c r="E363">
        <v>42</v>
      </c>
      <c r="F363" t="s">
        <v>21</v>
      </c>
      <c r="G363" t="s">
        <v>21</v>
      </c>
      <c r="H363" t="s">
        <v>22</v>
      </c>
      <c r="I363" t="s">
        <v>84</v>
      </c>
      <c r="J363" t="s">
        <v>89</v>
      </c>
      <c r="K363">
        <v>6</v>
      </c>
      <c r="L363">
        <v>38700</v>
      </c>
      <c r="M363">
        <v>10</v>
      </c>
      <c r="N363">
        <v>208980</v>
      </c>
      <c r="O363" t="s">
        <v>25</v>
      </c>
      <c r="P363">
        <v>1</v>
      </c>
      <c r="Q363" t="s">
        <v>74</v>
      </c>
    </row>
    <row r="364" spans="1:17" x14ac:dyDescent="0.3">
      <c r="A364" t="s">
        <v>790</v>
      </c>
      <c r="B364" t="s">
        <v>791</v>
      </c>
      <c r="C364" t="s">
        <v>68</v>
      </c>
      <c r="D364" t="s">
        <v>83</v>
      </c>
      <c r="E364">
        <v>44</v>
      </c>
      <c r="F364" t="s">
        <v>684</v>
      </c>
      <c r="G364" t="s">
        <v>61</v>
      </c>
      <c r="H364" t="s">
        <v>32</v>
      </c>
      <c r="I364" t="s">
        <v>33</v>
      </c>
      <c r="J364" t="s">
        <v>89</v>
      </c>
      <c r="K364">
        <v>7</v>
      </c>
      <c r="L364">
        <v>41700</v>
      </c>
      <c r="M364">
        <v>20</v>
      </c>
      <c r="N364">
        <v>233520</v>
      </c>
      <c r="O364" t="s">
        <v>25</v>
      </c>
      <c r="P364">
        <v>5</v>
      </c>
      <c r="Q364" t="s">
        <v>26</v>
      </c>
    </row>
    <row r="365" spans="1:17" x14ac:dyDescent="0.3">
      <c r="A365" t="s">
        <v>792</v>
      </c>
      <c r="B365" t="s">
        <v>793</v>
      </c>
      <c r="C365" t="s">
        <v>121</v>
      </c>
      <c r="D365" t="s">
        <v>83</v>
      </c>
      <c r="E365">
        <v>44</v>
      </c>
      <c r="F365" t="s">
        <v>21</v>
      </c>
      <c r="G365" t="s">
        <v>21</v>
      </c>
      <c r="H365" t="s">
        <v>22</v>
      </c>
      <c r="I365" t="s">
        <v>23</v>
      </c>
      <c r="J365" t="s">
        <v>80</v>
      </c>
      <c r="K365">
        <v>7</v>
      </c>
      <c r="L365">
        <v>38800</v>
      </c>
      <c r="M365">
        <v>20</v>
      </c>
      <c r="N365">
        <v>217280</v>
      </c>
      <c r="O365" t="s">
        <v>85</v>
      </c>
      <c r="P365">
        <v>3</v>
      </c>
      <c r="Q365" t="s">
        <v>26</v>
      </c>
    </row>
    <row r="366" spans="1:17" x14ac:dyDescent="0.3">
      <c r="A366" t="s">
        <v>794</v>
      </c>
      <c r="B366" t="s">
        <v>394</v>
      </c>
      <c r="C366" t="s">
        <v>29</v>
      </c>
      <c r="D366" t="s">
        <v>83</v>
      </c>
      <c r="E366">
        <v>33</v>
      </c>
      <c r="F366" t="s">
        <v>51</v>
      </c>
      <c r="G366" t="s">
        <v>104</v>
      </c>
      <c r="H366" t="s">
        <v>22</v>
      </c>
      <c r="I366" t="s">
        <v>84</v>
      </c>
      <c r="J366" t="s">
        <v>64</v>
      </c>
      <c r="K366">
        <v>8</v>
      </c>
      <c r="L366">
        <v>26300</v>
      </c>
      <c r="M366">
        <v>25</v>
      </c>
      <c r="N366">
        <v>157800</v>
      </c>
      <c r="O366" t="s">
        <v>40</v>
      </c>
      <c r="P366">
        <v>4</v>
      </c>
      <c r="Q366" t="s">
        <v>41</v>
      </c>
    </row>
    <row r="367" spans="1:17" x14ac:dyDescent="0.3">
      <c r="A367" t="s">
        <v>795</v>
      </c>
      <c r="B367" t="s">
        <v>746</v>
      </c>
      <c r="C367" t="s">
        <v>113</v>
      </c>
      <c r="D367" t="s">
        <v>103</v>
      </c>
      <c r="E367">
        <v>42</v>
      </c>
      <c r="F367" t="s">
        <v>44</v>
      </c>
      <c r="G367" t="s">
        <v>100</v>
      </c>
      <c r="H367" t="s">
        <v>22</v>
      </c>
      <c r="I367" t="s">
        <v>84</v>
      </c>
      <c r="J367" t="s">
        <v>89</v>
      </c>
      <c r="K367">
        <v>7</v>
      </c>
      <c r="L367">
        <v>6900</v>
      </c>
      <c r="M367">
        <v>25</v>
      </c>
      <c r="N367">
        <v>36225</v>
      </c>
      <c r="O367" t="s">
        <v>85</v>
      </c>
      <c r="P367">
        <v>5</v>
      </c>
      <c r="Q367" t="s">
        <v>74</v>
      </c>
    </row>
    <row r="368" spans="1:17" x14ac:dyDescent="0.3">
      <c r="A368" t="s">
        <v>796</v>
      </c>
      <c r="B368" t="s">
        <v>797</v>
      </c>
      <c r="C368" t="s">
        <v>38</v>
      </c>
      <c r="D368" t="s">
        <v>39</v>
      </c>
      <c r="E368">
        <v>20</v>
      </c>
      <c r="F368" t="s">
        <v>427</v>
      </c>
      <c r="G368" t="s">
        <v>78</v>
      </c>
      <c r="H368" t="s">
        <v>46</v>
      </c>
      <c r="I368" t="s">
        <v>79</v>
      </c>
      <c r="J368" t="s">
        <v>72</v>
      </c>
      <c r="K368">
        <v>5</v>
      </c>
      <c r="L368">
        <v>43300</v>
      </c>
      <c r="M368">
        <v>5</v>
      </c>
      <c r="N368">
        <v>205675</v>
      </c>
      <c r="O368" t="s">
        <v>40</v>
      </c>
      <c r="P368">
        <v>5</v>
      </c>
      <c r="Q368" t="s">
        <v>26</v>
      </c>
    </row>
    <row r="369" spans="1:17" x14ac:dyDescent="0.3">
      <c r="A369" t="s">
        <v>798</v>
      </c>
      <c r="B369" t="s">
        <v>799</v>
      </c>
      <c r="C369" t="s">
        <v>94</v>
      </c>
      <c r="E369">
        <v>43</v>
      </c>
      <c r="F369" t="s">
        <v>77</v>
      </c>
      <c r="G369" t="s">
        <v>95</v>
      </c>
      <c r="H369" t="s">
        <v>62</v>
      </c>
      <c r="I369" t="s">
        <v>140</v>
      </c>
      <c r="J369" t="s">
        <v>80</v>
      </c>
      <c r="K369">
        <v>9</v>
      </c>
      <c r="L369">
        <v>33000</v>
      </c>
      <c r="M369">
        <v>0</v>
      </c>
      <c r="N369">
        <v>297000</v>
      </c>
      <c r="O369" t="s">
        <v>25</v>
      </c>
      <c r="Q369" t="s">
        <v>65</v>
      </c>
    </row>
    <row r="370" spans="1:17" x14ac:dyDescent="0.3">
      <c r="A370" t="s">
        <v>800</v>
      </c>
      <c r="B370" t="s">
        <v>801</v>
      </c>
      <c r="C370" t="s">
        <v>71</v>
      </c>
      <c r="D370" t="s">
        <v>39</v>
      </c>
      <c r="E370">
        <v>59</v>
      </c>
      <c r="F370" t="s">
        <v>21</v>
      </c>
      <c r="G370" t="s">
        <v>21</v>
      </c>
      <c r="H370" t="s">
        <v>32</v>
      </c>
      <c r="I370" t="s">
        <v>33</v>
      </c>
      <c r="J370" t="s">
        <v>34</v>
      </c>
      <c r="K370">
        <v>2</v>
      </c>
      <c r="L370">
        <v>47600</v>
      </c>
      <c r="M370">
        <v>20</v>
      </c>
      <c r="N370">
        <v>76160</v>
      </c>
      <c r="O370" t="s">
        <v>25</v>
      </c>
      <c r="P370">
        <v>5</v>
      </c>
      <c r="Q370" t="s">
        <v>65</v>
      </c>
    </row>
    <row r="371" spans="1:17" x14ac:dyDescent="0.3">
      <c r="A371" t="s">
        <v>802</v>
      </c>
      <c r="B371" t="s">
        <v>803</v>
      </c>
      <c r="C371" t="s">
        <v>121</v>
      </c>
      <c r="E371">
        <v>49</v>
      </c>
      <c r="F371" t="s">
        <v>44</v>
      </c>
      <c r="G371" t="s">
        <v>100</v>
      </c>
      <c r="H371" t="s">
        <v>62</v>
      </c>
      <c r="I371" t="s">
        <v>140</v>
      </c>
      <c r="J371" t="s">
        <v>72</v>
      </c>
      <c r="K371">
        <v>7</v>
      </c>
      <c r="L371">
        <v>35500</v>
      </c>
      <c r="M371">
        <v>25</v>
      </c>
      <c r="N371">
        <v>186375</v>
      </c>
      <c r="O371" t="s">
        <v>48</v>
      </c>
      <c r="P371">
        <v>5</v>
      </c>
      <c r="Q371" t="s">
        <v>41</v>
      </c>
    </row>
    <row r="372" spans="1:17" x14ac:dyDescent="0.3">
      <c r="A372" t="s">
        <v>804</v>
      </c>
      <c r="B372" t="s">
        <v>805</v>
      </c>
      <c r="C372" t="s">
        <v>68</v>
      </c>
      <c r="D372" t="s">
        <v>20</v>
      </c>
      <c r="E372">
        <v>38</v>
      </c>
      <c r="F372" t="s">
        <v>77</v>
      </c>
      <c r="G372" t="s">
        <v>95</v>
      </c>
      <c r="H372" t="s">
        <v>22</v>
      </c>
      <c r="I372" t="s">
        <v>84</v>
      </c>
      <c r="J372" t="s">
        <v>80</v>
      </c>
      <c r="K372">
        <v>3</v>
      </c>
      <c r="L372">
        <v>14100</v>
      </c>
      <c r="M372">
        <v>25</v>
      </c>
      <c r="N372">
        <v>31725</v>
      </c>
      <c r="O372" t="s">
        <v>40</v>
      </c>
      <c r="P372">
        <v>5</v>
      </c>
      <c r="Q372" t="s">
        <v>65</v>
      </c>
    </row>
    <row r="373" spans="1:17" x14ac:dyDescent="0.3">
      <c r="A373" t="s">
        <v>806</v>
      </c>
      <c r="B373" t="s">
        <v>807</v>
      </c>
      <c r="C373" t="s">
        <v>113</v>
      </c>
      <c r="D373" t="s">
        <v>39</v>
      </c>
      <c r="E373">
        <v>28</v>
      </c>
      <c r="F373" t="s">
        <v>61</v>
      </c>
      <c r="G373" t="s">
        <v>61</v>
      </c>
      <c r="H373" t="s">
        <v>46</v>
      </c>
      <c r="I373" t="s">
        <v>79</v>
      </c>
      <c r="J373" t="s">
        <v>34</v>
      </c>
      <c r="K373">
        <v>10</v>
      </c>
      <c r="L373">
        <v>44900</v>
      </c>
      <c r="M373">
        <v>10</v>
      </c>
      <c r="N373">
        <v>404100</v>
      </c>
      <c r="O373" t="s">
        <v>35</v>
      </c>
      <c r="Q373" t="s">
        <v>65</v>
      </c>
    </row>
    <row r="374" spans="1:17" x14ac:dyDescent="0.3">
      <c r="A374" t="s">
        <v>808</v>
      </c>
      <c r="B374" t="s">
        <v>809</v>
      </c>
      <c r="C374" t="s">
        <v>113</v>
      </c>
      <c r="D374" t="s">
        <v>103</v>
      </c>
      <c r="E374">
        <v>63</v>
      </c>
      <c r="F374" t="s">
        <v>77</v>
      </c>
      <c r="G374" t="s">
        <v>78</v>
      </c>
      <c r="H374" t="s">
        <v>431</v>
      </c>
      <c r="I374" t="s">
        <v>79</v>
      </c>
      <c r="J374" t="s">
        <v>80</v>
      </c>
      <c r="K374">
        <v>3</v>
      </c>
      <c r="L374">
        <v>39100</v>
      </c>
      <c r="M374">
        <v>10</v>
      </c>
      <c r="N374">
        <v>105570</v>
      </c>
      <c r="O374" t="s">
        <v>85</v>
      </c>
      <c r="P374">
        <v>2</v>
      </c>
      <c r="Q374" t="s">
        <v>65</v>
      </c>
    </row>
    <row r="375" spans="1:17" x14ac:dyDescent="0.3">
      <c r="A375" t="s">
        <v>810</v>
      </c>
      <c r="B375" t="s">
        <v>811</v>
      </c>
      <c r="C375" t="s">
        <v>121</v>
      </c>
      <c r="D375" t="s">
        <v>83</v>
      </c>
      <c r="E375">
        <v>22</v>
      </c>
      <c r="F375" t="s">
        <v>812</v>
      </c>
      <c r="G375" t="s">
        <v>78</v>
      </c>
      <c r="H375" t="s">
        <v>46</v>
      </c>
      <c r="I375" t="s">
        <v>47</v>
      </c>
      <c r="J375" t="s">
        <v>89</v>
      </c>
      <c r="K375">
        <v>3</v>
      </c>
      <c r="L375">
        <v>37600</v>
      </c>
      <c r="M375">
        <v>5</v>
      </c>
      <c r="N375">
        <v>107160</v>
      </c>
      <c r="O375" t="s">
        <v>73</v>
      </c>
      <c r="P375">
        <v>1</v>
      </c>
      <c r="Q375" t="s">
        <v>74</v>
      </c>
    </row>
    <row r="376" spans="1:17" x14ac:dyDescent="0.3">
      <c r="A376" t="s">
        <v>813</v>
      </c>
      <c r="B376" t="s">
        <v>814</v>
      </c>
      <c r="C376" t="s">
        <v>113</v>
      </c>
      <c r="D376" t="s">
        <v>83</v>
      </c>
      <c r="E376">
        <v>51</v>
      </c>
      <c r="F376" t="s">
        <v>21</v>
      </c>
      <c r="G376" t="s">
        <v>21</v>
      </c>
      <c r="H376" t="s">
        <v>22</v>
      </c>
      <c r="I376" t="s">
        <v>84</v>
      </c>
      <c r="J376" t="s">
        <v>72</v>
      </c>
      <c r="K376">
        <v>7</v>
      </c>
      <c r="L376">
        <v>41700</v>
      </c>
      <c r="M376">
        <v>20</v>
      </c>
      <c r="N376">
        <v>233520</v>
      </c>
      <c r="O376" t="s">
        <v>48</v>
      </c>
      <c r="P376">
        <v>2</v>
      </c>
      <c r="Q376" t="s">
        <v>41</v>
      </c>
    </row>
    <row r="377" spans="1:17" x14ac:dyDescent="0.3">
      <c r="A377" t="s">
        <v>815</v>
      </c>
      <c r="B377" t="s">
        <v>816</v>
      </c>
      <c r="C377" t="s">
        <v>88</v>
      </c>
      <c r="E377">
        <v>21</v>
      </c>
      <c r="F377" t="s">
        <v>77</v>
      </c>
      <c r="G377" t="s">
        <v>95</v>
      </c>
      <c r="H377" t="s">
        <v>22</v>
      </c>
      <c r="I377" t="s">
        <v>84</v>
      </c>
      <c r="J377" t="s">
        <v>89</v>
      </c>
      <c r="K377">
        <v>10</v>
      </c>
      <c r="L377">
        <v>18800</v>
      </c>
      <c r="M377">
        <v>25</v>
      </c>
      <c r="N377">
        <v>141000</v>
      </c>
      <c r="O377" t="s">
        <v>48</v>
      </c>
      <c r="P377">
        <v>3</v>
      </c>
      <c r="Q377" t="s">
        <v>65</v>
      </c>
    </row>
    <row r="378" spans="1:17" x14ac:dyDescent="0.3">
      <c r="A378" t="s">
        <v>817</v>
      </c>
      <c r="B378" t="s">
        <v>818</v>
      </c>
      <c r="C378" t="s">
        <v>19</v>
      </c>
      <c r="D378" t="s">
        <v>83</v>
      </c>
      <c r="E378">
        <v>33</v>
      </c>
      <c r="F378" t="s">
        <v>77</v>
      </c>
      <c r="G378" t="s">
        <v>95</v>
      </c>
      <c r="H378" t="s">
        <v>32</v>
      </c>
      <c r="I378" t="s">
        <v>53</v>
      </c>
      <c r="J378" t="s">
        <v>34</v>
      </c>
      <c r="K378">
        <v>6</v>
      </c>
      <c r="L378">
        <v>33000</v>
      </c>
      <c r="M378">
        <v>0</v>
      </c>
      <c r="N378">
        <v>198000</v>
      </c>
      <c r="O378" t="s">
        <v>73</v>
      </c>
      <c r="Q378" t="s">
        <v>65</v>
      </c>
    </row>
    <row r="379" spans="1:17" x14ac:dyDescent="0.3">
      <c r="A379" t="s">
        <v>819</v>
      </c>
      <c r="B379" t="s">
        <v>820</v>
      </c>
      <c r="C379" t="s">
        <v>71</v>
      </c>
      <c r="D379" t="s">
        <v>103</v>
      </c>
      <c r="E379">
        <v>62</v>
      </c>
      <c r="F379" t="s">
        <v>30</v>
      </c>
      <c r="G379" t="s">
        <v>31</v>
      </c>
      <c r="H379" t="s">
        <v>32</v>
      </c>
      <c r="I379" t="s">
        <v>53</v>
      </c>
      <c r="J379" t="s">
        <v>89</v>
      </c>
      <c r="K379">
        <v>8</v>
      </c>
      <c r="L379">
        <v>36000</v>
      </c>
      <c r="M379">
        <v>5</v>
      </c>
      <c r="N379">
        <v>273600</v>
      </c>
      <c r="O379" t="s">
        <v>105</v>
      </c>
      <c r="Q379" t="s">
        <v>26</v>
      </c>
    </row>
    <row r="380" spans="1:17" x14ac:dyDescent="0.3">
      <c r="A380" t="s">
        <v>821</v>
      </c>
      <c r="B380" t="s">
        <v>822</v>
      </c>
      <c r="C380" t="s">
        <v>113</v>
      </c>
      <c r="E380">
        <v>45</v>
      </c>
      <c r="F380" t="s">
        <v>61</v>
      </c>
      <c r="G380" t="s">
        <v>61</v>
      </c>
      <c r="H380" t="s">
        <v>46</v>
      </c>
      <c r="I380" t="s">
        <v>79</v>
      </c>
      <c r="J380" t="s">
        <v>80</v>
      </c>
      <c r="K380">
        <v>4</v>
      </c>
      <c r="L380">
        <v>15000</v>
      </c>
      <c r="M380">
        <v>15</v>
      </c>
      <c r="N380">
        <v>51000</v>
      </c>
      <c r="O380" t="s">
        <v>40</v>
      </c>
      <c r="P380">
        <v>4</v>
      </c>
      <c r="Q380" t="s">
        <v>65</v>
      </c>
    </row>
    <row r="381" spans="1:17" x14ac:dyDescent="0.3">
      <c r="A381" t="s">
        <v>823</v>
      </c>
      <c r="B381" t="s">
        <v>824</v>
      </c>
      <c r="C381" t="s">
        <v>113</v>
      </c>
      <c r="D381" t="s">
        <v>83</v>
      </c>
      <c r="E381">
        <v>31</v>
      </c>
      <c r="F381" t="s">
        <v>30</v>
      </c>
      <c r="G381" t="s">
        <v>57</v>
      </c>
      <c r="H381" t="s">
        <v>46</v>
      </c>
      <c r="I381" t="s">
        <v>47</v>
      </c>
      <c r="J381" t="s">
        <v>64</v>
      </c>
      <c r="K381">
        <v>6</v>
      </c>
      <c r="L381">
        <v>11700</v>
      </c>
      <c r="M381">
        <v>15</v>
      </c>
      <c r="N381">
        <v>59670</v>
      </c>
      <c r="O381" t="s">
        <v>40</v>
      </c>
      <c r="P381">
        <v>4</v>
      </c>
      <c r="Q381" t="s">
        <v>41</v>
      </c>
    </row>
    <row r="382" spans="1:17" x14ac:dyDescent="0.3">
      <c r="A382" t="s">
        <v>825</v>
      </c>
      <c r="B382" t="s">
        <v>826</v>
      </c>
      <c r="C382" t="s">
        <v>121</v>
      </c>
      <c r="D382" t="s">
        <v>83</v>
      </c>
      <c r="E382">
        <v>46</v>
      </c>
      <c r="F382" t="s">
        <v>61</v>
      </c>
      <c r="G382" t="s">
        <v>61</v>
      </c>
      <c r="H382" t="s">
        <v>22</v>
      </c>
      <c r="I382" t="s">
        <v>84</v>
      </c>
      <c r="J382" t="s">
        <v>89</v>
      </c>
      <c r="K382">
        <v>2</v>
      </c>
      <c r="L382">
        <v>2800</v>
      </c>
      <c r="M382">
        <v>5</v>
      </c>
      <c r="N382">
        <v>5320</v>
      </c>
      <c r="O382" t="s">
        <v>85</v>
      </c>
      <c r="P382">
        <v>1</v>
      </c>
      <c r="Q382" t="s">
        <v>26</v>
      </c>
    </row>
    <row r="383" spans="1:17" x14ac:dyDescent="0.3">
      <c r="A383" t="s">
        <v>827</v>
      </c>
      <c r="B383" t="s">
        <v>828</v>
      </c>
      <c r="C383" t="s">
        <v>113</v>
      </c>
      <c r="D383" t="s">
        <v>103</v>
      </c>
      <c r="E383">
        <v>39</v>
      </c>
      <c r="F383" t="s">
        <v>44</v>
      </c>
      <c r="G383" t="s">
        <v>100</v>
      </c>
      <c r="H383" t="s">
        <v>22</v>
      </c>
      <c r="I383" t="s">
        <v>84</v>
      </c>
      <c r="J383" t="s">
        <v>24</v>
      </c>
      <c r="K383">
        <v>5</v>
      </c>
      <c r="L383">
        <v>18900</v>
      </c>
      <c r="M383">
        <v>15</v>
      </c>
      <c r="N383">
        <v>80325</v>
      </c>
      <c r="O383" t="s">
        <v>162</v>
      </c>
      <c r="Q383" t="s">
        <v>74</v>
      </c>
    </row>
    <row r="384" spans="1:17" x14ac:dyDescent="0.3">
      <c r="A384" t="s">
        <v>829</v>
      </c>
      <c r="B384" t="s">
        <v>830</v>
      </c>
      <c r="C384" t="s">
        <v>88</v>
      </c>
      <c r="D384" t="s">
        <v>20</v>
      </c>
      <c r="E384">
        <v>25</v>
      </c>
      <c r="F384" t="s">
        <v>30</v>
      </c>
      <c r="G384" t="s">
        <v>57</v>
      </c>
      <c r="H384" t="s">
        <v>22</v>
      </c>
      <c r="I384" t="s">
        <v>23</v>
      </c>
      <c r="J384" t="s">
        <v>89</v>
      </c>
      <c r="K384">
        <v>1</v>
      </c>
      <c r="L384">
        <v>38200</v>
      </c>
      <c r="M384">
        <v>15</v>
      </c>
      <c r="N384">
        <v>32470</v>
      </c>
      <c r="O384" t="s">
        <v>40</v>
      </c>
      <c r="P384">
        <v>1</v>
      </c>
      <c r="Q384" t="s">
        <v>41</v>
      </c>
    </row>
    <row r="385" spans="1:17" x14ac:dyDescent="0.3">
      <c r="A385" t="s">
        <v>831</v>
      </c>
      <c r="B385" t="s">
        <v>832</v>
      </c>
      <c r="C385" t="s">
        <v>71</v>
      </c>
      <c r="D385" t="s">
        <v>39</v>
      </c>
      <c r="E385">
        <v>61</v>
      </c>
      <c r="F385" t="s">
        <v>30</v>
      </c>
      <c r="G385" t="s">
        <v>31</v>
      </c>
      <c r="H385" t="s">
        <v>22</v>
      </c>
      <c r="I385" t="s">
        <v>23</v>
      </c>
      <c r="J385" t="s">
        <v>80</v>
      </c>
      <c r="K385">
        <v>4</v>
      </c>
      <c r="L385">
        <v>47500</v>
      </c>
      <c r="M385">
        <v>10</v>
      </c>
      <c r="N385">
        <v>171000</v>
      </c>
      <c r="O385" t="s">
        <v>48</v>
      </c>
      <c r="P385">
        <v>4</v>
      </c>
      <c r="Q385" t="s">
        <v>65</v>
      </c>
    </row>
    <row r="386" spans="1:17" x14ac:dyDescent="0.3">
      <c r="A386" t="s">
        <v>833</v>
      </c>
      <c r="B386" t="s">
        <v>834</v>
      </c>
      <c r="C386" t="s">
        <v>113</v>
      </c>
      <c r="D386" t="s">
        <v>83</v>
      </c>
      <c r="E386">
        <v>61</v>
      </c>
      <c r="F386" t="s">
        <v>211</v>
      </c>
      <c r="G386" t="s">
        <v>45</v>
      </c>
      <c r="H386" t="s">
        <v>62</v>
      </c>
      <c r="I386" t="s">
        <v>63</v>
      </c>
      <c r="J386" t="s">
        <v>24</v>
      </c>
      <c r="K386">
        <v>10</v>
      </c>
      <c r="L386">
        <v>33000</v>
      </c>
      <c r="M386">
        <v>5</v>
      </c>
      <c r="N386">
        <v>313500</v>
      </c>
      <c r="O386" t="s">
        <v>40</v>
      </c>
      <c r="Q386" t="s">
        <v>65</v>
      </c>
    </row>
    <row r="387" spans="1:17" x14ac:dyDescent="0.3">
      <c r="A387" t="s">
        <v>835</v>
      </c>
      <c r="B387" t="s">
        <v>836</v>
      </c>
      <c r="C387" t="s">
        <v>60</v>
      </c>
      <c r="D387" t="s">
        <v>83</v>
      </c>
      <c r="E387">
        <v>48</v>
      </c>
      <c r="F387" t="s">
        <v>21</v>
      </c>
      <c r="G387" t="s">
        <v>21</v>
      </c>
      <c r="H387" t="s">
        <v>32</v>
      </c>
      <c r="I387" t="s">
        <v>33</v>
      </c>
      <c r="J387" t="s">
        <v>80</v>
      </c>
      <c r="K387">
        <v>7</v>
      </c>
      <c r="L387">
        <v>41900</v>
      </c>
      <c r="M387">
        <v>0</v>
      </c>
      <c r="N387">
        <v>293300</v>
      </c>
      <c r="O387" t="s">
        <v>85</v>
      </c>
      <c r="Q387" t="s">
        <v>26</v>
      </c>
    </row>
    <row r="388" spans="1:17" x14ac:dyDescent="0.3">
      <c r="A388" t="s">
        <v>837</v>
      </c>
      <c r="B388" t="s">
        <v>838</v>
      </c>
      <c r="C388" t="s">
        <v>94</v>
      </c>
      <c r="D388" t="s">
        <v>83</v>
      </c>
      <c r="E388">
        <v>52</v>
      </c>
      <c r="F388" t="s">
        <v>44</v>
      </c>
      <c r="G388" t="s">
        <v>100</v>
      </c>
      <c r="H388" t="s">
        <v>46</v>
      </c>
      <c r="I388" t="s">
        <v>79</v>
      </c>
      <c r="J388" t="s">
        <v>64</v>
      </c>
      <c r="K388">
        <v>9</v>
      </c>
      <c r="L388">
        <v>45700</v>
      </c>
      <c r="M388">
        <v>0</v>
      </c>
      <c r="N388">
        <v>411300</v>
      </c>
      <c r="O388" t="s">
        <v>25</v>
      </c>
      <c r="Q388" t="s">
        <v>26</v>
      </c>
    </row>
    <row r="389" spans="1:17" x14ac:dyDescent="0.3">
      <c r="A389" t="s">
        <v>839</v>
      </c>
      <c r="B389" t="s">
        <v>538</v>
      </c>
      <c r="C389" t="s">
        <v>94</v>
      </c>
      <c r="D389" t="s">
        <v>20</v>
      </c>
      <c r="E389">
        <v>41</v>
      </c>
      <c r="F389" t="s">
        <v>30</v>
      </c>
      <c r="G389" t="s">
        <v>57</v>
      </c>
      <c r="H389" t="s">
        <v>32</v>
      </c>
      <c r="I389" t="s">
        <v>33</v>
      </c>
      <c r="J389" t="s">
        <v>34</v>
      </c>
      <c r="K389">
        <v>7</v>
      </c>
      <c r="L389">
        <v>30200</v>
      </c>
      <c r="M389">
        <v>20</v>
      </c>
      <c r="N389">
        <v>169120</v>
      </c>
      <c r="O389" t="s">
        <v>35</v>
      </c>
      <c r="Q389" t="s">
        <v>74</v>
      </c>
    </row>
    <row r="390" spans="1:17" x14ac:dyDescent="0.3">
      <c r="A390" t="s">
        <v>840</v>
      </c>
      <c r="B390" t="s">
        <v>55</v>
      </c>
      <c r="C390" t="s">
        <v>60</v>
      </c>
      <c r="D390" t="s">
        <v>103</v>
      </c>
      <c r="E390">
        <v>21</v>
      </c>
      <c r="F390" t="s">
        <v>61</v>
      </c>
      <c r="G390" t="s">
        <v>61</v>
      </c>
      <c r="H390" t="s">
        <v>32</v>
      </c>
      <c r="I390" t="s">
        <v>53</v>
      </c>
      <c r="J390" t="s">
        <v>34</v>
      </c>
      <c r="K390">
        <v>7</v>
      </c>
      <c r="L390">
        <v>46500</v>
      </c>
      <c r="M390">
        <v>20</v>
      </c>
      <c r="N390">
        <v>260400</v>
      </c>
      <c r="O390" t="s">
        <v>25</v>
      </c>
      <c r="P390">
        <v>1</v>
      </c>
      <c r="Q390" t="s">
        <v>65</v>
      </c>
    </row>
    <row r="391" spans="1:17" x14ac:dyDescent="0.3">
      <c r="A391" t="s">
        <v>841</v>
      </c>
      <c r="B391" t="s">
        <v>842</v>
      </c>
      <c r="C391" t="s">
        <v>38</v>
      </c>
      <c r="D391" t="s">
        <v>83</v>
      </c>
      <c r="E391">
        <v>41</v>
      </c>
      <c r="F391" t="s">
        <v>61</v>
      </c>
      <c r="G391" t="s">
        <v>61</v>
      </c>
      <c r="H391" t="s">
        <v>62</v>
      </c>
      <c r="I391" t="s">
        <v>140</v>
      </c>
      <c r="J391" t="s">
        <v>34</v>
      </c>
      <c r="K391">
        <v>5</v>
      </c>
      <c r="L391">
        <v>43900</v>
      </c>
      <c r="M391">
        <v>5</v>
      </c>
      <c r="N391">
        <v>208525</v>
      </c>
      <c r="O391" t="s">
        <v>48</v>
      </c>
      <c r="P391">
        <v>2</v>
      </c>
      <c r="Q391" t="s">
        <v>65</v>
      </c>
    </row>
    <row r="392" spans="1:17" x14ac:dyDescent="0.3">
      <c r="A392" t="s">
        <v>843</v>
      </c>
      <c r="B392" t="s">
        <v>844</v>
      </c>
      <c r="C392" t="s">
        <v>68</v>
      </c>
      <c r="D392" t="s">
        <v>83</v>
      </c>
      <c r="E392">
        <v>29</v>
      </c>
      <c r="F392" t="s">
        <v>51</v>
      </c>
      <c r="G392" t="s">
        <v>104</v>
      </c>
      <c r="H392" t="s">
        <v>22</v>
      </c>
      <c r="I392" t="s">
        <v>23</v>
      </c>
      <c r="J392" t="s">
        <v>34</v>
      </c>
      <c r="K392">
        <v>2</v>
      </c>
      <c r="L392">
        <v>10500</v>
      </c>
      <c r="M392">
        <v>15</v>
      </c>
      <c r="N392">
        <v>17850</v>
      </c>
      <c r="O392" t="s">
        <v>105</v>
      </c>
      <c r="P392">
        <v>1</v>
      </c>
      <c r="Q392" t="s">
        <v>65</v>
      </c>
    </row>
    <row r="393" spans="1:17" x14ac:dyDescent="0.3">
      <c r="A393" t="s">
        <v>845</v>
      </c>
      <c r="B393" t="s">
        <v>846</v>
      </c>
      <c r="C393" t="s">
        <v>60</v>
      </c>
      <c r="E393">
        <v>48</v>
      </c>
      <c r="F393" t="s">
        <v>51</v>
      </c>
      <c r="G393" t="s">
        <v>104</v>
      </c>
      <c r="H393" t="s">
        <v>46</v>
      </c>
      <c r="I393" t="s">
        <v>47</v>
      </c>
      <c r="J393" t="s">
        <v>34</v>
      </c>
      <c r="K393">
        <v>2</v>
      </c>
      <c r="L393">
        <v>2000</v>
      </c>
      <c r="M393">
        <v>10</v>
      </c>
      <c r="N393">
        <v>3600</v>
      </c>
      <c r="O393" t="s">
        <v>25</v>
      </c>
      <c r="Q393" t="s">
        <v>65</v>
      </c>
    </row>
    <row r="394" spans="1:17" x14ac:dyDescent="0.3">
      <c r="A394" t="s">
        <v>847</v>
      </c>
      <c r="B394" t="s">
        <v>848</v>
      </c>
      <c r="C394" t="s">
        <v>94</v>
      </c>
      <c r="D394" t="s">
        <v>103</v>
      </c>
      <c r="E394">
        <v>49</v>
      </c>
      <c r="F394" t="s">
        <v>21</v>
      </c>
      <c r="G394" t="s">
        <v>21</v>
      </c>
      <c r="H394" t="s">
        <v>32</v>
      </c>
      <c r="I394" t="s">
        <v>33</v>
      </c>
      <c r="J394" t="s">
        <v>24</v>
      </c>
      <c r="K394">
        <v>10</v>
      </c>
      <c r="L394">
        <v>3500</v>
      </c>
      <c r="M394">
        <v>25</v>
      </c>
      <c r="N394">
        <v>26250</v>
      </c>
      <c r="O394" t="s">
        <v>73</v>
      </c>
      <c r="Q394" t="s">
        <v>74</v>
      </c>
    </row>
    <row r="395" spans="1:17" x14ac:dyDescent="0.3">
      <c r="A395" t="s">
        <v>849</v>
      </c>
      <c r="B395" t="s">
        <v>850</v>
      </c>
      <c r="C395" t="s">
        <v>29</v>
      </c>
      <c r="D395" t="s">
        <v>103</v>
      </c>
      <c r="E395">
        <v>21</v>
      </c>
      <c r="F395" t="s">
        <v>51</v>
      </c>
      <c r="G395" t="s">
        <v>104</v>
      </c>
      <c r="H395" t="s">
        <v>46</v>
      </c>
      <c r="I395" t="s">
        <v>47</v>
      </c>
      <c r="J395" t="s">
        <v>24</v>
      </c>
      <c r="K395">
        <v>6</v>
      </c>
      <c r="L395">
        <v>43300</v>
      </c>
      <c r="M395">
        <v>25</v>
      </c>
      <c r="N395">
        <v>194850</v>
      </c>
      <c r="O395" t="s">
        <v>73</v>
      </c>
      <c r="P395">
        <v>1</v>
      </c>
      <c r="Q395" t="s">
        <v>65</v>
      </c>
    </row>
    <row r="396" spans="1:17" x14ac:dyDescent="0.3">
      <c r="A396" t="s">
        <v>851</v>
      </c>
      <c r="B396" t="s">
        <v>675</v>
      </c>
      <c r="C396" t="s">
        <v>94</v>
      </c>
      <c r="D396" t="s">
        <v>39</v>
      </c>
      <c r="E396">
        <v>61</v>
      </c>
      <c r="F396" t="s">
        <v>21</v>
      </c>
      <c r="G396" t="s">
        <v>21</v>
      </c>
      <c r="H396" t="s">
        <v>32</v>
      </c>
      <c r="I396" t="s">
        <v>53</v>
      </c>
      <c r="J396" t="s">
        <v>34</v>
      </c>
      <c r="K396">
        <v>7</v>
      </c>
      <c r="L396">
        <v>49000</v>
      </c>
      <c r="M396">
        <v>10</v>
      </c>
      <c r="N396">
        <v>308700</v>
      </c>
      <c r="O396" t="s">
        <v>25</v>
      </c>
      <c r="P396">
        <v>4</v>
      </c>
      <c r="Q396" t="s">
        <v>41</v>
      </c>
    </row>
    <row r="397" spans="1:17" x14ac:dyDescent="0.3">
      <c r="A397" t="s">
        <v>852</v>
      </c>
      <c r="B397" t="s">
        <v>853</v>
      </c>
      <c r="C397" t="s">
        <v>94</v>
      </c>
      <c r="E397">
        <v>49</v>
      </c>
      <c r="F397" t="s">
        <v>77</v>
      </c>
      <c r="G397" t="s">
        <v>78</v>
      </c>
      <c r="H397" t="s">
        <v>62</v>
      </c>
      <c r="I397" t="s">
        <v>63</v>
      </c>
      <c r="J397" t="s">
        <v>80</v>
      </c>
      <c r="K397">
        <v>7</v>
      </c>
      <c r="L397">
        <v>44900</v>
      </c>
      <c r="M397">
        <v>20</v>
      </c>
      <c r="N397">
        <v>251440</v>
      </c>
      <c r="O397" t="s">
        <v>40</v>
      </c>
      <c r="P397">
        <v>2</v>
      </c>
      <c r="Q397" t="s">
        <v>65</v>
      </c>
    </row>
    <row r="398" spans="1:17" x14ac:dyDescent="0.3">
      <c r="A398" t="s">
        <v>854</v>
      </c>
      <c r="B398" t="s">
        <v>115</v>
      </c>
      <c r="C398" t="s">
        <v>121</v>
      </c>
      <c r="D398" t="s">
        <v>103</v>
      </c>
      <c r="E398">
        <v>33</v>
      </c>
      <c r="F398" t="s">
        <v>61</v>
      </c>
      <c r="G398" t="s">
        <v>61</v>
      </c>
      <c r="H398" t="s">
        <v>62</v>
      </c>
      <c r="I398" t="s">
        <v>140</v>
      </c>
      <c r="J398" t="s">
        <v>80</v>
      </c>
      <c r="K398">
        <v>7</v>
      </c>
      <c r="L398">
        <v>16200</v>
      </c>
      <c r="M398">
        <v>25</v>
      </c>
      <c r="N398">
        <v>85050</v>
      </c>
      <c r="O398" t="s">
        <v>25</v>
      </c>
      <c r="Q398" t="s">
        <v>26</v>
      </c>
    </row>
    <row r="399" spans="1:17" x14ac:dyDescent="0.3">
      <c r="A399" t="s">
        <v>855</v>
      </c>
      <c r="B399" t="s">
        <v>856</v>
      </c>
      <c r="C399" t="s">
        <v>38</v>
      </c>
      <c r="E399">
        <v>-3</v>
      </c>
      <c r="F399" t="s">
        <v>21</v>
      </c>
      <c r="G399" t="s">
        <v>21</v>
      </c>
      <c r="H399" t="s">
        <v>32</v>
      </c>
      <c r="I399" t="s">
        <v>33</v>
      </c>
      <c r="J399" t="s">
        <v>34</v>
      </c>
      <c r="K399">
        <v>4</v>
      </c>
      <c r="L399">
        <v>46600</v>
      </c>
      <c r="M399">
        <v>15</v>
      </c>
      <c r="N399">
        <v>158440</v>
      </c>
      <c r="O399" t="s">
        <v>48</v>
      </c>
      <c r="P399">
        <v>2</v>
      </c>
      <c r="Q399" t="s">
        <v>26</v>
      </c>
    </row>
    <row r="400" spans="1:17" x14ac:dyDescent="0.3">
      <c r="A400" t="s">
        <v>857</v>
      </c>
      <c r="B400" t="s">
        <v>482</v>
      </c>
      <c r="C400" t="s">
        <v>29</v>
      </c>
      <c r="D400" t="s">
        <v>103</v>
      </c>
      <c r="E400">
        <v>35</v>
      </c>
      <c r="F400" t="s">
        <v>77</v>
      </c>
      <c r="G400" t="s">
        <v>78</v>
      </c>
      <c r="H400" t="s">
        <v>22</v>
      </c>
      <c r="I400" t="s">
        <v>84</v>
      </c>
      <c r="J400" t="s">
        <v>89</v>
      </c>
      <c r="K400">
        <v>7</v>
      </c>
      <c r="L400">
        <v>45800</v>
      </c>
      <c r="M400">
        <v>25</v>
      </c>
      <c r="N400">
        <v>240450</v>
      </c>
      <c r="O400" t="s">
        <v>162</v>
      </c>
      <c r="P400">
        <v>2</v>
      </c>
      <c r="Q400" t="s">
        <v>26</v>
      </c>
    </row>
    <row r="401" spans="1:17" x14ac:dyDescent="0.3">
      <c r="A401" t="s">
        <v>858</v>
      </c>
      <c r="B401" t="s">
        <v>859</v>
      </c>
      <c r="C401" t="s">
        <v>38</v>
      </c>
      <c r="D401" t="s">
        <v>20</v>
      </c>
      <c r="E401">
        <v>30</v>
      </c>
      <c r="F401" t="s">
        <v>61</v>
      </c>
      <c r="G401" t="s">
        <v>61</v>
      </c>
      <c r="H401" t="s">
        <v>22</v>
      </c>
      <c r="I401" t="s">
        <v>23</v>
      </c>
      <c r="J401" t="s">
        <v>89</v>
      </c>
      <c r="K401">
        <v>2</v>
      </c>
      <c r="L401">
        <v>10800</v>
      </c>
      <c r="M401">
        <v>0</v>
      </c>
      <c r="N401">
        <v>21600</v>
      </c>
      <c r="O401" t="s">
        <v>105</v>
      </c>
      <c r="P401">
        <v>3</v>
      </c>
      <c r="Q401" t="s">
        <v>26</v>
      </c>
    </row>
    <row r="402" spans="1:17" x14ac:dyDescent="0.3">
      <c r="A402" t="s">
        <v>860</v>
      </c>
      <c r="B402" t="s">
        <v>351</v>
      </c>
      <c r="C402" t="s">
        <v>88</v>
      </c>
      <c r="D402" t="s">
        <v>39</v>
      </c>
      <c r="E402">
        <v>44</v>
      </c>
      <c r="F402" t="s">
        <v>51</v>
      </c>
      <c r="G402" t="s">
        <v>52</v>
      </c>
      <c r="H402" t="s">
        <v>46</v>
      </c>
      <c r="I402" t="s">
        <v>79</v>
      </c>
      <c r="J402" t="s">
        <v>89</v>
      </c>
      <c r="K402">
        <v>4</v>
      </c>
      <c r="L402">
        <v>30700</v>
      </c>
      <c r="M402">
        <v>25</v>
      </c>
      <c r="N402">
        <v>92100</v>
      </c>
      <c r="O402" t="s">
        <v>105</v>
      </c>
      <c r="P402">
        <v>5</v>
      </c>
      <c r="Q402" t="s">
        <v>74</v>
      </c>
    </row>
    <row r="403" spans="1:17" x14ac:dyDescent="0.3">
      <c r="A403" t="s">
        <v>861</v>
      </c>
      <c r="B403" t="s">
        <v>862</v>
      </c>
      <c r="C403" t="s">
        <v>60</v>
      </c>
      <c r="D403" t="s">
        <v>39</v>
      </c>
      <c r="E403">
        <v>19</v>
      </c>
      <c r="F403" t="s">
        <v>565</v>
      </c>
      <c r="G403" t="s">
        <v>45</v>
      </c>
      <c r="H403" t="s">
        <v>32</v>
      </c>
      <c r="I403" t="s">
        <v>33</v>
      </c>
      <c r="J403" t="s">
        <v>34</v>
      </c>
      <c r="K403" t="s">
        <v>863</v>
      </c>
      <c r="L403">
        <v>17400</v>
      </c>
      <c r="M403">
        <v>15</v>
      </c>
      <c r="N403">
        <v>103530</v>
      </c>
      <c r="O403" t="s">
        <v>85</v>
      </c>
      <c r="P403">
        <v>3</v>
      </c>
      <c r="Q403" t="s">
        <v>65</v>
      </c>
    </row>
    <row r="404" spans="1:17" x14ac:dyDescent="0.3">
      <c r="A404" t="s">
        <v>864</v>
      </c>
      <c r="B404" t="s">
        <v>865</v>
      </c>
      <c r="C404" t="s">
        <v>113</v>
      </c>
      <c r="D404" t="s">
        <v>103</v>
      </c>
      <c r="E404">
        <v>34</v>
      </c>
      <c r="F404" t="s">
        <v>51</v>
      </c>
      <c r="G404" t="s">
        <v>104</v>
      </c>
      <c r="H404" t="s">
        <v>455</v>
      </c>
      <c r="I404" t="s">
        <v>63</v>
      </c>
      <c r="J404" t="s">
        <v>24</v>
      </c>
      <c r="K404">
        <v>5</v>
      </c>
      <c r="L404">
        <v>47800</v>
      </c>
      <c r="M404">
        <v>0</v>
      </c>
      <c r="N404">
        <v>239000</v>
      </c>
      <c r="O404" t="s">
        <v>40</v>
      </c>
      <c r="P404">
        <v>5</v>
      </c>
      <c r="Q404" t="s">
        <v>41</v>
      </c>
    </row>
    <row r="405" spans="1:17" x14ac:dyDescent="0.3">
      <c r="A405" t="s">
        <v>866</v>
      </c>
      <c r="B405" t="s">
        <v>867</v>
      </c>
      <c r="C405" t="s">
        <v>19</v>
      </c>
      <c r="D405" t="s">
        <v>103</v>
      </c>
      <c r="E405">
        <v>43</v>
      </c>
      <c r="F405" t="s">
        <v>61</v>
      </c>
      <c r="G405" t="s">
        <v>61</v>
      </c>
      <c r="H405" t="s">
        <v>46</v>
      </c>
      <c r="I405" t="s">
        <v>47</v>
      </c>
      <c r="J405" t="s">
        <v>89</v>
      </c>
      <c r="K405">
        <v>6</v>
      </c>
      <c r="L405">
        <v>27100</v>
      </c>
      <c r="M405">
        <v>25</v>
      </c>
      <c r="N405">
        <v>121950</v>
      </c>
      <c r="O405" t="s">
        <v>35</v>
      </c>
      <c r="P405">
        <v>5</v>
      </c>
      <c r="Q405" t="s">
        <v>65</v>
      </c>
    </row>
    <row r="406" spans="1:17" x14ac:dyDescent="0.3">
      <c r="A406" t="s">
        <v>868</v>
      </c>
      <c r="B406" t="s">
        <v>437</v>
      </c>
      <c r="C406" t="s">
        <v>60</v>
      </c>
      <c r="D406" t="s">
        <v>20</v>
      </c>
      <c r="E406">
        <v>40</v>
      </c>
      <c r="F406" t="s">
        <v>44</v>
      </c>
      <c r="G406" t="s">
        <v>100</v>
      </c>
      <c r="H406" t="s">
        <v>32</v>
      </c>
      <c r="I406" t="s">
        <v>33</v>
      </c>
      <c r="J406" t="s">
        <v>64</v>
      </c>
      <c r="K406">
        <v>10</v>
      </c>
      <c r="L406">
        <v>45000</v>
      </c>
      <c r="M406">
        <v>20</v>
      </c>
      <c r="N406">
        <v>360000</v>
      </c>
      <c r="O406" t="s">
        <v>40</v>
      </c>
      <c r="Q406" t="s">
        <v>41</v>
      </c>
    </row>
    <row r="407" spans="1:17" x14ac:dyDescent="0.3">
      <c r="A407" t="s">
        <v>869</v>
      </c>
      <c r="B407" t="s">
        <v>870</v>
      </c>
      <c r="C407" t="s">
        <v>113</v>
      </c>
      <c r="D407" t="s">
        <v>39</v>
      </c>
      <c r="E407">
        <v>54</v>
      </c>
      <c r="F407" t="s">
        <v>61</v>
      </c>
      <c r="G407" t="s">
        <v>61</v>
      </c>
      <c r="H407" t="s">
        <v>22</v>
      </c>
      <c r="I407" t="s">
        <v>23</v>
      </c>
      <c r="J407" t="s">
        <v>72</v>
      </c>
      <c r="K407">
        <v>8</v>
      </c>
      <c r="L407">
        <v>37500</v>
      </c>
      <c r="M407">
        <v>5</v>
      </c>
      <c r="N407">
        <v>285000</v>
      </c>
      <c r="O407" t="s">
        <v>40</v>
      </c>
      <c r="Q407" t="s">
        <v>65</v>
      </c>
    </row>
    <row r="408" spans="1:17" x14ac:dyDescent="0.3">
      <c r="A408" t="s">
        <v>871</v>
      </c>
      <c r="B408" t="s">
        <v>379</v>
      </c>
      <c r="C408" t="s">
        <v>88</v>
      </c>
      <c r="D408" t="s">
        <v>83</v>
      </c>
      <c r="E408">
        <v>64</v>
      </c>
      <c r="F408" t="s">
        <v>51</v>
      </c>
      <c r="G408" t="s">
        <v>104</v>
      </c>
      <c r="H408" t="s">
        <v>46</v>
      </c>
      <c r="I408" t="s">
        <v>47</v>
      </c>
      <c r="J408" t="s">
        <v>64</v>
      </c>
      <c r="K408">
        <v>2</v>
      </c>
      <c r="L408">
        <v>3200</v>
      </c>
      <c r="M408">
        <v>15</v>
      </c>
      <c r="N408">
        <v>5440</v>
      </c>
      <c r="O408" t="s">
        <v>105</v>
      </c>
      <c r="P408">
        <v>3</v>
      </c>
      <c r="Q408" t="s">
        <v>65</v>
      </c>
    </row>
    <row r="409" spans="1:17" x14ac:dyDescent="0.3">
      <c r="A409" t="s">
        <v>872</v>
      </c>
      <c r="B409" t="s">
        <v>789</v>
      </c>
      <c r="C409" t="s">
        <v>38</v>
      </c>
      <c r="E409">
        <v>30</v>
      </c>
      <c r="F409" t="s">
        <v>61</v>
      </c>
      <c r="G409" t="s">
        <v>61</v>
      </c>
      <c r="H409" t="s">
        <v>32</v>
      </c>
      <c r="I409" t="s">
        <v>33</v>
      </c>
      <c r="J409" t="s">
        <v>72</v>
      </c>
      <c r="K409">
        <v>9</v>
      </c>
      <c r="L409">
        <v>12300</v>
      </c>
      <c r="M409">
        <v>5</v>
      </c>
      <c r="N409">
        <v>105165</v>
      </c>
      <c r="O409" t="s">
        <v>85</v>
      </c>
      <c r="P409">
        <v>1</v>
      </c>
      <c r="Q409" t="s">
        <v>41</v>
      </c>
    </row>
    <row r="410" spans="1:17" x14ac:dyDescent="0.3">
      <c r="A410" t="s">
        <v>873</v>
      </c>
      <c r="B410" t="s">
        <v>874</v>
      </c>
      <c r="C410" t="s">
        <v>60</v>
      </c>
      <c r="E410">
        <v>55</v>
      </c>
      <c r="F410" t="s">
        <v>51</v>
      </c>
      <c r="G410" t="s">
        <v>104</v>
      </c>
      <c r="H410" t="s">
        <v>62</v>
      </c>
      <c r="I410" t="s">
        <v>63</v>
      </c>
      <c r="J410" t="s">
        <v>89</v>
      </c>
      <c r="K410">
        <v>10</v>
      </c>
      <c r="L410">
        <v>22700</v>
      </c>
      <c r="M410">
        <v>20</v>
      </c>
      <c r="N410">
        <v>181600</v>
      </c>
      <c r="O410" t="s">
        <v>40</v>
      </c>
      <c r="P410">
        <v>4</v>
      </c>
      <c r="Q410" t="s">
        <v>74</v>
      </c>
    </row>
    <row r="411" spans="1:17" x14ac:dyDescent="0.3">
      <c r="A411" t="s">
        <v>875</v>
      </c>
      <c r="B411" t="s">
        <v>876</v>
      </c>
      <c r="C411" t="s">
        <v>19</v>
      </c>
      <c r="E411">
        <v>39</v>
      </c>
      <c r="F411" t="s">
        <v>77</v>
      </c>
      <c r="G411" t="s">
        <v>95</v>
      </c>
      <c r="H411" t="s">
        <v>46</v>
      </c>
      <c r="I411" t="s">
        <v>47</v>
      </c>
      <c r="J411" t="s">
        <v>72</v>
      </c>
      <c r="K411">
        <v>6</v>
      </c>
      <c r="L411">
        <v>3400</v>
      </c>
      <c r="M411">
        <v>25</v>
      </c>
      <c r="N411">
        <v>15300</v>
      </c>
      <c r="O411" t="s">
        <v>162</v>
      </c>
      <c r="P411">
        <v>3</v>
      </c>
      <c r="Q411" t="s">
        <v>41</v>
      </c>
    </row>
    <row r="412" spans="1:17" x14ac:dyDescent="0.3">
      <c r="A412" t="s">
        <v>877</v>
      </c>
      <c r="B412" t="s">
        <v>157</v>
      </c>
      <c r="C412" t="s">
        <v>88</v>
      </c>
      <c r="D412" t="s">
        <v>103</v>
      </c>
      <c r="E412">
        <v>38</v>
      </c>
      <c r="F412" t="s">
        <v>51</v>
      </c>
      <c r="G412" t="s">
        <v>104</v>
      </c>
      <c r="H412" t="s">
        <v>46</v>
      </c>
      <c r="I412" t="s">
        <v>79</v>
      </c>
      <c r="J412" t="s">
        <v>24</v>
      </c>
      <c r="K412">
        <v>2</v>
      </c>
      <c r="L412">
        <v>24100</v>
      </c>
      <c r="M412">
        <v>0</v>
      </c>
      <c r="N412">
        <v>48200</v>
      </c>
      <c r="O412" t="s">
        <v>85</v>
      </c>
      <c r="P412">
        <v>5</v>
      </c>
      <c r="Q412" t="s">
        <v>65</v>
      </c>
    </row>
    <row r="413" spans="1:17" x14ac:dyDescent="0.3">
      <c r="A413" t="s">
        <v>878</v>
      </c>
      <c r="B413" t="s">
        <v>879</v>
      </c>
      <c r="C413" t="s">
        <v>19</v>
      </c>
      <c r="D413" t="s">
        <v>20</v>
      </c>
      <c r="E413">
        <v>46</v>
      </c>
      <c r="F413" t="s">
        <v>51</v>
      </c>
      <c r="G413" t="s">
        <v>104</v>
      </c>
      <c r="H413" t="s">
        <v>32</v>
      </c>
      <c r="I413" t="s">
        <v>33</v>
      </c>
      <c r="J413" t="s">
        <v>24</v>
      </c>
      <c r="K413">
        <v>4</v>
      </c>
      <c r="L413">
        <v>48900</v>
      </c>
      <c r="M413">
        <v>20</v>
      </c>
      <c r="N413" t="s">
        <v>880</v>
      </c>
      <c r="O413" t="s">
        <v>105</v>
      </c>
      <c r="P413">
        <v>4</v>
      </c>
      <c r="Q413" t="s">
        <v>26</v>
      </c>
    </row>
    <row r="414" spans="1:17" x14ac:dyDescent="0.3">
      <c r="A414" t="s">
        <v>881</v>
      </c>
      <c r="B414" t="s">
        <v>139</v>
      </c>
      <c r="C414" t="s">
        <v>121</v>
      </c>
      <c r="D414" t="s">
        <v>83</v>
      </c>
      <c r="E414">
        <v>62</v>
      </c>
      <c r="F414" t="s">
        <v>61</v>
      </c>
      <c r="G414" t="s">
        <v>61</v>
      </c>
      <c r="H414" t="s">
        <v>22</v>
      </c>
      <c r="I414" t="s">
        <v>23</v>
      </c>
      <c r="J414" t="s">
        <v>64</v>
      </c>
      <c r="K414">
        <v>10</v>
      </c>
      <c r="L414">
        <v>37400</v>
      </c>
      <c r="M414">
        <v>5</v>
      </c>
      <c r="N414">
        <v>355300</v>
      </c>
      <c r="O414" t="s">
        <v>48</v>
      </c>
      <c r="P414">
        <v>5</v>
      </c>
      <c r="Q414" t="s">
        <v>41</v>
      </c>
    </row>
    <row r="415" spans="1:17" x14ac:dyDescent="0.3">
      <c r="A415" t="s">
        <v>882</v>
      </c>
      <c r="B415" t="s">
        <v>883</v>
      </c>
      <c r="C415" t="s">
        <v>29</v>
      </c>
      <c r="D415" t="s">
        <v>103</v>
      </c>
      <c r="E415">
        <v>24</v>
      </c>
      <c r="F415" t="s">
        <v>77</v>
      </c>
      <c r="G415" t="s">
        <v>78</v>
      </c>
      <c r="H415" t="s">
        <v>62</v>
      </c>
      <c r="I415" t="s">
        <v>63</v>
      </c>
      <c r="J415" t="s">
        <v>72</v>
      </c>
      <c r="K415">
        <v>3</v>
      </c>
      <c r="L415">
        <v>43000</v>
      </c>
      <c r="M415">
        <v>20</v>
      </c>
      <c r="N415">
        <v>103200</v>
      </c>
      <c r="O415" t="s">
        <v>48</v>
      </c>
      <c r="Q415" t="s">
        <v>65</v>
      </c>
    </row>
    <row r="416" spans="1:17" x14ac:dyDescent="0.3">
      <c r="A416" t="s">
        <v>884</v>
      </c>
      <c r="B416" t="s">
        <v>885</v>
      </c>
      <c r="C416" t="s">
        <v>60</v>
      </c>
      <c r="E416">
        <v>54</v>
      </c>
      <c r="F416" t="s">
        <v>77</v>
      </c>
      <c r="G416" t="s">
        <v>95</v>
      </c>
      <c r="H416" t="s">
        <v>46</v>
      </c>
      <c r="I416" t="s">
        <v>79</v>
      </c>
      <c r="J416" t="s">
        <v>34</v>
      </c>
      <c r="K416">
        <v>3</v>
      </c>
      <c r="L416">
        <v>10800</v>
      </c>
      <c r="M416">
        <v>20</v>
      </c>
      <c r="N416">
        <v>25920</v>
      </c>
      <c r="O416" t="s">
        <v>85</v>
      </c>
      <c r="Q416" t="s">
        <v>65</v>
      </c>
    </row>
    <row r="417" spans="1:17" x14ac:dyDescent="0.3">
      <c r="A417" t="s">
        <v>886</v>
      </c>
      <c r="B417" t="s">
        <v>887</v>
      </c>
      <c r="C417" t="s">
        <v>121</v>
      </c>
      <c r="D417" t="s">
        <v>39</v>
      </c>
      <c r="E417">
        <v>54</v>
      </c>
      <c r="F417" t="s">
        <v>44</v>
      </c>
      <c r="G417" t="s">
        <v>100</v>
      </c>
      <c r="H417" t="s">
        <v>46</v>
      </c>
      <c r="I417" t="s">
        <v>47</v>
      </c>
      <c r="J417" t="s">
        <v>80</v>
      </c>
      <c r="K417">
        <v>9</v>
      </c>
      <c r="L417">
        <v>16500</v>
      </c>
      <c r="M417">
        <v>0</v>
      </c>
      <c r="N417">
        <v>148500</v>
      </c>
      <c r="O417" t="s">
        <v>48</v>
      </c>
      <c r="P417">
        <v>4</v>
      </c>
      <c r="Q417" t="s">
        <v>41</v>
      </c>
    </row>
    <row r="418" spans="1:17" x14ac:dyDescent="0.3">
      <c r="A418" t="s">
        <v>888</v>
      </c>
      <c r="B418" t="s">
        <v>208</v>
      </c>
      <c r="C418" t="s">
        <v>113</v>
      </c>
      <c r="D418" t="s">
        <v>20</v>
      </c>
      <c r="E418">
        <v>48</v>
      </c>
      <c r="F418" t="s">
        <v>56</v>
      </c>
      <c r="G418" t="s">
        <v>57</v>
      </c>
      <c r="H418" t="s">
        <v>32</v>
      </c>
      <c r="I418" t="s">
        <v>33</v>
      </c>
      <c r="J418" t="s">
        <v>80</v>
      </c>
      <c r="K418">
        <v>9</v>
      </c>
      <c r="L418">
        <v>11700</v>
      </c>
      <c r="M418">
        <v>25</v>
      </c>
      <c r="N418">
        <v>78975</v>
      </c>
      <c r="O418" t="s">
        <v>48</v>
      </c>
      <c r="P418">
        <v>5</v>
      </c>
      <c r="Q418" t="s">
        <v>74</v>
      </c>
    </row>
    <row r="419" spans="1:17" x14ac:dyDescent="0.3">
      <c r="A419" t="s">
        <v>889</v>
      </c>
      <c r="B419" t="s">
        <v>890</v>
      </c>
      <c r="C419" t="s">
        <v>71</v>
      </c>
      <c r="E419">
        <v>58</v>
      </c>
      <c r="F419" t="s">
        <v>61</v>
      </c>
      <c r="G419" t="s">
        <v>61</v>
      </c>
      <c r="H419" t="s">
        <v>46</v>
      </c>
      <c r="I419" t="s">
        <v>47</v>
      </c>
      <c r="J419" t="s">
        <v>34</v>
      </c>
      <c r="K419">
        <v>1</v>
      </c>
      <c r="L419">
        <v>3300</v>
      </c>
      <c r="M419">
        <v>25</v>
      </c>
      <c r="N419">
        <v>2475</v>
      </c>
      <c r="O419" t="s">
        <v>85</v>
      </c>
      <c r="P419">
        <v>5</v>
      </c>
      <c r="Q419" t="s">
        <v>65</v>
      </c>
    </row>
    <row r="420" spans="1:17" x14ac:dyDescent="0.3">
      <c r="A420" t="s">
        <v>891</v>
      </c>
      <c r="B420" t="s">
        <v>362</v>
      </c>
      <c r="C420" t="s">
        <v>94</v>
      </c>
      <c r="D420" t="s">
        <v>83</v>
      </c>
      <c r="E420">
        <v>63</v>
      </c>
      <c r="F420" t="s">
        <v>51</v>
      </c>
      <c r="G420" t="s">
        <v>104</v>
      </c>
      <c r="H420" t="s">
        <v>22</v>
      </c>
      <c r="I420" t="s">
        <v>84</v>
      </c>
      <c r="J420" t="s">
        <v>24</v>
      </c>
      <c r="K420">
        <v>4</v>
      </c>
      <c r="L420">
        <v>27400</v>
      </c>
      <c r="M420">
        <v>5</v>
      </c>
      <c r="N420">
        <v>104120</v>
      </c>
      <c r="O420" t="s">
        <v>48</v>
      </c>
      <c r="P420">
        <v>3</v>
      </c>
      <c r="Q420" t="s">
        <v>26</v>
      </c>
    </row>
    <row r="421" spans="1:17" x14ac:dyDescent="0.3">
      <c r="A421" t="s">
        <v>892</v>
      </c>
      <c r="B421" t="s">
        <v>893</v>
      </c>
      <c r="C421" t="s">
        <v>60</v>
      </c>
      <c r="D421" t="s">
        <v>103</v>
      </c>
      <c r="E421">
        <v>29</v>
      </c>
      <c r="F421" t="s">
        <v>30</v>
      </c>
      <c r="G421" t="s">
        <v>31</v>
      </c>
      <c r="H421" t="s">
        <v>32</v>
      </c>
      <c r="I421" t="s">
        <v>33</v>
      </c>
      <c r="J421" t="s">
        <v>72</v>
      </c>
      <c r="K421">
        <v>10</v>
      </c>
      <c r="L421">
        <v>39900</v>
      </c>
      <c r="M421">
        <v>25</v>
      </c>
      <c r="N421">
        <v>299250</v>
      </c>
      <c r="O421" t="s">
        <v>25</v>
      </c>
      <c r="Q421" t="s">
        <v>74</v>
      </c>
    </row>
    <row r="422" spans="1:17" x14ac:dyDescent="0.3">
      <c r="A422" t="s">
        <v>894</v>
      </c>
      <c r="B422" t="s">
        <v>338</v>
      </c>
      <c r="C422" t="s">
        <v>29</v>
      </c>
      <c r="D422" t="s">
        <v>103</v>
      </c>
      <c r="E422">
        <v>33</v>
      </c>
      <c r="F422" t="s">
        <v>30</v>
      </c>
      <c r="G422" t="s">
        <v>57</v>
      </c>
      <c r="H422" t="s">
        <v>22</v>
      </c>
      <c r="I422" t="s">
        <v>84</v>
      </c>
      <c r="J422" t="s">
        <v>24</v>
      </c>
      <c r="K422">
        <v>5</v>
      </c>
      <c r="L422">
        <v>5700</v>
      </c>
      <c r="M422">
        <v>10</v>
      </c>
      <c r="N422">
        <v>25650</v>
      </c>
      <c r="O422" t="s">
        <v>105</v>
      </c>
      <c r="P422">
        <v>2</v>
      </c>
      <c r="Q422" t="s">
        <v>26</v>
      </c>
    </row>
    <row r="423" spans="1:17" x14ac:dyDescent="0.3">
      <c r="A423" t="s">
        <v>895</v>
      </c>
      <c r="B423" t="s">
        <v>139</v>
      </c>
      <c r="C423" t="s">
        <v>60</v>
      </c>
      <c r="D423" t="s">
        <v>39</v>
      </c>
      <c r="E423">
        <v>62</v>
      </c>
      <c r="F423" t="s">
        <v>61</v>
      </c>
      <c r="G423" t="s">
        <v>61</v>
      </c>
      <c r="H423" t="s">
        <v>46</v>
      </c>
      <c r="I423" t="s">
        <v>79</v>
      </c>
      <c r="J423" t="s">
        <v>72</v>
      </c>
      <c r="K423">
        <v>9</v>
      </c>
      <c r="L423">
        <v>11900</v>
      </c>
      <c r="M423">
        <v>10</v>
      </c>
      <c r="N423">
        <v>96390</v>
      </c>
      <c r="O423" t="s">
        <v>35</v>
      </c>
      <c r="P423">
        <v>5</v>
      </c>
      <c r="Q423" t="s">
        <v>65</v>
      </c>
    </row>
    <row r="424" spans="1:17" x14ac:dyDescent="0.3">
      <c r="A424" t="s">
        <v>896</v>
      </c>
      <c r="B424" t="s">
        <v>897</v>
      </c>
      <c r="C424" t="s">
        <v>38</v>
      </c>
      <c r="D424" t="s">
        <v>20</v>
      </c>
      <c r="E424">
        <v>39</v>
      </c>
      <c r="F424" t="s">
        <v>44</v>
      </c>
      <c r="G424" t="s">
        <v>100</v>
      </c>
      <c r="H424" t="s">
        <v>110</v>
      </c>
      <c r="I424" t="s">
        <v>33</v>
      </c>
      <c r="J424" t="s">
        <v>89</v>
      </c>
      <c r="K424">
        <v>1</v>
      </c>
      <c r="L424">
        <v>46500</v>
      </c>
      <c r="M424">
        <v>5</v>
      </c>
      <c r="N424">
        <v>44175</v>
      </c>
      <c r="O424" t="s">
        <v>73</v>
      </c>
      <c r="P424">
        <v>1</v>
      </c>
      <c r="Q424" t="s">
        <v>65</v>
      </c>
    </row>
    <row r="425" spans="1:17" x14ac:dyDescent="0.3">
      <c r="A425" t="s">
        <v>898</v>
      </c>
      <c r="B425" t="s">
        <v>490</v>
      </c>
      <c r="C425" t="s">
        <v>113</v>
      </c>
      <c r="D425" t="s">
        <v>20</v>
      </c>
      <c r="E425">
        <v>58</v>
      </c>
      <c r="F425" t="s">
        <v>61</v>
      </c>
      <c r="G425" t="s">
        <v>61</v>
      </c>
      <c r="H425" t="s">
        <v>62</v>
      </c>
      <c r="I425" t="s">
        <v>140</v>
      </c>
      <c r="J425" t="s">
        <v>24</v>
      </c>
      <c r="K425">
        <v>3</v>
      </c>
      <c r="L425">
        <v>8200</v>
      </c>
      <c r="M425">
        <v>0</v>
      </c>
      <c r="N425">
        <v>24600</v>
      </c>
      <c r="O425" t="s">
        <v>40</v>
      </c>
      <c r="P425">
        <v>5</v>
      </c>
      <c r="Q425" t="s">
        <v>26</v>
      </c>
    </row>
    <row r="426" spans="1:17" x14ac:dyDescent="0.3">
      <c r="A426" t="s">
        <v>899</v>
      </c>
      <c r="B426" t="s">
        <v>900</v>
      </c>
      <c r="C426" t="s">
        <v>121</v>
      </c>
      <c r="D426" t="s">
        <v>103</v>
      </c>
      <c r="E426">
        <v>44</v>
      </c>
      <c r="F426" t="s">
        <v>61</v>
      </c>
      <c r="G426" t="s">
        <v>61</v>
      </c>
      <c r="H426" t="s">
        <v>32</v>
      </c>
      <c r="I426" t="s">
        <v>53</v>
      </c>
      <c r="J426" t="s">
        <v>64</v>
      </c>
      <c r="K426">
        <v>9</v>
      </c>
      <c r="L426">
        <v>9700</v>
      </c>
      <c r="M426">
        <v>10</v>
      </c>
      <c r="N426">
        <v>78570</v>
      </c>
      <c r="O426" t="s">
        <v>35</v>
      </c>
      <c r="P426">
        <v>1</v>
      </c>
      <c r="Q426" t="s">
        <v>26</v>
      </c>
    </row>
    <row r="427" spans="1:17" x14ac:dyDescent="0.3">
      <c r="A427" t="s">
        <v>901</v>
      </c>
      <c r="B427" t="s">
        <v>902</v>
      </c>
      <c r="C427" t="s">
        <v>121</v>
      </c>
      <c r="E427">
        <v>43</v>
      </c>
      <c r="F427" t="s">
        <v>44</v>
      </c>
      <c r="G427" t="s">
        <v>100</v>
      </c>
      <c r="H427" t="s">
        <v>32</v>
      </c>
      <c r="I427" t="s">
        <v>33</v>
      </c>
      <c r="J427" t="s">
        <v>24</v>
      </c>
      <c r="K427">
        <v>1</v>
      </c>
      <c r="L427">
        <v>15900</v>
      </c>
      <c r="M427">
        <v>20</v>
      </c>
      <c r="N427">
        <v>12720</v>
      </c>
      <c r="O427" t="s">
        <v>48</v>
      </c>
      <c r="P427">
        <v>2</v>
      </c>
      <c r="Q427" t="s">
        <v>65</v>
      </c>
    </row>
    <row r="428" spans="1:17" x14ac:dyDescent="0.3">
      <c r="A428" t="s">
        <v>903</v>
      </c>
      <c r="B428" t="s">
        <v>904</v>
      </c>
      <c r="C428" t="s">
        <v>19</v>
      </c>
      <c r="E428">
        <v>39</v>
      </c>
      <c r="F428" t="s">
        <v>21</v>
      </c>
      <c r="G428" t="s">
        <v>21</v>
      </c>
      <c r="H428" t="s">
        <v>22</v>
      </c>
      <c r="I428" t="s">
        <v>23</v>
      </c>
      <c r="J428" t="s">
        <v>64</v>
      </c>
      <c r="K428">
        <v>1</v>
      </c>
      <c r="L428">
        <v>39300</v>
      </c>
      <c r="M428">
        <v>0</v>
      </c>
      <c r="N428">
        <v>39300</v>
      </c>
      <c r="O428" t="s">
        <v>48</v>
      </c>
      <c r="Q428" t="s">
        <v>65</v>
      </c>
    </row>
    <row r="429" spans="1:17" x14ac:dyDescent="0.3">
      <c r="A429" t="s">
        <v>905</v>
      </c>
      <c r="B429" t="s">
        <v>906</v>
      </c>
      <c r="C429" t="s">
        <v>121</v>
      </c>
      <c r="D429" t="s">
        <v>39</v>
      </c>
      <c r="E429">
        <v>63</v>
      </c>
      <c r="F429" t="s">
        <v>77</v>
      </c>
      <c r="G429" t="s">
        <v>78</v>
      </c>
      <c r="H429" t="s">
        <v>32</v>
      </c>
      <c r="I429" t="s">
        <v>33</v>
      </c>
      <c r="J429" t="s">
        <v>24</v>
      </c>
      <c r="K429">
        <v>3</v>
      </c>
      <c r="L429">
        <v>47200</v>
      </c>
      <c r="M429">
        <v>20</v>
      </c>
      <c r="N429">
        <v>113280</v>
      </c>
      <c r="O429" t="s">
        <v>48</v>
      </c>
      <c r="P429">
        <v>1</v>
      </c>
      <c r="Q429" t="s">
        <v>41</v>
      </c>
    </row>
    <row r="430" spans="1:17" x14ac:dyDescent="0.3">
      <c r="A430" t="s">
        <v>907</v>
      </c>
      <c r="B430" t="s">
        <v>908</v>
      </c>
      <c r="C430" t="s">
        <v>29</v>
      </c>
      <c r="D430" t="s">
        <v>103</v>
      </c>
      <c r="E430">
        <v>51</v>
      </c>
      <c r="F430" t="s">
        <v>77</v>
      </c>
      <c r="G430" t="s">
        <v>78</v>
      </c>
      <c r="H430" t="s">
        <v>62</v>
      </c>
      <c r="I430" t="s">
        <v>140</v>
      </c>
      <c r="J430" t="s">
        <v>34</v>
      </c>
      <c r="K430">
        <v>5</v>
      </c>
      <c r="L430">
        <v>7200</v>
      </c>
      <c r="M430">
        <v>10</v>
      </c>
      <c r="N430">
        <v>32400</v>
      </c>
      <c r="O430" t="s">
        <v>105</v>
      </c>
      <c r="Q430" t="s">
        <v>26</v>
      </c>
    </row>
    <row r="431" spans="1:17" x14ac:dyDescent="0.3">
      <c r="A431" t="s">
        <v>909</v>
      </c>
      <c r="B431" t="s">
        <v>910</v>
      </c>
      <c r="C431" t="s">
        <v>29</v>
      </c>
      <c r="D431" t="s">
        <v>20</v>
      </c>
      <c r="E431">
        <v>43</v>
      </c>
      <c r="F431" t="s">
        <v>61</v>
      </c>
      <c r="G431" t="s">
        <v>61</v>
      </c>
      <c r="H431" t="s">
        <v>46</v>
      </c>
      <c r="I431" t="s">
        <v>47</v>
      </c>
      <c r="J431" t="s">
        <v>89</v>
      </c>
      <c r="K431">
        <v>7</v>
      </c>
      <c r="L431">
        <v>5700</v>
      </c>
      <c r="M431">
        <v>10</v>
      </c>
      <c r="N431">
        <v>35910</v>
      </c>
      <c r="O431" t="s">
        <v>40</v>
      </c>
      <c r="Q431" t="s">
        <v>26</v>
      </c>
    </row>
    <row r="432" spans="1:17" x14ac:dyDescent="0.3">
      <c r="A432" t="s">
        <v>911</v>
      </c>
      <c r="B432" t="s">
        <v>912</v>
      </c>
      <c r="C432" t="s">
        <v>38</v>
      </c>
      <c r="D432" t="s">
        <v>20</v>
      </c>
      <c r="E432">
        <v>32</v>
      </c>
      <c r="F432" t="s">
        <v>44</v>
      </c>
      <c r="G432" t="s">
        <v>45</v>
      </c>
      <c r="H432" t="s">
        <v>62</v>
      </c>
      <c r="I432" t="s">
        <v>140</v>
      </c>
      <c r="J432" t="s">
        <v>89</v>
      </c>
      <c r="K432">
        <v>9</v>
      </c>
      <c r="L432">
        <v>27100</v>
      </c>
      <c r="M432">
        <v>20</v>
      </c>
      <c r="N432">
        <v>195120</v>
      </c>
      <c r="O432" t="s">
        <v>85</v>
      </c>
      <c r="Q432" t="s">
        <v>26</v>
      </c>
    </row>
    <row r="433" spans="1:17" x14ac:dyDescent="0.3">
      <c r="A433" t="s">
        <v>913</v>
      </c>
      <c r="B433" t="s">
        <v>914</v>
      </c>
      <c r="C433" t="s">
        <v>94</v>
      </c>
      <c r="D433" t="s">
        <v>20</v>
      </c>
      <c r="E433">
        <v>33</v>
      </c>
      <c r="F433" t="s">
        <v>21</v>
      </c>
      <c r="G433" t="s">
        <v>21</v>
      </c>
      <c r="H433" t="s">
        <v>46</v>
      </c>
      <c r="I433" t="s">
        <v>47</v>
      </c>
      <c r="J433" t="s">
        <v>80</v>
      </c>
      <c r="K433">
        <v>2</v>
      </c>
      <c r="L433">
        <v>31300</v>
      </c>
      <c r="M433">
        <v>25</v>
      </c>
      <c r="N433">
        <v>46950</v>
      </c>
      <c r="O433" t="s">
        <v>105</v>
      </c>
      <c r="P433">
        <v>4</v>
      </c>
      <c r="Q433" t="s">
        <v>41</v>
      </c>
    </row>
    <row r="434" spans="1:17" x14ac:dyDescent="0.3">
      <c r="A434" t="s">
        <v>915</v>
      </c>
      <c r="B434" t="s">
        <v>916</v>
      </c>
      <c r="C434" t="s">
        <v>19</v>
      </c>
      <c r="D434" t="s">
        <v>39</v>
      </c>
      <c r="E434">
        <v>40</v>
      </c>
      <c r="F434" t="s">
        <v>51</v>
      </c>
      <c r="G434" t="s">
        <v>104</v>
      </c>
      <c r="H434" t="s">
        <v>22</v>
      </c>
      <c r="I434" t="s">
        <v>23</v>
      </c>
      <c r="J434" t="s">
        <v>80</v>
      </c>
      <c r="K434">
        <v>8</v>
      </c>
      <c r="L434">
        <v>38200</v>
      </c>
      <c r="M434">
        <v>5</v>
      </c>
      <c r="N434">
        <v>290320</v>
      </c>
      <c r="O434" t="s">
        <v>25</v>
      </c>
      <c r="P434">
        <v>2</v>
      </c>
      <c r="Q434" t="s">
        <v>65</v>
      </c>
    </row>
    <row r="435" spans="1:17" x14ac:dyDescent="0.3">
      <c r="A435" t="s">
        <v>917</v>
      </c>
      <c r="B435" t="s">
        <v>366</v>
      </c>
      <c r="C435" t="s">
        <v>19</v>
      </c>
      <c r="E435">
        <v>34</v>
      </c>
      <c r="F435" t="s">
        <v>51</v>
      </c>
      <c r="G435" t="s">
        <v>104</v>
      </c>
      <c r="H435" t="s">
        <v>62</v>
      </c>
      <c r="I435" t="s">
        <v>63</v>
      </c>
      <c r="J435" t="s">
        <v>24</v>
      </c>
      <c r="K435">
        <v>6</v>
      </c>
      <c r="L435">
        <v>43400</v>
      </c>
      <c r="M435">
        <v>5</v>
      </c>
      <c r="N435" t="s">
        <v>918</v>
      </c>
      <c r="O435" t="s">
        <v>73</v>
      </c>
      <c r="P435">
        <v>4</v>
      </c>
      <c r="Q435" t="s">
        <v>41</v>
      </c>
    </row>
    <row r="436" spans="1:17" x14ac:dyDescent="0.3">
      <c r="A436" t="s">
        <v>919</v>
      </c>
      <c r="B436" t="s">
        <v>920</v>
      </c>
      <c r="C436" t="s">
        <v>121</v>
      </c>
      <c r="D436" t="s">
        <v>103</v>
      </c>
      <c r="E436">
        <v>38</v>
      </c>
      <c r="F436" t="s">
        <v>61</v>
      </c>
      <c r="G436" t="s">
        <v>61</v>
      </c>
      <c r="H436" t="s">
        <v>32</v>
      </c>
      <c r="I436" t="s">
        <v>33</v>
      </c>
      <c r="J436" t="s">
        <v>34</v>
      </c>
      <c r="K436">
        <v>9</v>
      </c>
      <c r="L436">
        <v>25600</v>
      </c>
      <c r="M436">
        <v>10</v>
      </c>
      <c r="N436">
        <v>207360</v>
      </c>
      <c r="O436" t="s">
        <v>73</v>
      </c>
      <c r="P436">
        <v>5</v>
      </c>
      <c r="Q436" t="s">
        <v>41</v>
      </c>
    </row>
    <row r="437" spans="1:17" x14ac:dyDescent="0.3">
      <c r="A437" t="s">
        <v>921</v>
      </c>
      <c r="B437" t="s">
        <v>179</v>
      </c>
      <c r="C437" t="s">
        <v>29</v>
      </c>
      <c r="D437" t="s">
        <v>83</v>
      </c>
      <c r="E437">
        <v>29</v>
      </c>
      <c r="F437" t="s">
        <v>77</v>
      </c>
      <c r="G437" t="s">
        <v>78</v>
      </c>
      <c r="H437" t="s">
        <v>32</v>
      </c>
      <c r="I437" t="s">
        <v>53</v>
      </c>
      <c r="J437" t="s">
        <v>34</v>
      </c>
      <c r="K437">
        <v>4</v>
      </c>
      <c r="L437">
        <v>17200</v>
      </c>
      <c r="M437">
        <v>10</v>
      </c>
      <c r="N437">
        <v>61920</v>
      </c>
      <c r="O437" t="s">
        <v>48</v>
      </c>
      <c r="P437">
        <v>5</v>
      </c>
      <c r="Q437" t="s">
        <v>65</v>
      </c>
    </row>
    <row r="438" spans="1:17" x14ac:dyDescent="0.3">
      <c r="A438" t="s">
        <v>922</v>
      </c>
      <c r="B438" t="s">
        <v>920</v>
      </c>
      <c r="C438" t="s">
        <v>38</v>
      </c>
      <c r="D438" t="s">
        <v>83</v>
      </c>
      <c r="E438">
        <v>65</v>
      </c>
      <c r="F438" t="s">
        <v>61</v>
      </c>
      <c r="G438" t="s">
        <v>61</v>
      </c>
      <c r="H438" t="s">
        <v>62</v>
      </c>
      <c r="I438" t="s">
        <v>140</v>
      </c>
      <c r="J438" t="s">
        <v>24</v>
      </c>
      <c r="K438">
        <v>7</v>
      </c>
      <c r="L438">
        <v>31800</v>
      </c>
      <c r="M438">
        <v>0</v>
      </c>
      <c r="N438">
        <v>222600</v>
      </c>
      <c r="O438" t="s">
        <v>40</v>
      </c>
      <c r="P438">
        <v>4</v>
      </c>
      <c r="Q438" t="s">
        <v>74</v>
      </c>
    </row>
    <row r="439" spans="1:17" x14ac:dyDescent="0.3">
      <c r="A439" t="s">
        <v>923</v>
      </c>
      <c r="B439" t="s">
        <v>924</v>
      </c>
      <c r="C439" t="s">
        <v>38</v>
      </c>
      <c r="D439" t="s">
        <v>103</v>
      </c>
      <c r="E439">
        <v>-3</v>
      </c>
      <c r="F439" t="s">
        <v>107</v>
      </c>
      <c r="G439" t="s">
        <v>52</v>
      </c>
      <c r="H439" t="s">
        <v>22</v>
      </c>
      <c r="I439" t="s">
        <v>84</v>
      </c>
      <c r="J439" t="s">
        <v>72</v>
      </c>
      <c r="K439">
        <v>6</v>
      </c>
      <c r="L439">
        <v>44400</v>
      </c>
      <c r="M439">
        <v>15</v>
      </c>
      <c r="N439">
        <v>226440</v>
      </c>
      <c r="O439" t="s">
        <v>35</v>
      </c>
      <c r="Q439" t="s">
        <v>74</v>
      </c>
    </row>
    <row r="440" spans="1:17" x14ac:dyDescent="0.3">
      <c r="A440" t="s">
        <v>925</v>
      </c>
      <c r="B440" t="s">
        <v>926</v>
      </c>
      <c r="C440" t="s">
        <v>121</v>
      </c>
      <c r="D440" t="s">
        <v>103</v>
      </c>
      <c r="E440">
        <v>63</v>
      </c>
      <c r="F440" t="s">
        <v>21</v>
      </c>
      <c r="G440" t="s">
        <v>21</v>
      </c>
      <c r="H440" t="s">
        <v>46</v>
      </c>
      <c r="I440" t="s">
        <v>79</v>
      </c>
      <c r="J440" t="s">
        <v>34</v>
      </c>
      <c r="K440">
        <v>6</v>
      </c>
      <c r="L440">
        <v>17800</v>
      </c>
      <c r="M440">
        <v>15</v>
      </c>
      <c r="N440">
        <v>90780</v>
      </c>
      <c r="O440" t="s">
        <v>48</v>
      </c>
      <c r="Q440" t="s">
        <v>26</v>
      </c>
    </row>
    <row r="441" spans="1:17" x14ac:dyDescent="0.3">
      <c r="A441" t="s">
        <v>927</v>
      </c>
      <c r="B441" t="s">
        <v>928</v>
      </c>
      <c r="C441" t="s">
        <v>38</v>
      </c>
      <c r="D441" t="s">
        <v>103</v>
      </c>
      <c r="E441">
        <v>56</v>
      </c>
      <c r="F441" t="s">
        <v>51</v>
      </c>
      <c r="G441" t="s">
        <v>52</v>
      </c>
      <c r="H441" t="s">
        <v>46</v>
      </c>
      <c r="I441" t="s">
        <v>47</v>
      </c>
      <c r="J441" t="s">
        <v>64</v>
      </c>
      <c r="K441">
        <v>10</v>
      </c>
      <c r="L441">
        <v>37300</v>
      </c>
      <c r="M441">
        <v>10</v>
      </c>
      <c r="N441">
        <v>335700</v>
      </c>
      <c r="O441" t="s">
        <v>25</v>
      </c>
      <c r="Q441" t="s">
        <v>41</v>
      </c>
    </row>
    <row r="442" spans="1:17" x14ac:dyDescent="0.3">
      <c r="A442" t="s">
        <v>929</v>
      </c>
      <c r="B442" t="s">
        <v>930</v>
      </c>
      <c r="C442" t="s">
        <v>113</v>
      </c>
      <c r="D442" t="s">
        <v>103</v>
      </c>
      <c r="E442">
        <v>45</v>
      </c>
      <c r="F442" t="s">
        <v>44</v>
      </c>
      <c r="G442" t="s">
        <v>45</v>
      </c>
      <c r="H442" t="s">
        <v>32</v>
      </c>
      <c r="I442" t="s">
        <v>53</v>
      </c>
      <c r="J442" t="s">
        <v>64</v>
      </c>
      <c r="K442">
        <v>10</v>
      </c>
      <c r="L442">
        <v>28000</v>
      </c>
      <c r="M442">
        <v>5</v>
      </c>
      <c r="N442">
        <v>266000</v>
      </c>
      <c r="O442" t="s">
        <v>48</v>
      </c>
      <c r="P442">
        <v>1</v>
      </c>
      <c r="Q442" t="s">
        <v>26</v>
      </c>
    </row>
    <row r="443" spans="1:17" x14ac:dyDescent="0.3">
      <c r="A443" t="s">
        <v>931</v>
      </c>
      <c r="B443" t="s">
        <v>932</v>
      </c>
      <c r="C443" t="s">
        <v>29</v>
      </c>
      <c r="E443">
        <v>39</v>
      </c>
      <c r="F443" t="s">
        <v>30</v>
      </c>
      <c r="G443" t="s">
        <v>57</v>
      </c>
      <c r="H443" t="s">
        <v>22</v>
      </c>
      <c r="I443" t="s">
        <v>23</v>
      </c>
      <c r="J443" t="s">
        <v>80</v>
      </c>
      <c r="K443" t="s">
        <v>443</v>
      </c>
      <c r="L443">
        <v>42100</v>
      </c>
      <c r="M443">
        <v>25</v>
      </c>
      <c r="N443">
        <v>315750</v>
      </c>
      <c r="O443" t="s">
        <v>40</v>
      </c>
      <c r="P443">
        <v>3</v>
      </c>
      <c r="Q443" t="s">
        <v>41</v>
      </c>
    </row>
    <row r="444" spans="1:17" x14ac:dyDescent="0.3">
      <c r="A444" t="s">
        <v>933</v>
      </c>
      <c r="B444" t="s">
        <v>934</v>
      </c>
      <c r="C444" t="s">
        <v>88</v>
      </c>
      <c r="D444" t="s">
        <v>103</v>
      </c>
      <c r="E444">
        <v>42</v>
      </c>
      <c r="F444" t="s">
        <v>77</v>
      </c>
      <c r="G444" t="s">
        <v>78</v>
      </c>
      <c r="H444" t="s">
        <v>62</v>
      </c>
      <c r="I444" t="s">
        <v>63</v>
      </c>
      <c r="J444" t="s">
        <v>24</v>
      </c>
      <c r="K444">
        <v>4</v>
      </c>
      <c r="L444">
        <v>42900</v>
      </c>
      <c r="M444">
        <v>0</v>
      </c>
      <c r="N444">
        <v>171600</v>
      </c>
      <c r="O444" t="s">
        <v>73</v>
      </c>
      <c r="P444">
        <v>5</v>
      </c>
      <c r="Q444" t="s">
        <v>65</v>
      </c>
    </row>
    <row r="445" spans="1:17" x14ac:dyDescent="0.3">
      <c r="A445" t="s">
        <v>935</v>
      </c>
      <c r="B445" t="s">
        <v>936</v>
      </c>
      <c r="C445" t="s">
        <v>68</v>
      </c>
      <c r="E445">
        <v>23</v>
      </c>
      <c r="F445" t="s">
        <v>51</v>
      </c>
      <c r="G445" t="s">
        <v>104</v>
      </c>
      <c r="H445" t="s">
        <v>46</v>
      </c>
      <c r="I445" t="s">
        <v>79</v>
      </c>
      <c r="J445" t="s">
        <v>89</v>
      </c>
      <c r="K445">
        <v>6</v>
      </c>
      <c r="L445">
        <v>32600</v>
      </c>
      <c r="M445">
        <v>10</v>
      </c>
      <c r="N445">
        <v>176040</v>
      </c>
      <c r="O445" t="s">
        <v>40</v>
      </c>
      <c r="P445">
        <v>5</v>
      </c>
      <c r="Q445" t="s">
        <v>26</v>
      </c>
    </row>
    <row r="446" spans="1:17" x14ac:dyDescent="0.3">
      <c r="A446" t="s">
        <v>937</v>
      </c>
      <c r="B446" t="s">
        <v>938</v>
      </c>
      <c r="C446" t="s">
        <v>38</v>
      </c>
      <c r="D446" t="s">
        <v>83</v>
      </c>
      <c r="E446">
        <v>40</v>
      </c>
      <c r="F446" t="s">
        <v>77</v>
      </c>
      <c r="G446" t="s">
        <v>95</v>
      </c>
      <c r="H446" t="s">
        <v>46</v>
      </c>
      <c r="I446" t="s">
        <v>79</v>
      </c>
      <c r="J446" t="s">
        <v>80</v>
      </c>
      <c r="K446" t="s">
        <v>863</v>
      </c>
      <c r="L446">
        <v>13300</v>
      </c>
      <c r="M446">
        <v>0</v>
      </c>
      <c r="N446">
        <v>93100</v>
      </c>
      <c r="O446" t="s">
        <v>48</v>
      </c>
      <c r="P446">
        <v>1</v>
      </c>
      <c r="Q446" t="s">
        <v>65</v>
      </c>
    </row>
    <row r="447" spans="1:17" x14ac:dyDescent="0.3">
      <c r="A447" t="s">
        <v>939</v>
      </c>
      <c r="B447" t="s">
        <v>940</v>
      </c>
      <c r="C447" t="s">
        <v>113</v>
      </c>
      <c r="D447" t="s">
        <v>20</v>
      </c>
      <c r="E447">
        <v>40</v>
      </c>
      <c r="F447" t="s">
        <v>21</v>
      </c>
      <c r="G447" t="s">
        <v>21</v>
      </c>
      <c r="H447" t="s">
        <v>22</v>
      </c>
      <c r="I447" t="s">
        <v>23</v>
      </c>
      <c r="J447" t="s">
        <v>24</v>
      </c>
      <c r="K447">
        <v>9</v>
      </c>
      <c r="L447">
        <v>48200</v>
      </c>
      <c r="M447">
        <v>15</v>
      </c>
      <c r="N447">
        <v>368730</v>
      </c>
      <c r="O447" t="s">
        <v>85</v>
      </c>
      <c r="P447">
        <v>2</v>
      </c>
      <c r="Q447" t="s">
        <v>65</v>
      </c>
    </row>
    <row r="448" spans="1:17" x14ac:dyDescent="0.3">
      <c r="A448" t="s">
        <v>941</v>
      </c>
      <c r="B448" t="s">
        <v>942</v>
      </c>
      <c r="C448" t="s">
        <v>29</v>
      </c>
      <c r="E448">
        <v>38</v>
      </c>
      <c r="F448" t="s">
        <v>77</v>
      </c>
      <c r="G448" t="s">
        <v>95</v>
      </c>
      <c r="H448" t="s">
        <v>431</v>
      </c>
      <c r="I448" t="s">
        <v>79</v>
      </c>
      <c r="J448" t="s">
        <v>34</v>
      </c>
      <c r="K448">
        <v>4</v>
      </c>
      <c r="L448">
        <v>26100</v>
      </c>
      <c r="M448">
        <v>5</v>
      </c>
      <c r="N448">
        <v>99180</v>
      </c>
      <c r="O448" t="s">
        <v>105</v>
      </c>
      <c r="P448">
        <v>4</v>
      </c>
      <c r="Q448" t="s">
        <v>74</v>
      </c>
    </row>
    <row r="449" spans="1:17" x14ac:dyDescent="0.3">
      <c r="A449" t="s">
        <v>943</v>
      </c>
      <c r="B449" t="s">
        <v>944</v>
      </c>
      <c r="C449" t="s">
        <v>113</v>
      </c>
      <c r="E449">
        <v>36</v>
      </c>
      <c r="F449" t="s">
        <v>56</v>
      </c>
      <c r="G449" t="s">
        <v>31</v>
      </c>
      <c r="H449" t="s">
        <v>32</v>
      </c>
      <c r="I449" t="s">
        <v>33</v>
      </c>
      <c r="J449" t="s">
        <v>64</v>
      </c>
      <c r="K449">
        <v>9</v>
      </c>
      <c r="L449">
        <v>6200</v>
      </c>
      <c r="M449">
        <v>25</v>
      </c>
      <c r="N449">
        <v>41850</v>
      </c>
      <c r="O449" t="s">
        <v>35</v>
      </c>
      <c r="P449">
        <v>3</v>
      </c>
      <c r="Q449" t="s">
        <v>74</v>
      </c>
    </row>
    <row r="450" spans="1:17" x14ac:dyDescent="0.3">
      <c r="A450" t="s">
        <v>945</v>
      </c>
      <c r="B450" t="s">
        <v>946</v>
      </c>
      <c r="C450" t="s">
        <v>38</v>
      </c>
      <c r="D450" t="s">
        <v>83</v>
      </c>
      <c r="E450">
        <v>64</v>
      </c>
      <c r="F450" t="s">
        <v>44</v>
      </c>
      <c r="G450" t="s">
        <v>100</v>
      </c>
      <c r="H450" t="s">
        <v>22</v>
      </c>
      <c r="I450" t="s">
        <v>23</v>
      </c>
      <c r="J450" t="s">
        <v>24</v>
      </c>
      <c r="K450">
        <v>6</v>
      </c>
      <c r="L450">
        <v>26700</v>
      </c>
      <c r="M450">
        <v>0</v>
      </c>
      <c r="N450">
        <v>160200</v>
      </c>
      <c r="O450" t="s">
        <v>85</v>
      </c>
      <c r="Q450" t="s">
        <v>41</v>
      </c>
    </row>
    <row r="451" spans="1:17" x14ac:dyDescent="0.3">
      <c r="A451" t="s">
        <v>947</v>
      </c>
      <c r="B451" t="s">
        <v>948</v>
      </c>
      <c r="C451" t="s">
        <v>19</v>
      </c>
      <c r="D451" t="s">
        <v>103</v>
      </c>
      <c r="E451">
        <v>63</v>
      </c>
      <c r="F451" t="s">
        <v>77</v>
      </c>
      <c r="G451" t="s">
        <v>95</v>
      </c>
      <c r="H451" t="s">
        <v>62</v>
      </c>
      <c r="I451" t="s">
        <v>140</v>
      </c>
      <c r="J451" t="s">
        <v>89</v>
      </c>
      <c r="K451" t="s">
        <v>165</v>
      </c>
      <c r="L451">
        <v>28700</v>
      </c>
      <c r="M451">
        <v>20</v>
      </c>
      <c r="N451">
        <v>22960</v>
      </c>
      <c r="O451" t="s">
        <v>35</v>
      </c>
      <c r="P451">
        <v>2</v>
      </c>
      <c r="Q451" t="s">
        <v>74</v>
      </c>
    </row>
    <row r="452" spans="1:17" x14ac:dyDescent="0.3">
      <c r="A452" t="s">
        <v>949</v>
      </c>
      <c r="B452" t="s">
        <v>374</v>
      </c>
      <c r="C452" t="s">
        <v>113</v>
      </c>
      <c r="E452">
        <v>26</v>
      </c>
      <c r="F452" t="s">
        <v>61</v>
      </c>
      <c r="G452" t="s">
        <v>61</v>
      </c>
      <c r="H452" t="s">
        <v>22</v>
      </c>
      <c r="I452" t="s">
        <v>23</v>
      </c>
      <c r="J452" t="s">
        <v>80</v>
      </c>
      <c r="K452">
        <v>5</v>
      </c>
      <c r="L452">
        <v>36000</v>
      </c>
      <c r="M452">
        <v>10</v>
      </c>
      <c r="N452">
        <v>162000</v>
      </c>
      <c r="O452" t="s">
        <v>73</v>
      </c>
      <c r="P452">
        <v>1</v>
      </c>
      <c r="Q452" t="s">
        <v>74</v>
      </c>
    </row>
    <row r="453" spans="1:17" x14ac:dyDescent="0.3">
      <c r="A453" t="s">
        <v>950</v>
      </c>
      <c r="B453" t="s">
        <v>951</v>
      </c>
      <c r="C453" t="s">
        <v>38</v>
      </c>
      <c r="D453" t="s">
        <v>39</v>
      </c>
      <c r="E453">
        <v>61</v>
      </c>
      <c r="F453" t="s">
        <v>21</v>
      </c>
      <c r="G453" t="s">
        <v>21</v>
      </c>
      <c r="H453" t="s">
        <v>46</v>
      </c>
      <c r="I453" t="s">
        <v>47</v>
      </c>
      <c r="J453" t="s">
        <v>34</v>
      </c>
      <c r="K453">
        <v>8</v>
      </c>
      <c r="L453">
        <v>43300</v>
      </c>
      <c r="M453">
        <v>5</v>
      </c>
      <c r="N453">
        <v>329080</v>
      </c>
      <c r="O453" t="s">
        <v>25</v>
      </c>
      <c r="P453">
        <v>1</v>
      </c>
      <c r="Q453" t="s">
        <v>41</v>
      </c>
    </row>
    <row r="454" spans="1:17" x14ac:dyDescent="0.3">
      <c r="A454" t="s">
        <v>952</v>
      </c>
      <c r="B454" t="s">
        <v>953</v>
      </c>
      <c r="C454" t="s">
        <v>38</v>
      </c>
      <c r="D454" t="s">
        <v>20</v>
      </c>
      <c r="E454">
        <v>65</v>
      </c>
      <c r="F454" t="s">
        <v>61</v>
      </c>
      <c r="G454" t="s">
        <v>61</v>
      </c>
      <c r="H454" t="s">
        <v>62</v>
      </c>
      <c r="I454" t="s">
        <v>63</v>
      </c>
      <c r="J454" t="s">
        <v>64</v>
      </c>
      <c r="K454">
        <v>7</v>
      </c>
      <c r="L454">
        <v>40100</v>
      </c>
      <c r="M454">
        <v>10</v>
      </c>
      <c r="N454">
        <v>252630</v>
      </c>
      <c r="O454" t="s">
        <v>25</v>
      </c>
      <c r="P454">
        <v>3</v>
      </c>
      <c r="Q454" t="s">
        <v>41</v>
      </c>
    </row>
    <row r="455" spans="1:17" x14ac:dyDescent="0.3">
      <c r="A455" t="s">
        <v>954</v>
      </c>
      <c r="B455" t="s">
        <v>955</v>
      </c>
      <c r="C455" t="s">
        <v>38</v>
      </c>
      <c r="E455">
        <v>33</v>
      </c>
      <c r="F455" t="s">
        <v>77</v>
      </c>
      <c r="G455" t="s">
        <v>78</v>
      </c>
      <c r="H455" t="s">
        <v>22</v>
      </c>
      <c r="I455" t="s">
        <v>84</v>
      </c>
      <c r="J455" t="s">
        <v>72</v>
      </c>
      <c r="K455">
        <v>4</v>
      </c>
      <c r="L455">
        <v>6000</v>
      </c>
      <c r="M455">
        <v>25</v>
      </c>
      <c r="N455">
        <v>18000</v>
      </c>
      <c r="O455" t="s">
        <v>105</v>
      </c>
      <c r="P455">
        <v>1</v>
      </c>
      <c r="Q455" t="s">
        <v>26</v>
      </c>
    </row>
    <row r="456" spans="1:17" x14ac:dyDescent="0.3">
      <c r="A456" t="s">
        <v>956</v>
      </c>
      <c r="B456" t="s">
        <v>957</v>
      </c>
      <c r="C456" t="s">
        <v>19</v>
      </c>
      <c r="D456" t="s">
        <v>39</v>
      </c>
      <c r="E456">
        <v>27</v>
      </c>
      <c r="F456" t="s">
        <v>51</v>
      </c>
      <c r="G456" t="s">
        <v>52</v>
      </c>
      <c r="H456" t="s">
        <v>22</v>
      </c>
      <c r="I456" t="s">
        <v>23</v>
      </c>
      <c r="J456" t="s">
        <v>72</v>
      </c>
      <c r="K456">
        <v>5</v>
      </c>
      <c r="L456">
        <v>22400</v>
      </c>
      <c r="M456">
        <v>20</v>
      </c>
      <c r="N456">
        <v>89600</v>
      </c>
      <c r="O456" t="s">
        <v>40</v>
      </c>
      <c r="Q456" t="s">
        <v>26</v>
      </c>
    </row>
    <row r="457" spans="1:17" x14ac:dyDescent="0.3">
      <c r="A457" t="s">
        <v>958</v>
      </c>
      <c r="B457" t="s">
        <v>526</v>
      </c>
      <c r="C457" t="s">
        <v>19</v>
      </c>
      <c r="D457" t="s">
        <v>83</v>
      </c>
      <c r="E457">
        <v>42</v>
      </c>
      <c r="F457" t="s">
        <v>51</v>
      </c>
      <c r="G457" t="s">
        <v>104</v>
      </c>
      <c r="H457" t="s">
        <v>22</v>
      </c>
      <c r="I457" t="s">
        <v>23</v>
      </c>
      <c r="J457" t="s">
        <v>64</v>
      </c>
      <c r="K457">
        <v>8</v>
      </c>
      <c r="L457">
        <v>19200</v>
      </c>
      <c r="M457">
        <v>5</v>
      </c>
      <c r="N457">
        <v>145920</v>
      </c>
      <c r="O457" t="s">
        <v>73</v>
      </c>
      <c r="P457">
        <v>2</v>
      </c>
      <c r="Q457" t="s">
        <v>74</v>
      </c>
    </row>
    <row r="458" spans="1:17" x14ac:dyDescent="0.3">
      <c r="A458" t="s">
        <v>959</v>
      </c>
      <c r="B458" t="s">
        <v>960</v>
      </c>
      <c r="C458" t="s">
        <v>29</v>
      </c>
      <c r="D458" t="s">
        <v>83</v>
      </c>
      <c r="E458">
        <v>46</v>
      </c>
      <c r="F458" t="s">
        <v>51</v>
      </c>
      <c r="G458" t="s">
        <v>52</v>
      </c>
      <c r="H458" t="s">
        <v>62</v>
      </c>
      <c r="I458" t="s">
        <v>63</v>
      </c>
      <c r="J458" t="s">
        <v>24</v>
      </c>
      <c r="K458">
        <v>9</v>
      </c>
      <c r="L458">
        <v>48600</v>
      </c>
      <c r="M458">
        <v>0</v>
      </c>
      <c r="N458">
        <v>437400</v>
      </c>
      <c r="O458" t="s">
        <v>73</v>
      </c>
      <c r="P458">
        <v>1</v>
      </c>
      <c r="Q458" t="s">
        <v>74</v>
      </c>
    </row>
    <row r="459" spans="1:17" x14ac:dyDescent="0.3">
      <c r="A459" t="s">
        <v>961</v>
      </c>
      <c r="B459" t="s">
        <v>962</v>
      </c>
      <c r="C459" t="s">
        <v>60</v>
      </c>
      <c r="E459">
        <v>46</v>
      </c>
      <c r="F459" t="s">
        <v>440</v>
      </c>
      <c r="G459" t="s">
        <v>61</v>
      </c>
      <c r="H459" t="s">
        <v>22</v>
      </c>
      <c r="I459" t="s">
        <v>23</v>
      </c>
      <c r="J459" t="s">
        <v>80</v>
      </c>
      <c r="K459">
        <v>1</v>
      </c>
      <c r="L459">
        <v>11900</v>
      </c>
      <c r="M459">
        <v>10</v>
      </c>
      <c r="N459">
        <v>10710</v>
      </c>
      <c r="O459" t="s">
        <v>85</v>
      </c>
      <c r="P459">
        <v>4</v>
      </c>
      <c r="Q459" t="s">
        <v>26</v>
      </c>
    </row>
    <row r="460" spans="1:17" x14ac:dyDescent="0.3">
      <c r="A460" t="s">
        <v>963</v>
      </c>
      <c r="B460" t="s">
        <v>964</v>
      </c>
      <c r="C460" t="s">
        <v>68</v>
      </c>
      <c r="D460" t="s">
        <v>20</v>
      </c>
      <c r="E460">
        <v>34</v>
      </c>
      <c r="F460" t="s">
        <v>30</v>
      </c>
      <c r="G460" t="s">
        <v>57</v>
      </c>
      <c r="H460" t="s">
        <v>46</v>
      </c>
      <c r="I460" t="s">
        <v>47</v>
      </c>
      <c r="J460" t="s">
        <v>89</v>
      </c>
      <c r="K460">
        <v>1</v>
      </c>
      <c r="L460">
        <v>38800</v>
      </c>
      <c r="M460">
        <v>5</v>
      </c>
      <c r="N460">
        <v>36860</v>
      </c>
      <c r="O460" t="s">
        <v>48</v>
      </c>
      <c r="P460">
        <v>3</v>
      </c>
      <c r="Q460" t="s">
        <v>41</v>
      </c>
    </row>
    <row r="461" spans="1:17" x14ac:dyDescent="0.3">
      <c r="A461" t="s">
        <v>965</v>
      </c>
      <c r="B461" t="s">
        <v>966</v>
      </c>
      <c r="C461" t="s">
        <v>29</v>
      </c>
      <c r="D461" t="s">
        <v>20</v>
      </c>
      <c r="E461">
        <v>26</v>
      </c>
      <c r="F461" t="s">
        <v>44</v>
      </c>
      <c r="G461" t="s">
        <v>100</v>
      </c>
      <c r="H461" t="s">
        <v>32</v>
      </c>
      <c r="I461" t="s">
        <v>53</v>
      </c>
      <c r="J461" t="s">
        <v>24</v>
      </c>
      <c r="K461">
        <v>1</v>
      </c>
      <c r="L461">
        <v>35800</v>
      </c>
      <c r="M461">
        <v>20</v>
      </c>
      <c r="N461">
        <v>28640</v>
      </c>
      <c r="O461" t="s">
        <v>48</v>
      </c>
      <c r="Q461" t="s">
        <v>41</v>
      </c>
    </row>
    <row r="462" spans="1:17" x14ac:dyDescent="0.3">
      <c r="A462" t="s">
        <v>967</v>
      </c>
      <c r="B462" t="s">
        <v>968</v>
      </c>
      <c r="C462" t="s">
        <v>68</v>
      </c>
      <c r="E462">
        <v>37</v>
      </c>
      <c r="F462" t="s">
        <v>51</v>
      </c>
      <c r="G462" t="s">
        <v>52</v>
      </c>
      <c r="H462" t="s">
        <v>62</v>
      </c>
      <c r="I462" t="s">
        <v>140</v>
      </c>
      <c r="J462" t="s">
        <v>80</v>
      </c>
      <c r="K462">
        <v>2</v>
      </c>
      <c r="L462">
        <v>33300</v>
      </c>
      <c r="M462">
        <v>20</v>
      </c>
      <c r="N462">
        <v>53280</v>
      </c>
      <c r="O462" t="s">
        <v>48</v>
      </c>
      <c r="P462">
        <v>2</v>
      </c>
      <c r="Q462" t="s">
        <v>65</v>
      </c>
    </row>
    <row r="463" spans="1:17" x14ac:dyDescent="0.3">
      <c r="A463" t="s">
        <v>969</v>
      </c>
      <c r="B463" t="s">
        <v>970</v>
      </c>
      <c r="C463" t="s">
        <v>29</v>
      </c>
      <c r="D463" t="s">
        <v>83</v>
      </c>
      <c r="E463">
        <v>47</v>
      </c>
      <c r="F463" t="s">
        <v>61</v>
      </c>
      <c r="G463" t="s">
        <v>61</v>
      </c>
      <c r="H463" t="s">
        <v>22</v>
      </c>
      <c r="I463" t="s">
        <v>23</v>
      </c>
      <c r="J463" t="s">
        <v>80</v>
      </c>
      <c r="K463" t="s">
        <v>165</v>
      </c>
      <c r="L463">
        <v>7200</v>
      </c>
      <c r="M463">
        <v>15</v>
      </c>
      <c r="N463">
        <v>6120</v>
      </c>
      <c r="O463" t="s">
        <v>73</v>
      </c>
      <c r="P463">
        <v>5</v>
      </c>
      <c r="Q463" t="s">
        <v>41</v>
      </c>
    </row>
    <row r="464" spans="1:17" x14ac:dyDescent="0.3">
      <c r="A464" t="s">
        <v>971</v>
      </c>
      <c r="B464" t="s">
        <v>509</v>
      </c>
      <c r="C464" t="s">
        <v>60</v>
      </c>
      <c r="D464" t="s">
        <v>103</v>
      </c>
      <c r="E464">
        <v>62</v>
      </c>
      <c r="F464" t="s">
        <v>61</v>
      </c>
      <c r="G464" t="s">
        <v>61</v>
      </c>
      <c r="H464" t="s">
        <v>32</v>
      </c>
      <c r="I464" t="s">
        <v>33</v>
      </c>
      <c r="J464" t="s">
        <v>80</v>
      </c>
      <c r="K464">
        <v>10</v>
      </c>
      <c r="L464">
        <v>43600</v>
      </c>
      <c r="M464">
        <v>0</v>
      </c>
      <c r="N464">
        <v>436000</v>
      </c>
      <c r="O464" t="s">
        <v>162</v>
      </c>
      <c r="Q464" t="s">
        <v>74</v>
      </c>
    </row>
    <row r="465" spans="1:17" x14ac:dyDescent="0.3">
      <c r="A465" t="s">
        <v>972</v>
      </c>
      <c r="B465" t="s">
        <v>139</v>
      </c>
      <c r="C465" t="s">
        <v>71</v>
      </c>
      <c r="E465">
        <v>33</v>
      </c>
      <c r="F465" t="s">
        <v>77</v>
      </c>
      <c r="G465" t="s">
        <v>95</v>
      </c>
      <c r="H465" t="s">
        <v>22</v>
      </c>
      <c r="I465" t="s">
        <v>84</v>
      </c>
      <c r="J465" t="s">
        <v>89</v>
      </c>
      <c r="K465">
        <v>7</v>
      </c>
      <c r="L465">
        <v>28700</v>
      </c>
      <c r="M465">
        <v>10</v>
      </c>
      <c r="N465">
        <v>180810</v>
      </c>
      <c r="O465" t="s">
        <v>85</v>
      </c>
      <c r="P465">
        <v>4</v>
      </c>
      <c r="Q465" t="s">
        <v>41</v>
      </c>
    </row>
    <row r="466" spans="1:17" x14ac:dyDescent="0.3">
      <c r="A466" t="s">
        <v>973</v>
      </c>
      <c r="B466" t="s">
        <v>974</v>
      </c>
      <c r="C466" t="s">
        <v>29</v>
      </c>
      <c r="D466" t="s">
        <v>103</v>
      </c>
      <c r="E466">
        <v>45</v>
      </c>
      <c r="F466" t="s">
        <v>51</v>
      </c>
      <c r="G466" t="s">
        <v>104</v>
      </c>
      <c r="H466" t="s">
        <v>46</v>
      </c>
      <c r="I466" t="s">
        <v>79</v>
      </c>
      <c r="J466" t="s">
        <v>89</v>
      </c>
      <c r="K466">
        <v>3</v>
      </c>
      <c r="L466">
        <v>45700</v>
      </c>
      <c r="M466">
        <v>0</v>
      </c>
      <c r="N466">
        <v>137100</v>
      </c>
      <c r="O466" t="s">
        <v>25</v>
      </c>
      <c r="P466">
        <v>3</v>
      </c>
      <c r="Q466" t="s">
        <v>41</v>
      </c>
    </row>
    <row r="467" spans="1:17" x14ac:dyDescent="0.3">
      <c r="A467" t="s">
        <v>975</v>
      </c>
      <c r="B467" t="s">
        <v>887</v>
      </c>
      <c r="C467" t="s">
        <v>38</v>
      </c>
      <c r="D467" t="s">
        <v>20</v>
      </c>
      <c r="E467">
        <v>19</v>
      </c>
      <c r="F467" t="s">
        <v>21</v>
      </c>
      <c r="G467" t="s">
        <v>21</v>
      </c>
      <c r="H467" t="s">
        <v>22</v>
      </c>
      <c r="I467" t="s">
        <v>23</v>
      </c>
      <c r="J467" t="s">
        <v>89</v>
      </c>
      <c r="K467">
        <v>3</v>
      </c>
      <c r="L467">
        <v>46000</v>
      </c>
      <c r="M467">
        <v>25</v>
      </c>
      <c r="N467">
        <v>103500</v>
      </c>
      <c r="O467" t="s">
        <v>105</v>
      </c>
      <c r="P467">
        <v>5</v>
      </c>
      <c r="Q467" t="s">
        <v>65</v>
      </c>
    </row>
    <row r="468" spans="1:17" x14ac:dyDescent="0.3">
      <c r="A468" t="s">
        <v>976</v>
      </c>
      <c r="B468" t="s">
        <v>977</v>
      </c>
      <c r="C468" t="s">
        <v>38</v>
      </c>
      <c r="D468" t="s">
        <v>20</v>
      </c>
      <c r="E468">
        <v>40</v>
      </c>
      <c r="F468" t="s">
        <v>21</v>
      </c>
      <c r="G468" t="s">
        <v>21</v>
      </c>
      <c r="H468" t="s">
        <v>32</v>
      </c>
      <c r="I468" t="s">
        <v>53</v>
      </c>
      <c r="J468" t="s">
        <v>24</v>
      </c>
      <c r="K468">
        <v>2</v>
      </c>
      <c r="L468">
        <v>24000</v>
      </c>
      <c r="M468">
        <v>0</v>
      </c>
      <c r="N468">
        <v>48000</v>
      </c>
      <c r="O468" t="s">
        <v>105</v>
      </c>
      <c r="Q468" t="s">
        <v>26</v>
      </c>
    </row>
    <row r="469" spans="1:17" x14ac:dyDescent="0.3">
      <c r="A469" t="s">
        <v>978</v>
      </c>
      <c r="B469" t="s">
        <v>979</v>
      </c>
      <c r="C469" t="s">
        <v>121</v>
      </c>
      <c r="E469">
        <v>45</v>
      </c>
      <c r="F469" t="s">
        <v>30</v>
      </c>
      <c r="G469" t="s">
        <v>31</v>
      </c>
      <c r="H469" t="s">
        <v>62</v>
      </c>
      <c r="I469" t="s">
        <v>140</v>
      </c>
      <c r="J469" t="s">
        <v>89</v>
      </c>
      <c r="K469">
        <v>10</v>
      </c>
      <c r="L469">
        <v>3300</v>
      </c>
      <c r="M469">
        <v>10</v>
      </c>
      <c r="N469">
        <v>29700</v>
      </c>
      <c r="O469" t="s">
        <v>25</v>
      </c>
      <c r="P469">
        <v>2</v>
      </c>
      <c r="Q469" t="s">
        <v>74</v>
      </c>
    </row>
    <row r="470" spans="1:17" x14ac:dyDescent="0.3">
      <c r="A470" t="s">
        <v>980</v>
      </c>
      <c r="B470" t="s">
        <v>981</v>
      </c>
      <c r="C470" t="s">
        <v>121</v>
      </c>
      <c r="E470">
        <v>52</v>
      </c>
      <c r="F470" t="s">
        <v>30</v>
      </c>
      <c r="G470" t="s">
        <v>57</v>
      </c>
      <c r="H470" t="s">
        <v>62</v>
      </c>
      <c r="I470" t="s">
        <v>140</v>
      </c>
      <c r="J470" t="s">
        <v>72</v>
      </c>
      <c r="K470">
        <v>5</v>
      </c>
      <c r="L470">
        <v>26400</v>
      </c>
      <c r="M470">
        <v>15</v>
      </c>
      <c r="N470">
        <v>112200</v>
      </c>
      <c r="O470" t="s">
        <v>40</v>
      </c>
      <c r="Q470" t="s">
        <v>41</v>
      </c>
    </row>
    <row r="471" spans="1:17" x14ac:dyDescent="0.3">
      <c r="A471" t="s">
        <v>982</v>
      </c>
      <c r="B471" t="s">
        <v>983</v>
      </c>
      <c r="C471" t="s">
        <v>38</v>
      </c>
      <c r="D471" t="s">
        <v>103</v>
      </c>
      <c r="E471">
        <v>61</v>
      </c>
      <c r="F471" t="s">
        <v>30</v>
      </c>
      <c r="G471" t="s">
        <v>57</v>
      </c>
      <c r="H471" t="s">
        <v>46</v>
      </c>
      <c r="I471" t="s">
        <v>79</v>
      </c>
      <c r="J471" t="s">
        <v>64</v>
      </c>
      <c r="K471">
        <v>6</v>
      </c>
      <c r="L471">
        <v>11900</v>
      </c>
      <c r="M471">
        <v>25</v>
      </c>
      <c r="N471">
        <v>53550</v>
      </c>
      <c r="O471" t="s">
        <v>48</v>
      </c>
      <c r="Q471" t="s">
        <v>41</v>
      </c>
    </row>
    <row r="472" spans="1:17" x14ac:dyDescent="0.3">
      <c r="A472" t="s">
        <v>984</v>
      </c>
      <c r="B472" t="s">
        <v>985</v>
      </c>
      <c r="C472" t="s">
        <v>94</v>
      </c>
      <c r="D472" t="s">
        <v>39</v>
      </c>
      <c r="E472">
        <v>33</v>
      </c>
      <c r="F472" t="s">
        <v>44</v>
      </c>
      <c r="G472" t="s">
        <v>45</v>
      </c>
      <c r="H472" t="s">
        <v>22</v>
      </c>
      <c r="I472" t="s">
        <v>84</v>
      </c>
      <c r="J472" t="s">
        <v>89</v>
      </c>
      <c r="K472">
        <v>9</v>
      </c>
      <c r="L472">
        <v>39400</v>
      </c>
      <c r="M472">
        <v>20</v>
      </c>
      <c r="N472">
        <v>283680</v>
      </c>
      <c r="O472" t="s">
        <v>48</v>
      </c>
      <c r="Q472" t="s">
        <v>65</v>
      </c>
    </row>
    <row r="473" spans="1:17" x14ac:dyDescent="0.3">
      <c r="A473" t="s">
        <v>986</v>
      </c>
      <c r="B473" t="s">
        <v>987</v>
      </c>
      <c r="C473" t="s">
        <v>38</v>
      </c>
      <c r="D473" t="s">
        <v>39</v>
      </c>
      <c r="E473">
        <v>39</v>
      </c>
      <c r="F473" t="s">
        <v>440</v>
      </c>
      <c r="G473" t="s">
        <v>61</v>
      </c>
      <c r="H473" t="s">
        <v>62</v>
      </c>
      <c r="I473" t="s">
        <v>63</v>
      </c>
      <c r="J473" t="s">
        <v>72</v>
      </c>
      <c r="K473">
        <v>9</v>
      </c>
      <c r="L473">
        <v>17800</v>
      </c>
      <c r="M473">
        <v>25</v>
      </c>
      <c r="N473">
        <v>120150</v>
      </c>
      <c r="O473" t="s">
        <v>25</v>
      </c>
      <c r="Q473" t="s">
        <v>74</v>
      </c>
    </row>
    <row r="474" spans="1:17" x14ac:dyDescent="0.3">
      <c r="A474" t="s">
        <v>988</v>
      </c>
      <c r="B474" t="s">
        <v>989</v>
      </c>
      <c r="C474" t="s">
        <v>71</v>
      </c>
      <c r="D474" t="s">
        <v>103</v>
      </c>
      <c r="E474">
        <v>47</v>
      </c>
      <c r="F474" t="s">
        <v>30</v>
      </c>
      <c r="G474" t="s">
        <v>57</v>
      </c>
      <c r="H474" t="s">
        <v>62</v>
      </c>
      <c r="I474" t="s">
        <v>140</v>
      </c>
      <c r="J474" t="s">
        <v>24</v>
      </c>
      <c r="K474">
        <v>5</v>
      </c>
      <c r="L474">
        <v>27300</v>
      </c>
      <c r="M474">
        <v>15</v>
      </c>
      <c r="N474">
        <v>116025</v>
      </c>
      <c r="O474" t="s">
        <v>35</v>
      </c>
      <c r="P474">
        <v>4</v>
      </c>
      <c r="Q474" t="s">
        <v>65</v>
      </c>
    </row>
    <row r="475" spans="1:17" x14ac:dyDescent="0.3">
      <c r="A475" t="s">
        <v>990</v>
      </c>
      <c r="B475" t="s">
        <v>991</v>
      </c>
      <c r="C475" t="s">
        <v>113</v>
      </c>
      <c r="D475" t="s">
        <v>20</v>
      </c>
      <c r="E475">
        <v>35</v>
      </c>
      <c r="F475" t="s">
        <v>51</v>
      </c>
      <c r="G475" t="s">
        <v>52</v>
      </c>
      <c r="H475" t="s">
        <v>62</v>
      </c>
      <c r="I475" t="s">
        <v>140</v>
      </c>
      <c r="J475" t="s">
        <v>72</v>
      </c>
      <c r="K475">
        <v>1</v>
      </c>
      <c r="L475">
        <v>28600</v>
      </c>
      <c r="M475">
        <v>10</v>
      </c>
      <c r="N475">
        <v>25740</v>
      </c>
      <c r="O475" t="s">
        <v>40</v>
      </c>
      <c r="P475">
        <v>1</v>
      </c>
      <c r="Q475" t="s">
        <v>26</v>
      </c>
    </row>
    <row r="476" spans="1:17" x14ac:dyDescent="0.3">
      <c r="A476" t="s">
        <v>992</v>
      </c>
      <c r="B476" t="s">
        <v>993</v>
      </c>
      <c r="C476" t="s">
        <v>19</v>
      </c>
      <c r="E476">
        <v>61</v>
      </c>
      <c r="F476" t="s">
        <v>77</v>
      </c>
      <c r="G476" t="s">
        <v>78</v>
      </c>
      <c r="H476" t="s">
        <v>455</v>
      </c>
      <c r="I476" t="s">
        <v>140</v>
      </c>
      <c r="J476" t="s">
        <v>34</v>
      </c>
      <c r="K476">
        <v>6</v>
      </c>
      <c r="L476">
        <v>49100</v>
      </c>
      <c r="M476">
        <v>15</v>
      </c>
      <c r="N476">
        <v>250410</v>
      </c>
      <c r="O476" t="s">
        <v>73</v>
      </c>
      <c r="P476">
        <v>1</v>
      </c>
      <c r="Q476" t="s">
        <v>65</v>
      </c>
    </row>
    <row r="477" spans="1:17" x14ac:dyDescent="0.3">
      <c r="A477" t="s">
        <v>994</v>
      </c>
      <c r="B477" t="s">
        <v>469</v>
      </c>
      <c r="C477" t="s">
        <v>68</v>
      </c>
      <c r="D477" t="s">
        <v>20</v>
      </c>
      <c r="E477">
        <v>30</v>
      </c>
      <c r="F477" t="s">
        <v>202</v>
      </c>
      <c r="G477" t="s">
        <v>52</v>
      </c>
      <c r="H477" t="s">
        <v>32</v>
      </c>
      <c r="I477" t="s">
        <v>53</v>
      </c>
      <c r="J477" t="s">
        <v>89</v>
      </c>
      <c r="K477">
        <v>10</v>
      </c>
      <c r="L477">
        <v>30900</v>
      </c>
      <c r="M477">
        <v>10</v>
      </c>
      <c r="N477">
        <v>278100</v>
      </c>
      <c r="O477" t="s">
        <v>35</v>
      </c>
      <c r="Q477" t="s">
        <v>26</v>
      </c>
    </row>
    <row r="478" spans="1:17" x14ac:dyDescent="0.3">
      <c r="A478" t="s">
        <v>995</v>
      </c>
      <c r="B478" t="s">
        <v>805</v>
      </c>
      <c r="C478" t="s">
        <v>68</v>
      </c>
      <c r="D478" t="s">
        <v>20</v>
      </c>
      <c r="E478">
        <v>-3</v>
      </c>
      <c r="F478" t="s">
        <v>44</v>
      </c>
      <c r="G478" t="s">
        <v>100</v>
      </c>
      <c r="H478" t="s">
        <v>455</v>
      </c>
      <c r="I478" t="s">
        <v>63</v>
      </c>
      <c r="J478" t="s">
        <v>80</v>
      </c>
      <c r="K478">
        <v>4</v>
      </c>
      <c r="L478">
        <v>21400</v>
      </c>
      <c r="M478">
        <v>20</v>
      </c>
      <c r="N478">
        <v>68480</v>
      </c>
      <c r="O478" t="s">
        <v>85</v>
      </c>
      <c r="P478">
        <v>3</v>
      </c>
      <c r="Q478" t="s">
        <v>26</v>
      </c>
    </row>
    <row r="479" spans="1:17" x14ac:dyDescent="0.3">
      <c r="A479" t="s">
        <v>996</v>
      </c>
      <c r="B479" t="s">
        <v>844</v>
      </c>
      <c r="C479" t="s">
        <v>94</v>
      </c>
      <c r="D479" t="s">
        <v>103</v>
      </c>
      <c r="E479">
        <v>60</v>
      </c>
      <c r="F479" t="s">
        <v>30</v>
      </c>
      <c r="G479" t="s">
        <v>31</v>
      </c>
      <c r="H479" t="s">
        <v>46</v>
      </c>
      <c r="I479" t="s">
        <v>79</v>
      </c>
      <c r="J479" t="s">
        <v>24</v>
      </c>
      <c r="K479">
        <v>6</v>
      </c>
      <c r="L479">
        <v>34900</v>
      </c>
      <c r="M479">
        <v>0</v>
      </c>
      <c r="N479">
        <v>209400</v>
      </c>
      <c r="O479" t="s">
        <v>73</v>
      </c>
      <c r="P479">
        <v>4</v>
      </c>
      <c r="Q479" t="s">
        <v>41</v>
      </c>
    </row>
    <row r="480" spans="1:17" x14ac:dyDescent="0.3">
      <c r="A480" t="s">
        <v>997</v>
      </c>
      <c r="B480" t="s">
        <v>998</v>
      </c>
      <c r="C480" t="s">
        <v>38</v>
      </c>
      <c r="D480" t="s">
        <v>103</v>
      </c>
      <c r="E480">
        <v>36</v>
      </c>
      <c r="F480" t="s">
        <v>77</v>
      </c>
      <c r="G480" t="s">
        <v>78</v>
      </c>
      <c r="H480" t="s">
        <v>110</v>
      </c>
      <c r="I480" t="s">
        <v>33</v>
      </c>
      <c r="J480" t="s">
        <v>24</v>
      </c>
      <c r="K480">
        <v>5</v>
      </c>
      <c r="L480">
        <v>35100</v>
      </c>
      <c r="M480">
        <v>20</v>
      </c>
      <c r="N480">
        <v>140400</v>
      </c>
      <c r="O480" t="s">
        <v>35</v>
      </c>
      <c r="P480">
        <v>5</v>
      </c>
      <c r="Q480" t="s">
        <v>65</v>
      </c>
    </row>
    <row r="481" spans="1:17" x14ac:dyDescent="0.3">
      <c r="A481" t="s">
        <v>999</v>
      </c>
      <c r="B481" t="s">
        <v>1000</v>
      </c>
      <c r="C481" t="s">
        <v>88</v>
      </c>
      <c r="D481" t="s">
        <v>20</v>
      </c>
      <c r="E481">
        <v>39</v>
      </c>
      <c r="F481" t="s">
        <v>44</v>
      </c>
      <c r="G481" t="s">
        <v>100</v>
      </c>
      <c r="H481" t="s">
        <v>32</v>
      </c>
      <c r="I481" t="s">
        <v>53</v>
      </c>
      <c r="J481" t="s">
        <v>34</v>
      </c>
      <c r="K481">
        <v>4</v>
      </c>
      <c r="L481">
        <v>26600</v>
      </c>
      <c r="M481">
        <v>15</v>
      </c>
      <c r="N481">
        <v>90440</v>
      </c>
      <c r="O481" t="s">
        <v>85</v>
      </c>
      <c r="Q481" t="s">
        <v>74</v>
      </c>
    </row>
    <row r="482" spans="1:17" x14ac:dyDescent="0.3">
      <c r="A482" t="s">
        <v>1001</v>
      </c>
      <c r="B482" t="s">
        <v>1002</v>
      </c>
      <c r="C482" t="s">
        <v>94</v>
      </c>
      <c r="D482" t="s">
        <v>20</v>
      </c>
      <c r="E482">
        <v>50</v>
      </c>
      <c r="F482" t="s">
        <v>44</v>
      </c>
      <c r="G482" t="s">
        <v>100</v>
      </c>
      <c r="H482" t="s">
        <v>46</v>
      </c>
      <c r="I482" t="s">
        <v>47</v>
      </c>
      <c r="J482" t="s">
        <v>34</v>
      </c>
      <c r="K482">
        <v>9</v>
      </c>
      <c r="L482">
        <v>40100</v>
      </c>
      <c r="M482">
        <v>25</v>
      </c>
      <c r="N482" t="s">
        <v>1003</v>
      </c>
      <c r="O482" t="s">
        <v>48</v>
      </c>
      <c r="P482">
        <v>4</v>
      </c>
      <c r="Q482" t="s">
        <v>65</v>
      </c>
    </row>
    <row r="483" spans="1:17" x14ac:dyDescent="0.3">
      <c r="A483" t="s">
        <v>1004</v>
      </c>
      <c r="B483" t="s">
        <v>1005</v>
      </c>
      <c r="C483" t="s">
        <v>94</v>
      </c>
      <c r="D483" t="s">
        <v>39</v>
      </c>
      <c r="E483">
        <v>38</v>
      </c>
      <c r="F483" t="s">
        <v>77</v>
      </c>
      <c r="G483" t="s">
        <v>78</v>
      </c>
      <c r="H483" t="s">
        <v>22</v>
      </c>
      <c r="I483" t="s">
        <v>84</v>
      </c>
      <c r="J483" t="s">
        <v>34</v>
      </c>
      <c r="K483">
        <v>9</v>
      </c>
      <c r="L483">
        <v>13300</v>
      </c>
      <c r="M483">
        <v>5</v>
      </c>
      <c r="N483">
        <v>113715</v>
      </c>
      <c r="O483" t="s">
        <v>48</v>
      </c>
      <c r="P483">
        <v>3</v>
      </c>
      <c r="Q483" t="s">
        <v>74</v>
      </c>
    </row>
    <row r="484" spans="1:17" x14ac:dyDescent="0.3">
      <c r="A484" t="s">
        <v>1006</v>
      </c>
      <c r="B484" t="s">
        <v>1007</v>
      </c>
      <c r="C484" t="s">
        <v>113</v>
      </c>
      <c r="D484" t="s">
        <v>103</v>
      </c>
      <c r="E484">
        <v>20</v>
      </c>
      <c r="F484" t="s">
        <v>21</v>
      </c>
      <c r="G484" t="s">
        <v>21</v>
      </c>
      <c r="H484" t="s">
        <v>32</v>
      </c>
      <c r="I484" t="s">
        <v>53</v>
      </c>
      <c r="J484" t="s">
        <v>34</v>
      </c>
      <c r="K484">
        <v>7</v>
      </c>
      <c r="L484">
        <v>25100</v>
      </c>
      <c r="M484">
        <v>15</v>
      </c>
      <c r="N484">
        <v>149345</v>
      </c>
      <c r="O484" t="s">
        <v>105</v>
      </c>
      <c r="Q484" t="s">
        <v>65</v>
      </c>
    </row>
    <row r="485" spans="1:17" x14ac:dyDescent="0.3">
      <c r="A485" t="s">
        <v>1008</v>
      </c>
      <c r="B485" t="s">
        <v>836</v>
      </c>
      <c r="C485" t="s">
        <v>29</v>
      </c>
      <c r="D485" t="s">
        <v>103</v>
      </c>
      <c r="E485">
        <v>20</v>
      </c>
      <c r="F485" t="s">
        <v>77</v>
      </c>
      <c r="G485" t="s">
        <v>95</v>
      </c>
      <c r="H485" t="s">
        <v>22</v>
      </c>
      <c r="I485" t="s">
        <v>23</v>
      </c>
      <c r="J485" t="s">
        <v>24</v>
      </c>
      <c r="K485">
        <v>8</v>
      </c>
      <c r="L485">
        <v>13700</v>
      </c>
      <c r="M485">
        <v>10</v>
      </c>
      <c r="N485">
        <v>98640</v>
      </c>
      <c r="O485" t="s">
        <v>25</v>
      </c>
      <c r="Q485" t="s">
        <v>41</v>
      </c>
    </row>
    <row r="486" spans="1:17" x14ac:dyDescent="0.3">
      <c r="A486" t="s">
        <v>1009</v>
      </c>
      <c r="B486" t="s">
        <v>139</v>
      </c>
      <c r="C486" t="s">
        <v>94</v>
      </c>
      <c r="D486" t="s">
        <v>83</v>
      </c>
      <c r="E486">
        <v>50</v>
      </c>
      <c r="F486" t="s">
        <v>51</v>
      </c>
      <c r="G486" t="s">
        <v>104</v>
      </c>
      <c r="H486" t="s">
        <v>46</v>
      </c>
      <c r="I486" t="s">
        <v>47</v>
      </c>
      <c r="J486" t="s">
        <v>24</v>
      </c>
      <c r="K486">
        <v>6</v>
      </c>
      <c r="L486">
        <v>33400</v>
      </c>
      <c r="M486">
        <v>20</v>
      </c>
      <c r="N486">
        <v>160320</v>
      </c>
      <c r="O486" t="s">
        <v>48</v>
      </c>
      <c r="Q486" t="s">
        <v>41</v>
      </c>
    </row>
    <row r="487" spans="1:17" x14ac:dyDescent="0.3">
      <c r="A487" t="s">
        <v>1010</v>
      </c>
      <c r="B487" t="s">
        <v>530</v>
      </c>
      <c r="C487" t="s">
        <v>19</v>
      </c>
      <c r="D487" t="s">
        <v>83</v>
      </c>
      <c r="E487">
        <v>30</v>
      </c>
      <c r="F487" t="s">
        <v>61</v>
      </c>
      <c r="G487" t="s">
        <v>61</v>
      </c>
      <c r="H487" t="s">
        <v>32</v>
      </c>
      <c r="I487" t="s">
        <v>33</v>
      </c>
      <c r="J487" t="s">
        <v>64</v>
      </c>
      <c r="K487">
        <v>7</v>
      </c>
      <c r="L487">
        <v>26900</v>
      </c>
      <c r="M487">
        <v>20</v>
      </c>
      <c r="N487">
        <v>150640</v>
      </c>
      <c r="O487" t="s">
        <v>73</v>
      </c>
      <c r="P487">
        <v>2</v>
      </c>
      <c r="Q487" t="s">
        <v>26</v>
      </c>
    </row>
    <row r="488" spans="1:17" x14ac:dyDescent="0.3">
      <c r="A488" t="s">
        <v>1011</v>
      </c>
      <c r="B488" t="s">
        <v>1012</v>
      </c>
      <c r="C488" t="s">
        <v>88</v>
      </c>
      <c r="E488">
        <v>40</v>
      </c>
      <c r="F488" t="s">
        <v>51</v>
      </c>
      <c r="G488" t="s">
        <v>104</v>
      </c>
      <c r="H488" t="s">
        <v>22</v>
      </c>
      <c r="I488" t="s">
        <v>84</v>
      </c>
      <c r="J488" t="s">
        <v>24</v>
      </c>
      <c r="K488">
        <v>4</v>
      </c>
      <c r="L488">
        <v>46500</v>
      </c>
      <c r="M488">
        <v>20</v>
      </c>
      <c r="N488">
        <v>148800</v>
      </c>
      <c r="O488" t="s">
        <v>48</v>
      </c>
      <c r="Q488" t="s">
        <v>41</v>
      </c>
    </row>
    <row r="489" spans="1:17" x14ac:dyDescent="0.3">
      <c r="A489" t="s">
        <v>1013</v>
      </c>
      <c r="B489" t="s">
        <v>1014</v>
      </c>
      <c r="C489" t="s">
        <v>19</v>
      </c>
      <c r="D489" t="s">
        <v>20</v>
      </c>
      <c r="E489">
        <v>19</v>
      </c>
      <c r="F489" t="s">
        <v>44</v>
      </c>
      <c r="G489" t="s">
        <v>45</v>
      </c>
      <c r="H489" t="s">
        <v>32</v>
      </c>
      <c r="I489" t="s">
        <v>53</v>
      </c>
      <c r="J489" t="s">
        <v>89</v>
      </c>
      <c r="K489">
        <v>10</v>
      </c>
      <c r="L489">
        <v>11600</v>
      </c>
      <c r="M489">
        <v>20</v>
      </c>
      <c r="N489">
        <v>92800</v>
      </c>
      <c r="O489" t="s">
        <v>35</v>
      </c>
      <c r="P489">
        <v>2</v>
      </c>
      <c r="Q489" t="s">
        <v>41</v>
      </c>
    </row>
    <row r="490" spans="1:17" x14ac:dyDescent="0.3">
      <c r="A490" t="s">
        <v>1015</v>
      </c>
      <c r="B490" t="s">
        <v>1016</v>
      </c>
      <c r="C490" t="s">
        <v>38</v>
      </c>
      <c r="D490" t="s">
        <v>103</v>
      </c>
      <c r="E490">
        <v>22</v>
      </c>
      <c r="F490" t="s">
        <v>44</v>
      </c>
      <c r="G490" t="s">
        <v>45</v>
      </c>
      <c r="H490" t="s">
        <v>32</v>
      </c>
      <c r="I490" t="s">
        <v>33</v>
      </c>
      <c r="J490" t="s">
        <v>24</v>
      </c>
      <c r="K490">
        <v>10</v>
      </c>
      <c r="L490">
        <v>50000</v>
      </c>
      <c r="M490">
        <v>20</v>
      </c>
      <c r="N490">
        <v>400000</v>
      </c>
      <c r="O490" t="s">
        <v>105</v>
      </c>
      <c r="P490">
        <v>3</v>
      </c>
      <c r="Q490" t="s">
        <v>65</v>
      </c>
    </row>
    <row r="491" spans="1:17" x14ac:dyDescent="0.3">
      <c r="A491" t="s">
        <v>1017</v>
      </c>
      <c r="B491" t="s">
        <v>1018</v>
      </c>
      <c r="C491" t="s">
        <v>71</v>
      </c>
      <c r="D491" t="s">
        <v>83</v>
      </c>
      <c r="E491">
        <v>62</v>
      </c>
      <c r="F491" t="s">
        <v>21</v>
      </c>
      <c r="G491" t="s">
        <v>21</v>
      </c>
      <c r="H491" t="s">
        <v>62</v>
      </c>
      <c r="I491" t="s">
        <v>63</v>
      </c>
      <c r="J491" t="s">
        <v>34</v>
      </c>
      <c r="K491">
        <v>6</v>
      </c>
      <c r="L491">
        <v>31200</v>
      </c>
      <c r="M491">
        <v>20</v>
      </c>
      <c r="N491">
        <v>149760</v>
      </c>
      <c r="O491" t="s">
        <v>48</v>
      </c>
      <c r="Q491" t="s">
        <v>41</v>
      </c>
    </row>
    <row r="492" spans="1:17" x14ac:dyDescent="0.3">
      <c r="A492" t="s">
        <v>1019</v>
      </c>
      <c r="B492" t="s">
        <v>1020</v>
      </c>
      <c r="C492" t="s">
        <v>94</v>
      </c>
      <c r="D492" t="s">
        <v>103</v>
      </c>
      <c r="E492">
        <v>29</v>
      </c>
      <c r="F492" t="s">
        <v>61</v>
      </c>
      <c r="G492" t="s">
        <v>61</v>
      </c>
      <c r="H492" t="s">
        <v>46</v>
      </c>
      <c r="I492" t="s">
        <v>47</v>
      </c>
      <c r="J492" t="s">
        <v>72</v>
      </c>
      <c r="K492">
        <v>9</v>
      </c>
      <c r="L492">
        <v>38400</v>
      </c>
      <c r="M492">
        <v>10</v>
      </c>
      <c r="N492">
        <v>311040</v>
      </c>
      <c r="O492" t="s">
        <v>73</v>
      </c>
      <c r="Q492" t="s">
        <v>74</v>
      </c>
    </row>
    <row r="493" spans="1:17" x14ac:dyDescent="0.3">
      <c r="A493" t="s">
        <v>1021</v>
      </c>
      <c r="B493" t="s">
        <v>1022</v>
      </c>
      <c r="C493" t="s">
        <v>113</v>
      </c>
      <c r="D493" t="s">
        <v>103</v>
      </c>
      <c r="E493">
        <v>58</v>
      </c>
      <c r="F493" t="s">
        <v>77</v>
      </c>
      <c r="G493" t="s">
        <v>78</v>
      </c>
      <c r="H493" t="s">
        <v>22</v>
      </c>
      <c r="I493" t="s">
        <v>84</v>
      </c>
      <c r="J493" t="s">
        <v>34</v>
      </c>
      <c r="K493">
        <v>9</v>
      </c>
      <c r="L493">
        <v>4700</v>
      </c>
      <c r="M493">
        <v>15</v>
      </c>
      <c r="N493">
        <v>35955</v>
      </c>
      <c r="O493" t="s">
        <v>40</v>
      </c>
      <c r="P493">
        <v>2</v>
      </c>
      <c r="Q493" t="s">
        <v>41</v>
      </c>
    </row>
    <row r="494" spans="1:17" x14ac:dyDescent="0.3">
      <c r="A494" t="s">
        <v>1023</v>
      </c>
      <c r="B494" t="s">
        <v>1024</v>
      </c>
      <c r="C494" t="s">
        <v>68</v>
      </c>
      <c r="D494" t="s">
        <v>39</v>
      </c>
      <c r="E494">
        <v>22</v>
      </c>
      <c r="F494" t="s">
        <v>61</v>
      </c>
      <c r="G494" t="s">
        <v>61</v>
      </c>
      <c r="H494" t="s">
        <v>32</v>
      </c>
      <c r="I494" t="s">
        <v>33</v>
      </c>
      <c r="J494" t="s">
        <v>80</v>
      </c>
      <c r="K494">
        <v>1</v>
      </c>
      <c r="L494">
        <v>42300</v>
      </c>
      <c r="M494">
        <v>10</v>
      </c>
      <c r="N494">
        <v>38070</v>
      </c>
      <c r="O494" t="s">
        <v>48</v>
      </c>
      <c r="P494">
        <v>3</v>
      </c>
      <c r="Q494" t="s">
        <v>41</v>
      </c>
    </row>
    <row r="495" spans="1:17" x14ac:dyDescent="0.3">
      <c r="A495" t="s">
        <v>1025</v>
      </c>
      <c r="B495" t="s">
        <v>667</v>
      </c>
      <c r="C495" t="s">
        <v>29</v>
      </c>
      <c r="E495">
        <v>41</v>
      </c>
      <c r="F495" t="s">
        <v>21</v>
      </c>
      <c r="G495" t="s">
        <v>21</v>
      </c>
      <c r="H495" t="s">
        <v>32</v>
      </c>
      <c r="I495" t="s">
        <v>53</v>
      </c>
      <c r="J495" t="s">
        <v>64</v>
      </c>
      <c r="K495">
        <v>3</v>
      </c>
      <c r="L495">
        <v>15900</v>
      </c>
      <c r="M495">
        <v>10</v>
      </c>
      <c r="N495">
        <v>42930</v>
      </c>
      <c r="O495" t="s">
        <v>85</v>
      </c>
      <c r="P495">
        <v>5</v>
      </c>
      <c r="Q495" t="s">
        <v>41</v>
      </c>
    </row>
    <row r="496" spans="1:17" x14ac:dyDescent="0.3">
      <c r="A496" t="s">
        <v>1026</v>
      </c>
      <c r="B496" t="s">
        <v>1027</v>
      </c>
      <c r="C496" t="s">
        <v>68</v>
      </c>
      <c r="D496" t="s">
        <v>83</v>
      </c>
      <c r="E496">
        <v>42</v>
      </c>
      <c r="F496" t="s">
        <v>77</v>
      </c>
      <c r="G496" t="s">
        <v>95</v>
      </c>
      <c r="H496" t="s">
        <v>22</v>
      </c>
      <c r="I496" t="s">
        <v>84</v>
      </c>
      <c r="J496" t="s">
        <v>89</v>
      </c>
      <c r="K496">
        <v>7</v>
      </c>
      <c r="L496">
        <v>8900</v>
      </c>
      <c r="M496">
        <v>5</v>
      </c>
      <c r="N496">
        <v>59185</v>
      </c>
      <c r="O496" t="s">
        <v>48</v>
      </c>
      <c r="Q496" t="s">
        <v>65</v>
      </c>
    </row>
    <row r="497" spans="1:17" x14ac:dyDescent="0.3">
      <c r="A497" t="s">
        <v>1028</v>
      </c>
      <c r="B497" t="s">
        <v>1029</v>
      </c>
      <c r="C497" t="s">
        <v>121</v>
      </c>
      <c r="D497" t="s">
        <v>20</v>
      </c>
      <c r="E497">
        <v>53</v>
      </c>
      <c r="F497" t="s">
        <v>30</v>
      </c>
      <c r="G497" t="s">
        <v>31</v>
      </c>
      <c r="H497" t="s">
        <v>22</v>
      </c>
      <c r="I497" t="s">
        <v>84</v>
      </c>
      <c r="J497" t="s">
        <v>34</v>
      </c>
      <c r="K497">
        <v>10</v>
      </c>
      <c r="L497">
        <v>44800</v>
      </c>
      <c r="M497">
        <v>25</v>
      </c>
      <c r="N497">
        <v>336000</v>
      </c>
      <c r="O497" t="s">
        <v>85</v>
      </c>
      <c r="P497">
        <v>1</v>
      </c>
      <c r="Q497" t="s">
        <v>74</v>
      </c>
    </row>
    <row r="498" spans="1:17" x14ac:dyDescent="0.3">
      <c r="A498" t="s">
        <v>1030</v>
      </c>
      <c r="B498" t="s">
        <v>1031</v>
      </c>
      <c r="C498" t="s">
        <v>113</v>
      </c>
      <c r="D498" t="s">
        <v>39</v>
      </c>
      <c r="E498">
        <v>34</v>
      </c>
      <c r="F498" t="s">
        <v>61</v>
      </c>
      <c r="G498" t="s">
        <v>61</v>
      </c>
      <c r="H498" t="s">
        <v>22</v>
      </c>
      <c r="I498" t="s">
        <v>84</v>
      </c>
      <c r="J498" t="s">
        <v>89</v>
      </c>
      <c r="K498">
        <v>10</v>
      </c>
      <c r="L498">
        <v>6500</v>
      </c>
      <c r="M498">
        <v>20</v>
      </c>
      <c r="N498" t="s">
        <v>1032</v>
      </c>
      <c r="O498" t="s">
        <v>85</v>
      </c>
      <c r="Q498" t="s">
        <v>41</v>
      </c>
    </row>
    <row r="499" spans="1:17" x14ac:dyDescent="0.3">
      <c r="A499" t="s">
        <v>1033</v>
      </c>
      <c r="B499" t="s">
        <v>585</v>
      </c>
      <c r="C499" t="s">
        <v>29</v>
      </c>
      <c r="D499" t="s">
        <v>20</v>
      </c>
      <c r="E499">
        <v>22</v>
      </c>
      <c r="F499" t="s">
        <v>77</v>
      </c>
      <c r="G499" t="s">
        <v>78</v>
      </c>
      <c r="H499" t="s">
        <v>62</v>
      </c>
      <c r="I499" t="s">
        <v>63</v>
      </c>
      <c r="J499" t="s">
        <v>64</v>
      </c>
      <c r="K499">
        <v>8</v>
      </c>
      <c r="L499">
        <v>41400</v>
      </c>
      <c r="M499">
        <v>5</v>
      </c>
      <c r="N499">
        <v>314640</v>
      </c>
      <c r="O499" t="s">
        <v>73</v>
      </c>
      <c r="P499">
        <v>2</v>
      </c>
      <c r="Q499" t="s">
        <v>26</v>
      </c>
    </row>
    <row r="500" spans="1:17" x14ac:dyDescent="0.3">
      <c r="A500" t="s">
        <v>1034</v>
      </c>
      <c r="B500" t="s">
        <v>1035</v>
      </c>
      <c r="C500" t="s">
        <v>113</v>
      </c>
      <c r="E500">
        <v>46</v>
      </c>
      <c r="F500" t="s">
        <v>77</v>
      </c>
      <c r="G500" t="s">
        <v>95</v>
      </c>
      <c r="H500" t="s">
        <v>116</v>
      </c>
      <c r="I500" t="s">
        <v>84</v>
      </c>
      <c r="J500" t="s">
        <v>24</v>
      </c>
      <c r="K500">
        <v>4</v>
      </c>
      <c r="L500">
        <v>15100</v>
      </c>
      <c r="M500">
        <v>0</v>
      </c>
      <c r="N500">
        <v>60400</v>
      </c>
      <c r="O500" t="s">
        <v>40</v>
      </c>
      <c r="P500">
        <v>4</v>
      </c>
      <c r="Q500" t="s">
        <v>41</v>
      </c>
    </row>
    <row r="501" spans="1:17" x14ac:dyDescent="0.3">
      <c r="A501" t="s">
        <v>1036</v>
      </c>
      <c r="B501" t="s">
        <v>1037</v>
      </c>
      <c r="C501" t="s">
        <v>29</v>
      </c>
      <c r="D501" t="s">
        <v>83</v>
      </c>
      <c r="E501">
        <v>53</v>
      </c>
      <c r="F501" t="s">
        <v>77</v>
      </c>
      <c r="G501" t="s">
        <v>95</v>
      </c>
      <c r="H501" t="s">
        <v>46</v>
      </c>
      <c r="I501" t="s">
        <v>79</v>
      </c>
      <c r="J501" t="s">
        <v>24</v>
      </c>
      <c r="K501">
        <v>5</v>
      </c>
      <c r="L501">
        <v>11700</v>
      </c>
      <c r="M501">
        <v>0</v>
      </c>
      <c r="N501">
        <v>58500</v>
      </c>
      <c r="O501" t="s">
        <v>162</v>
      </c>
      <c r="P501">
        <v>5</v>
      </c>
      <c r="Q501" t="s">
        <v>41</v>
      </c>
    </row>
    <row r="502" spans="1:17" x14ac:dyDescent="0.3">
      <c r="A502" t="s">
        <v>1038</v>
      </c>
      <c r="B502" t="s">
        <v>1039</v>
      </c>
      <c r="C502" t="s">
        <v>121</v>
      </c>
      <c r="E502">
        <v>37</v>
      </c>
      <c r="F502" t="s">
        <v>51</v>
      </c>
      <c r="G502" t="s">
        <v>52</v>
      </c>
      <c r="H502" t="s">
        <v>32</v>
      </c>
      <c r="I502" t="s">
        <v>33</v>
      </c>
      <c r="J502" t="s">
        <v>34</v>
      </c>
      <c r="K502">
        <v>4</v>
      </c>
      <c r="L502">
        <v>16700</v>
      </c>
      <c r="M502">
        <v>5</v>
      </c>
      <c r="N502">
        <v>63460</v>
      </c>
      <c r="O502" t="s">
        <v>25</v>
      </c>
      <c r="P502">
        <v>3</v>
      </c>
      <c r="Q502" t="s">
        <v>74</v>
      </c>
    </row>
    <row r="503" spans="1:17" x14ac:dyDescent="0.3">
      <c r="A503" t="s">
        <v>1040</v>
      </c>
      <c r="B503" t="s">
        <v>201</v>
      </c>
      <c r="C503" t="s">
        <v>38</v>
      </c>
      <c r="D503" t="s">
        <v>83</v>
      </c>
      <c r="E503">
        <v>21</v>
      </c>
      <c r="F503" t="s">
        <v>77</v>
      </c>
      <c r="G503" t="s">
        <v>78</v>
      </c>
      <c r="H503" t="s">
        <v>22</v>
      </c>
      <c r="I503" t="s">
        <v>84</v>
      </c>
      <c r="J503" t="s">
        <v>80</v>
      </c>
      <c r="K503">
        <v>1</v>
      </c>
      <c r="L503">
        <v>41000</v>
      </c>
      <c r="M503">
        <v>20</v>
      </c>
      <c r="N503">
        <v>32800</v>
      </c>
      <c r="O503" t="s">
        <v>73</v>
      </c>
      <c r="P503">
        <v>2</v>
      </c>
      <c r="Q503" t="s">
        <v>65</v>
      </c>
    </row>
    <row r="504" spans="1:17" x14ac:dyDescent="0.3">
      <c r="A504" t="s">
        <v>1041</v>
      </c>
      <c r="B504" t="s">
        <v>1042</v>
      </c>
      <c r="C504" t="s">
        <v>113</v>
      </c>
      <c r="E504">
        <v>61</v>
      </c>
      <c r="F504" t="s">
        <v>51</v>
      </c>
      <c r="G504" t="s">
        <v>52</v>
      </c>
      <c r="H504" t="s">
        <v>431</v>
      </c>
      <c r="I504" t="s">
        <v>79</v>
      </c>
      <c r="J504" t="s">
        <v>89</v>
      </c>
      <c r="K504">
        <v>9</v>
      </c>
      <c r="L504">
        <v>38100</v>
      </c>
      <c r="M504">
        <v>10</v>
      </c>
      <c r="N504">
        <v>308610</v>
      </c>
      <c r="O504" t="s">
        <v>162</v>
      </c>
      <c r="Q504" t="s">
        <v>74</v>
      </c>
    </row>
    <row r="505" spans="1:17" x14ac:dyDescent="0.3">
      <c r="A505" t="s">
        <v>1043</v>
      </c>
      <c r="B505" t="s">
        <v>446</v>
      </c>
      <c r="C505" t="s">
        <v>60</v>
      </c>
      <c r="D505" t="s">
        <v>83</v>
      </c>
      <c r="E505">
        <v>63</v>
      </c>
      <c r="F505" t="s">
        <v>461</v>
      </c>
      <c r="G505" t="s">
        <v>21</v>
      </c>
      <c r="H505" t="s">
        <v>62</v>
      </c>
      <c r="I505" t="s">
        <v>140</v>
      </c>
      <c r="J505" t="s">
        <v>34</v>
      </c>
      <c r="K505">
        <v>1</v>
      </c>
      <c r="L505">
        <v>43500</v>
      </c>
      <c r="M505">
        <v>10</v>
      </c>
      <c r="N505">
        <v>39150</v>
      </c>
      <c r="O505" t="s">
        <v>25</v>
      </c>
      <c r="P505">
        <v>3</v>
      </c>
      <c r="Q505" t="s">
        <v>41</v>
      </c>
    </row>
    <row r="506" spans="1:17" x14ac:dyDescent="0.3">
      <c r="A506" t="s">
        <v>1044</v>
      </c>
      <c r="B506" t="s">
        <v>301</v>
      </c>
      <c r="C506" t="s">
        <v>71</v>
      </c>
      <c r="D506" t="s">
        <v>83</v>
      </c>
      <c r="E506">
        <v>25</v>
      </c>
      <c r="F506" t="s">
        <v>21</v>
      </c>
      <c r="G506" t="s">
        <v>21</v>
      </c>
      <c r="H506" t="s">
        <v>62</v>
      </c>
      <c r="I506" t="s">
        <v>63</v>
      </c>
      <c r="J506" t="s">
        <v>72</v>
      </c>
      <c r="K506">
        <v>9</v>
      </c>
      <c r="L506">
        <v>36200</v>
      </c>
      <c r="M506">
        <v>5</v>
      </c>
      <c r="N506">
        <v>309510</v>
      </c>
      <c r="O506" t="s">
        <v>40</v>
      </c>
      <c r="P506">
        <v>2</v>
      </c>
      <c r="Q506" t="s">
        <v>41</v>
      </c>
    </row>
    <row r="507" spans="1:17" x14ac:dyDescent="0.3">
      <c r="A507" t="s">
        <v>1045</v>
      </c>
      <c r="B507" t="s">
        <v>1020</v>
      </c>
      <c r="C507" t="s">
        <v>60</v>
      </c>
      <c r="D507" t="s">
        <v>39</v>
      </c>
      <c r="E507">
        <v>63</v>
      </c>
      <c r="F507" t="s">
        <v>1046</v>
      </c>
      <c r="G507" t="s">
        <v>21</v>
      </c>
      <c r="H507" t="s">
        <v>46</v>
      </c>
      <c r="I507" t="s">
        <v>47</v>
      </c>
      <c r="J507" t="s">
        <v>24</v>
      </c>
      <c r="K507">
        <v>7</v>
      </c>
      <c r="L507">
        <v>48900</v>
      </c>
      <c r="M507">
        <v>0</v>
      </c>
      <c r="N507">
        <v>342300</v>
      </c>
      <c r="O507" t="s">
        <v>40</v>
      </c>
      <c r="Q507" t="s">
        <v>26</v>
      </c>
    </row>
    <row r="508" spans="1:17" x14ac:dyDescent="0.3">
      <c r="A508" t="s">
        <v>1047</v>
      </c>
      <c r="B508" t="s">
        <v>1048</v>
      </c>
      <c r="C508" t="s">
        <v>94</v>
      </c>
      <c r="D508" t="s">
        <v>39</v>
      </c>
      <c r="E508">
        <v>56</v>
      </c>
      <c r="F508" t="s">
        <v>77</v>
      </c>
      <c r="G508" t="s">
        <v>78</v>
      </c>
      <c r="H508" t="s">
        <v>22</v>
      </c>
      <c r="I508" t="s">
        <v>84</v>
      </c>
      <c r="J508" t="s">
        <v>64</v>
      </c>
      <c r="K508">
        <v>8</v>
      </c>
      <c r="L508">
        <v>24000</v>
      </c>
      <c r="M508">
        <v>5</v>
      </c>
      <c r="N508">
        <v>182400</v>
      </c>
      <c r="O508" t="s">
        <v>25</v>
      </c>
      <c r="P508">
        <v>5</v>
      </c>
      <c r="Q508" t="s">
        <v>65</v>
      </c>
    </row>
    <row r="509" spans="1:17" x14ac:dyDescent="0.3">
      <c r="A509" t="s">
        <v>1049</v>
      </c>
      <c r="B509" t="s">
        <v>1050</v>
      </c>
      <c r="C509" t="s">
        <v>113</v>
      </c>
      <c r="D509" t="s">
        <v>83</v>
      </c>
      <c r="E509">
        <v>25</v>
      </c>
      <c r="F509" t="s">
        <v>61</v>
      </c>
      <c r="G509" t="s">
        <v>61</v>
      </c>
      <c r="H509" t="s">
        <v>62</v>
      </c>
      <c r="I509" t="s">
        <v>140</v>
      </c>
      <c r="J509" t="s">
        <v>89</v>
      </c>
      <c r="K509">
        <v>2</v>
      </c>
      <c r="L509">
        <v>4100</v>
      </c>
      <c r="M509">
        <v>20</v>
      </c>
      <c r="N509">
        <v>6560</v>
      </c>
      <c r="O509" t="s">
        <v>40</v>
      </c>
      <c r="P509">
        <v>2</v>
      </c>
      <c r="Q509" t="s">
        <v>41</v>
      </c>
    </row>
    <row r="510" spans="1:17" x14ac:dyDescent="0.3">
      <c r="A510" t="s">
        <v>1051</v>
      </c>
      <c r="B510" t="s">
        <v>1052</v>
      </c>
      <c r="C510" t="s">
        <v>60</v>
      </c>
      <c r="D510" t="s">
        <v>39</v>
      </c>
      <c r="E510">
        <v>32</v>
      </c>
      <c r="F510" t="s">
        <v>30</v>
      </c>
      <c r="G510" t="s">
        <v>31</v>
      </c>
      <c r="H510" t="s">
        <v>22</v>
      </c>
      <c r="I510" t="s">
        <v>84</v>
      </c>
      <c r="J510" t="s">
        <v>80</v>
      </c>
      <c r="K510">
        <v>7</v>
      </c>
      <c r="L510">
        <v>22400</v>
      </c>
      <c r="M510">
        <v>10</v>
      </c>
      <c r="N510">
        <v>141120</v>
      </c>
      <c r="O510" t="s">
        <v>35</v>
      </c>
      <c r="P510">
        <v>4</v>
      </c>
      <c r="Q510" t="s">
        <v>26</v>
      </c>
    </row>
    <row r="511" spans="1:17" x14ac:dyDescent="0.3">
      <c r="A511" t="s">
        <v>1053</v>
      </c>
      <c r="B511" t="s">
        <v>874</v>
      </c>
      <c r="C511" t="s">
        <v>38</v>
      </c>
      <c r="D511" t="s">
        <v>103</v>
      </c>
      <c r="E511">
        <v>34</v>
      </c>
      <c r="F511" t="s">
        <v>61</v>
      </c>
      <c r="G511" t="s">
        <v>61</v>
      </c>
      <c r="H511" t="s">
        <v>32</v>
      </c>
      <c r="I511" t="s">
        <v>33</v>
      </c>
      <c r="J511" t="s">
        <v>64</v>
      </c>
      <c r="K511">
        <v>4</v>
      </c>
      <c r="L511">
        <v>11600</v>
      </c>
      <c r="M511">
        <v>5</v>
      </c>
      <c r="N511">
        <v>44080</v>
      </c>
      <c r="O511" t="s">
        <v>40</v>
      </c>
      <c r="P511">
        <v>2</v>
      </c>
      <c r="Q511" t="s">
        <v>74</v>
      </c>
    </row>
    <row r="512" spans="1:17" x14ac:dyDescent="0.3">
      <c r="A512" t="s">
        <v>1054</v>
      </c>
      <c r="B512" t="s">
        <v>1055</v>
      </c>
      <c r="C512" t="s">
        <v>121</v>
      </c>
      <c r="D512" t="s">
        <v>83</v>
      </c>
      <c r="E512">
        <v>38</v>
      </c>
      <c r="F512" t="s">
        <v>21</v>
      </c>
      <c r="G512" t="s">
        <v>21</v>
      </c>
      <c r="H512" t="s">
        <v>32</v>
      </c>
      <c r="I512" t="s">
        <v>53</v>
      </c>
      <c r="J512" t="s">
        <v>89</v>
      </c>
      <c r="K512">
        <v>10</v>
      </c>
      <c r="L512">
        <v>28400</v>
      </c>
      <c r="M512">
        <v>10</v>
      </c>
      <c r="N512">
        <v>255600</v>
      </c>
      <c r="O512" t="s">
        <v>105</v>
      </c>
      <c r="P512">
        <v>3</v>
      </c>
      <c r="Q512" t="s">
        <v>65</v>
      </c>
    </row>
    <row r="513" spans="1:17" x14ac:dyDescent="0.3">
      <c r="A513" t="s">
        <v>1056</v>
      </c>
      <c r="B513" t="s">
        <v>1057</v>
      </c>
      <c r="C513" t="s">
        <v>29</v>
      </c>
      <c r="E513">
        <v>63</v>
      </c>
      <c r="F513" t="s">
        <v>44</v>
      </c>
      <c r="G513" t="s">
        <v>45</v>
      </c>
      <c r="H513" t="s">
        <v>62</v>
      </c>
      <c r="I513" t="s">
        <v>140</v>
      </c>
      <c r="J513" t="s">
        <v>24</v>
      </c>
      <c r="K513">
        <v>9</v>
      </c>
      <c r="L513">
        <v>46600</v>
      </c>
      <c r="M513">
        <v>20</v>
      </c>
      <c r="N513">
        <v>335520</v>
      </c>
      <c r="O513" t="s">
        <v>40</v>
      </c>
      <c r="P513">
        <v>5</v>
      </c>
      <c r="Q513" t="s">
        <v>26</v>
      </c>
    </row>
    <row r="514" spans="1:17" x14ac:dyDescent="0.3">
      <c r="A514" t="s">
        <v>1058</v>
      </c>
      <c r="B514" t="s">
        <v>1059</v>
      </c>
      <c r="C514" t="s">
        <v>121</v>
      </c>
      <c r="D514" t="s">
        <v>39</v>
      </c>
      <c r="E514">
        <v>47</v>
      </c>
      <c r="F514" t="s">
        <v>44</v>
      </c>
      <c r="G514" t="s">
        <v>45</v>
      </c>
      <c r="H514" t="s">
        <v>32</v>
      </c>
      <c r="I514" t="s">
        <v>53</v>
      </c>
      <c r="J514" t="s">
        <v>72</v>
      </c>
      <c r="K514">
        <v>7</v>
      </c>
      <c r="L514">
        <v>28700</v>
      </c>
      <c r="M514">
        <v>20</v>
      </c>
      <c r="N514">
        <v>160720</v>
      </c>
      <c r="O514" t="s">
        <v>85</v>
      </c>
      <c r="P514">
        <v>4</v>
      </c>
      <c r="Q514" t="s">
        <v>26</v>
      </c>
    </row>
    <row r="515" spans="1:17" x14ac:dyDescent="0.3">
      <c r="A515" t="s">
        <v>1060</v>
      </c>
      <c r="B515" t="s">
        <v>1061</v>
      </c>
      <c r="C515" t="s">
        <v>38</v>
      </c>
      <c r="D515" t="s">
        <v>39</v>
      </c>
      <c r="E515">
        <v>54</v>
      </c>
      <c r="F515" t="s">
        <v>44</v>
      </c>
      <c r="G515" t="s">
        <v>45</v>
      </c>
      <c r="H515" t="s">
        <v>62</v>
      </c>
      <c r="I515" t="s">
        <v>140</v>
      </c>
      <c r="J515" t="s">
        <v>24</v>
      </c>
      <c r="K515">
        <v>4</v>
      </c>
      <c r="L515">
        <v>30500</v>
      </c>
      <c r="M515">
        <v>10</v>
      </c>
      <c r="N515">
        <v>109800</v>
      </c>
      <c r="O515" t="s">
        <v>25</v>
      </c>
      <c r="P515">
        <v>2</v>
      </c>
      <c r="Q515" t="s">
        <v>26</v>
      </c>
    </row>
    <row r="516" spans="1:17" x14ac:dyDescent="0.3">
      <c r="A516" t="s">
        <v>1062</v>
      </c>
      <c r="B516" t="s">
        <v>1063</v>
      </c>
      <c r="C516" t="s">
        <v>113</v>
      </c>
      <c r="D516" t="s">
        <v>20</v>
      </c>
      <c r="E516">
        <v>34</v>
      </c>
      <c r="F516" t="s">
        <v>220</v>
      </c>
      <c r="G516" t="s">
        <v>21</v>
      </c>
      <c r="H516" t="s">
        <v>22</v>
      </c>
      <c r="I516" t="s">
        <v>23</v>
      </c>
      <c r="J516" t="s">
        <v>34</v>
      </c>
      <c r="K516">
        <v>3</v>
      </c>
      <c r="L516">
        <v>20100</v>
      </c>
      <c r="M516">
        <v>25</v>
      </c>
      <c r="N516">
        <v>45225</v>
      </c>
      <c r="O516" t="s">
        <v>25</v>
      </c>
      <c r="Q516" t="s">
        <v>41</v>
      </c>
    </row>
    <row r="517" spans="1:17" x14ac:dyDescent="0.3">
      <c r="A517" t="s">
        <v>1064</v>
      </c>
      <c r="B517" t="s">
        <v>1039</v>
      </c>
      <c r="C517" t="s">
        <v>38</v>
      </c>
      <c r="D517" t="s">
        <v>20</v>
      </c>
      <c r="E517">
        <v>53</v>
      </c>
      <c r="F517" t="s">
        <v>44</v>
      </c>
      <c r="G517" t="s">
        <v>100</v>
      </c>
      <c r="H517" t="s">
        <v>32</v>
      </c>
      <c r="I517" t="s">
        <v>33</v>
      </c>
      <c r="J517" t="s">
        <v>24</v>
      </c>
      <c r="K517">
        <v>2</v>
      </c>
      <c r="L517">
        <v>29300</v>
      </c>
      <c r="M517">
        <v>20</v>
      </c>
      <c r="N517">
        <v>46880</v>
      </c>
      <c r="O517" t="s">
        <v>105</v>
      </c>
      <c r="P517">
        <v>1</v>
      </c>
      <c r="Q517" t="s">
        <v>41</v>
      </c>
    </row>
    <row r="518" spans="1:17" x14ac:dyDescent="0.3">
      <c r="A518" t="s">
        <v>1065</v>
      </c>
      <c r="B518" t="s">
        <v>1066</v>
      </c>
      <c r="C518" t="s">
        <v>29</v>
      </c>
      <c r="D518" t="s">
        <v>103</v>
      </c>
      <c r="E518">
        <v>64</v>
      </c>
      <c r="F518" t="s">
        <v>61</v>
      </c>
      <c r="G518" t="s">
        <v>61</v>
      </c>
      <c r="H518" t="s">
        <v>62</v>
      </c>
      <c r="I518" t="s">
        <v>63</v>
      </c>
      <c r="J518" t="s">
        <v>80</v>
      </c>
      <c r="K518">
        <v>7</v>
      </c>
      <c r="L518">
        <v>15600</v>
      </c>
      <c r="M518">
        <v>0</v>
      </c>
      <c r="N518">
        <v>109200</v>
      </c>
      <c r="O518" t="s">
        <v>48</v>
      </c>
      <c r="Q518" t="s">
        <v>65</v>
      </c>
    </row>
    <row r="519" spans="1:17" x14ac:dyDescent="0.3">
      <c r="A519" t="s">
        <v>1067</v>
      </c>
      <c r="B519" t="s">
        <v>409</v>
      </c>
      <c r="C519" t="s">
        <v>88</v>
      </c>
      <c r="D519" t="s">
        <v>83</v>
      </c>
      <c r="E519">
        <v>32</v>
      </c>
      <c r="F519" t="s">
        <v>51</v>
      </c>
      <c r="G519" t="s">
        <v>104</v>
      </c>
      <c r="H519" t="s">
        <v>22</v>
      </c>
      <c r="I519" t="s">
        <v>84</v>
      </c>
      <c r="J519" t="s">
        <v>80</v>
      </c>
      <c r="K519">
        <v>3</v>
      </c>
      <c r="L519">
        <v>7900</v>
      </c>
      <c r="M519">
        <v>5</v>
      </c>
      <c r="N519">
        <v>22515</v>
      </c>
      <c r="O519" t="s">
        <v>48</v>
      </c>
      <c r="P519">
        <v>1</v>
      </c>
      <c r="Q519" t="s">
        <v>41</v>
      </c>
    </row>
    <row r="520" spans="1:17" x14ac:dyDescent="0.3">
      <c r="A520" t="s">
        <v>1068</v>
      </c>
      <c r="B520" t="s">
        <v>1069</v>
      </c>
      <c r="C520" t="s">
        <v>88</v>
      </c>
      <c r="E520">
        <v>45</v>
      </c>
      <c r="F520" t="s">
        <v>21</v>
      </c>
      <c r="G520" t="s">
        <v>21</v>
      </c>
      <c r="H520" t="s">
        <v>62</v>
      </c>
      <c r="I520" t="s">
        <v>63</v>
      </c>
      <c r="J520" t="s">
        <v>72</v>
      </c>
      <c r="K520" t="s">
        <v>184</v>
      </c>
      <c r="L520">
        <v>4800</v>
      </c>
      <c r="M520">
        <v>5</v>
      </c>
      <c r="N520">
        <v>22800</v>
      </c>
      <c r="O520" t="s">
        <v>40</v>
      </c>
      <c r="Q520" t="s">
        <v>26</v>
      </c>
    </row>
    <row r="521" spans="1:17" x14ac:dyDescent="0.3">
      <c r="A521" t="s">
        <v>1070</v>
      </c>
      <c r="B521" t="s">
        <v>660</v>
      </c>
      <c r="C521" t="s">
        <v>60</v>
      </c>
      <c r="D521" t="s">
        <v>83</v>
      </c>
      <c r="E521">
        <v>31</v>
      </c>
      <c r="F521" t="s">
        <v>51</v>
      </c>
      <c r="G521" t="s">
        <v>52</v>
      </c>
      <c r="H521" t="s">
        <v>22</v>
      </c>
      <c r="I521" t="s">
        <v>84</v>
      </c>
      <c r="J521" t="s">
        <v>72</v>
      </c>
      <c r="K521">
        <v>4</v>
      </c>
      <c r="L521">
        <v>47600</v>
      </c>
      <c r="M521">
        <v>5</v>
      </c>
      <c r="N521">
        <v>180880</v>
      </c>
      <c r="O521" t="s">
        <v>25</v>
      </c>
      <c r="P521">
        <v>5</v>
      </c>
      <c r="Q521" t="s">
        <v>26</v>
      </c>
    </row>
    <row r="522" spans="1:17" x14ac:dyDescent="0.3">
      <c r="A522" t="s">
        <v>1071</v>
      </c>
      <c r="B522" t="s">
        <v>862</v>
      </c>
      <c r="C522" t="s">
        <v>113</v>
      </c>
      <c r="D522" t="s">
        <v>83</v>
      </c>
      <c r="E522">
        <v>61</v>
      </c>
      <c r="F522" t="s">
        <v>61</v>
      </c>
      <c r="G522" t="s">
        <v>61</v>
      </c>
      <c r="H522" t="s">
        <v>22</v>
      </c>
      <c r="I522" t="s">
        <v>23</v>
      </c>
      <c r="J522" t="s">
        <v>34</v>
      </c>
      <c r="K522" t="s">
        <v>1072</v>
      </c>
      <c r="L522">
        <v>44200</v>
      </c>
      <c r="M522">
        <v>15</v>
      </c>
      <c r="N522">
        <v>300560</v>
      </c>
      <c r="O522" t="s">
        <v>162</v>
      </c>
      <c r="P522">
        <v>5</v>
      </c>
      <c r="Q522" t="s">
        <v>74</v>
      </c>
    </row>
    <row r="523" spans="1:17" x14ac:dyDescent="0.3">
      <c r="A523" t="s">
        <v>1073</v>
      </c>
      <c r="B523" t="s">
        <v>1074</v>
      </c>
      <c r="C523" t="s">
        <v>19</v>
      </c>
      <c r="D523" t="s">
        <v>39</v>
      </c>
      <c r="E523">
        <v>19</v>
      </c>
      <c r="F523" t="s">
        <v>77</v>
      </c>
      <c r="G523" t="s">
        <v>78</v>
      </c>
      <c r="H523" t="s">
        <v>32</v>
      </c>
      <c r="I523" t="s">
        <v>53</v>
      </c>
      <c r="J523" t="s">
        <v>34</v>
      </c>
      <c r="K523">
        <v>1</v>
      </c>
      <c r="L523">
        <v>28200</v>
      </c>
      <c r="M523">
        <v>25</v>
      </c>
      <c r="N523">
        <v>21150</v>
      </c>
      <c r="O523" t="s">
        <v>40</v>
      </c>
      <c r="Q523" t="s">
        <v>26</v>
      </c>
    </row>
    <row r="524" spans="1:17" x14ac:dyDescent="0.3">
      <c r="A524" t="s">
        <v>1075</v>
      </c>
      <c r="B524" t="s">
        <v>1076</v>
      </c>
      <c r="C524" t="s">
        <v>121</v>
      </c>
      <c r="D524" t="s">
        <v>39</v>
      </c>
      <c r="E524">
        <v>38</v>
      </c>
      <c r="F524" t="s">
        <v>56</v>
      </c>
      <c r="G524" t="s">
        <v>57</v>
      </c>
      <c r="H524" t="s">
        <v>62</v>
      </c>
      <c r="I524" t="s">
        <v>63</v>
      </c>
      <c r="J524" t="s">
        <v>72</v>
      </c>
      <c r="K524">
        <v>1</v>
      </c>
      <c r="L524">
        <v>29700</v>
      </c>
      <c r="M524">
        <v>10</v>
      </c>
      <c r="N524">
        <v>26730</v>
      </c>
      <c r="O524" t="s">
        <v>73</v>
      </c>
      <c r="P524">
        <v>5</v>
      </c>
      <c r="Q524" t="s">
        <v>74</v>
      </c>
    </row>
    <row r="525" spans="1:17" x14ac:dyDescent="0.3">
      <c r="A525" t="s">
        <v>1077</v>
      </c>
      <c r="B525" t="s">
        <v>1078</v>
      </c>
      <c r="C525" t="s">
        <v>113</v>
      </c>
      <c r="D525" t="s">
        <v>83</v>
      </c>
      <c r="E525">
        <v>63</v>
      </c>
      <c r="F525" t="s">
        <v>220</v>
      </c>
      <c r="G525" t="s">
        <v>21</v>
      </c>
      <c r="H525" t="s">
        <v>22</v>
      </c>
      <c r="I525" t="s">
        <v>84</v>
      </c>
      <c r="J525" t="s">
        <v>24</v>
      </c>
      <c r="K525">
        <v>6</v>
      </c>
      <c r="L525">
        <v>39600</v>
      </c>
      <c r="M525">
        <v>15</v>
      </c>
      <c r="N525">
        <v>201960</v>
      </c>
      <c r="O525" t="s">
        <v>73</v>
      </c>
      <c r="Q525" t="s">
        <v>65</v>
      </c>
    </row>
    <row r="526" spans="1:17" x14ac:dyDescent="0.3">
      <c r="A526" t="s">
        <v>1079</v>
      </c>
      <c r="B526" t="s">
        <v>1080</v>
      </c>
      <c r="C526" t="s">
        <v>68</v>
      </c>
      <c r="E526">
        <v>62</v>
      </c>
      <c r="F526" t="s">
        <v>61</v>
      </c>
      <c r="G526" t="s">
        <v>61</v>
      </c>
      <c r="H526" t="s">
        <v>46</v>
      </c>
      <c r="I526" t="s">
        <v>79</v>
      </c>
      <c r="J526" t="s">
        <v>64</v>
      </c>
      <c r="K526">
        <v>1</v>
      </c>
      <c r="L526">
        <v>19200</v>
      </c>
      <c r="M526">
        <v>5</v>
      </c>
      <c r="N526">
        <v>18240</v>
      </c>
      <c r="O526" t="s">
        <v>73</v>
      </c>
      <c r="P526">
        <v>5</v>
      </c>
      <c r="Q526" t="s">
        <v>41</v>
      </c>
    </row>
    <row r="527" spans="1:17" x14ac:dyDescent="0.3">
      <c r="A527" t="s">
        <v>1081</v>
      </c>
      <c r="B527" t="s">
        <v>1082</v>
      </c>
      <c r="C527" t="s">
        <v>38</v>
      </c>
      <c r="E527">
        <v>53</v>
      </c>
      <c r="F527" t="s">
        <v>21</v>
      </c>
      <c r="G527" t="s">
        <v>21</v>
      </c>
      <c r="H527" t="s">
        <v>22</v>
      </c>
      <c r="I527" t="s">
        <v>23</v>
      </c>
      <c r="J527" t="s">
        <v>24</v>
      </c>
      <c r="K527">
        <v>9</v>
      </c>
      <c r="L527">
        <v>22900</v>
      </c>
      <c r="M527">
        <v>15</v>
      </c>
      <c r="N527">
        <v>175185</v>
      </c>
      <c r="O527" t="s">
        <v>48</v>
      </c>
      <c r="Q527" t="s">
        <v>41</v>
      </c>
    </row>
    <row r="528" spans="1:17" x14ac:dyDescent="0.3">
      <c r="A528" t="s">
        <v>1083</v>
      </c>
      <c r="B528" t="s">
        <v>1084</v>
      </c>
      <c r="C528" t="s">
        <v>121</v>
      </c>
      <c r="D528" t="s">
        <v>83</v>
      </c>
      <c r="E528">
        <v>61</v>
      </c>
      <c r="F528" t="s">
        <v>503</v>
      </c>
      <c r="G528" t="s">
        <v>31</v>
      </c>
      <c r="H528" t="s">
        <v>62</v>
      </c>
      <c r="I528" t="s">
        <v>63</v>
      </c>
      <c r="J528" t="s">
        <v>80</v>
      </c>
      <c r="K528">
        <v>7</v>
      </c>
      <c r="L528">
        <v>34700</v>
      </c>
      <c r="M528">
        <v>0</v>
      </c>
      <c r="N528">
        <v>242900</v>
      </c>
      <c r="O528" t="s">
        <v>40</v>
      </c>
      <c r="P528">
        <v>2</v>
      </c>
      <c r="Q528" t="s">
        <v>41</v>
      </c>
    </row>
    <row r="529" spans="1:17" x14ac:dyDescent="0.3">
      <c r="A529" t="s">
        <v>1085</v>
      </c>
      <c r="B529" t="s">
        <v>1086</v>
      </c>
      <c r="C529" t="s">
        <v>60</v>
      </c>
      <c r="D529" t="s">
        <v>20</v>
      </c>
      <c r="E529">
        <v>44</v>
      </c>
      <c r="F529" t="s">
        <v>44</v>
      </c>
      <c r="G529" t="s">
        <v>45</v>
      </c>
      <c r="H529" t="s">
        <v>22</v>
      </c>
      <c r="I529" t="s">
        <v>23</v>
      </c>
      <c r="J529" t="s">
        <v>80</v>
      </c>
      <c r="K529">
        <v>2</v>
      </c>
      <c r="L529">
        <v>25900</v>
      </c>
      <c r="M529">
        <v>20</v>
      </c>
      <c r="N529">
        <v>41440</v>
      </c>
      <c r="O529" t="s">
        <v>48</v>
      </c>
      <c r="P529">
        <v>5</v>
      </c>
      <c r="Q529" t="s">
        <v>41</v>
      </c>
    </row>
    <row r="530" spans="1:17" x14ac:dyDescent="0.3">
      <c r="A530" t="s">
        <v>1087</v>
      </c>
      <c r="B530" t="s">
        <v>1088</v>
      </c>
      <c r="C530" t="s">
        <v>94</v>
      </c>
      <c r="D530" t="s">
        <v>83</v>
      </c>
      <c r="E530">
        <v>34</v>
      </c>
      <c r="F530" t="s">
        <v>77</v>
      </c>
      <c r="G530" t="s">
        <v>95</v>
      </c>
      <c r="H530" t="s">
        <v>110</v>
      </c>
      <c r="I530" t="s">
        <v>33</v>
      </c>
      <c r="J530" t="s">
        <v>80</v>
      </c>
      <c r="K530">
        <v>10</v>
      </c>
      <c r="L530">
        <v>44400</v>
      </c>
      <c r="M530">
        <v>20</v>
      </c>
      <c r="N530">
        <v>355200</v>
      </c>
      <c r="O530" t="s">
        <v>25</v>
      </c>
      <c r="Q530" t="s">
        <v>65</v>
      </c>
    </row>
    <row r="531" spans="1:17" x14ac:dyDescent="0.3">
      <c r="A531" t="s">
        <v>1089</v>
      </c>
      <c r="B531" t="s">
        <v>1090</v>
      </c>
      <c r="C531" t="s">
        <v>38</v>
      </c>
      <c r="D531" t="s">
        <v>39</v>
      </c>
      <c r="E531">
        <v>38</v>
      </c>
      <c r="F531" t="s">
        <v>77</v>
      </c>
      <c r="G531" t="s">
        <v>95</v>
      </c>
      <c r="H531" t="s">
        <v>62</v>
      </c>
      <c r="I531" t="s">
        <v>63</v>
      </c>
      <c r="J531" t="s">
        <v>72</v>
      </c>
      <c r="K531">
        <v>3</v>
      </c>
      <c r="L531">
        <v>47200</v>
      </c>
      <c r="M531">
        <v>15</v>
      </c>
      <c r="N531">
        <v>120360</v>
      </c>
      <c r="O531" t="s">
        <v>48</v>
      </c>
      <c r="P531">
        <v>1</v>
      </c>
      <c r="Q531" t="s">
        <v>65</v>
      </c>
    </row>
    <row r="532" spans="1:17" x14ac:dyDescent="0.3">
      <c r="A532" t="s">
        <v>1091</v>
      </c>
      <c r="B532" t="s">
        <v>238</v>
      </c>
      <c r="C532" t="s">
        <v>88</v>
      </c>
      <c r="E532">
        <v>39</v>
      </c>
      <c r="F532" t="s">
        <v>30</v>
      </c>
      <c r="G532" t="s">
        <v>31</v>
      </c>
      <c r="H532" t="s">
        <v>62</v>
      </c>
      <c r="I532" t="s">
        <v>140</v>
      </c>
      <c r="J532" t="s">
        <v>89</v>
      </c>
      <c r="K532">
        <v>8</v>
      </c>
      <c r="L532">
        <v>4100</v>
      </c>
      <c r="M532">
        <v>0</v>
      </c>
      <c r="N532">
        <v>32800</v>
      </c>
      <c r="O532" t="s">
        <v>105</v>
      </c>
      <c r="Q532" t="s">
        <v>26</v>
      </c>
    </row>
    <row r="533" spans="1:17" x14ac:dyDescent="0.3">
      <c r="A533" t="s">
        <v>1092</v>
      </c>
      <c r="B533" t="s">
        <v>1093</v>
      </c>
      <c r="C533" t="s">
        <v>88</v>
      </c>
      <c r="D533" t="s">
        <v>20</v>
      </c>
      <c r="E533">
        <v>26</v>
      </c>
      <c r="F533" t="s">
        <v>51</v>
      </c>
      <c r="G533" t="s">
        <v>52</v>
      </c>
      <c r="H533" t="s">
        <v>22</v>
      </c>
      <c r="I533" t="s">
        <v>23</v>
      </c>
      <c r="J533" t="s">
        <v>64</v>
      </c>
      <c r="K533">
        <v>4</v>
      </c>
      <c r="L533">
        <v>24900</v>
      </c>
      <c r="M533">
        <v>5</v>
      </c>
      <c r="N533">
        <v>94620</v>
      </c>
      <c r="O533" t="s">
        <v>105</v>
      </c>
      <c r="P533">
        <v>1</v>
      </c>
      <c r="Q533" t="s">
        <v>65</v>
      </c>
    </row>
    <row r="534" spans="1:17" x14ac:dyDescent="0.3">
      <c r="A534" t="s">
        <v>1094</v>
      </c>
      <c r="B534" t="s">
        <v>1095</v>
      </c>
      <c r="C534" t="s">
        <v>71</v>
      </c>
      <c r="D534" t="s">
        <v>83</v>
      </c>
      <c r="E534">
        <v>36</v>
      </c>
      <c r="F534" t="s">
        <v>61</v>
      </c>
      <c r="G534" t="s">
        <v>61</v>
      </c>
      <c r="H534" t="s">
        <v>22</v>
      </c>
      <c r="I534" t="s">
        <v>84</v>
      </c>
      <c r="J534" t="s">
        <v>80</v>
      </c>
      <c r="K534">
        <v>5</v>
      </c>
      <c r="L534">
        <v>3800</v>
      </c>
      <c r="M534">
        <v>15</v>
      </c>
      <c r="N534">
        <v>16150</v>
      </c>
      <c r="O534" t="s">
        <v>40</v>
      </c>
      <c r="Q534" t="s">
        <v>74</v>
      </c>
    </row>
    <row r="535" spans="1:17" x14ac:dyDescent="0.3">
      <c r="A535" t="s">
        <v>1096</v>
      </c>
      <c r="B535" t="s">
        <v>1097</v>
      </c>
      <c r="C535" t="s">
        <v>113</v>
      </c>
      <c r="D535" t="s">
        <v>83</v>
      </c>
      <c r="E535">
        <v>36</v>
      </c>
      <c r="F535" t="s">
        <v>30</v>
      </c>
      <c r="G535" t="s">
        <v>31</v>
      </c>
      <c r="H535" t="s">
        <v>22</v>
      </c>
      <c r="I535" t="s">
        <v>84</v>
      </c>
      <c r="J535" t="s">
        <v>89</v>
      </c>
      <c r="K535">
        <v>1</v>
      </c>
      <c r="L535">
        <v>42000</v>
      </c>
      <c r="M535">
        <v>5</v>
      </c>
      <c r="N535">
        <v>39900</v>
      </c>
      <c r="O535" t="s">
        <v>73</v>
      </c>
      <c r="Q535" t="s">
        <v>26</v>
      </c>
    </row>
    <row r="536" spans="1:17" x14ac:dyDescent="0.3">
      <c r="A536" t="s">
        <v>1098</v>
      </c>
      <c r="B536" t="s">
        <v>774</v>
      </c>
      <c r="C536" t="s">
        <v>113</v>
      </c>
      <c r="D536" t="s">
        <v>103</v>
      </c>
      <c r="E536">
        <v>50</v>
      </c>
      <c r="F536" t="s">
        <v>21</v>
      </c>
      <c r="G536" t="s">
        <v>21</v>
      </c>
      <c r="H536" t="s">
        <v>32</v>
      </c>
      <c r="I536" t="s">
        <v>33</v>
      </c>
      <c r="J536" t="s">
        <v>64</v>
      </c>
      <c r="K536">
        <v>10</v>
      </c>
      <c r="L536">
        <v>17700</v>
      </c>
      <c r="M536">
        <v>25</v>
      </c>
      <c r="N536">
        <v>132750</v>
      </c>
      <c r="O536" t="s">
        <v>48</v>
      </c>
      <c r="P536">
        <v>1</v>
      </c>
      <c r="Q536" t="s">
        <v>41</v>
      </c>
    </row>
    <row r="537" spans="1:17" x14ac:dyDescent="0.3">
      <c r="A537" t="s">
        <v>1099</v>
      </c>
      <c r="B537" t="s">
        <v>139</v>
      </c>
      <c r="C537" t="s">
        <v>29</v>
      </c>
      <c r="D537" t="s">
        <v>103</v>
      </c>
      <c r="E537">
        <v>45</v>
      </c>
      <c r="F537" t="s">
        <v>427</v>
      </c>
      <c r="G537" t="s">
        <v>95</v>
      </c>
      <c r="H537" t="s">
        <v>32</v>
      </c>
      <c r="I537" t="s">
        <v>53</v>
      </c>
      <c r="J537" t="s">
        <v>89</v>
      </c>
      <c r="K537">
        <v>1</v>
      </c>
      <c r="L537">
        <v>10000</v>
      </c>
      <c r="M537">
        <v>10</v>
      </c>
      <c r="N537" t="s">
        <v>1100</v>
      </c>
      <c r="O537" t="s">
        <v>73</v>
      </c>
      <c r="P537">
        <v>4</v>
      </c>
      <c r="Q537" t="s">
        <v>74</v>
      </c>
    </row>
    <row r="538" spans="1:17" x14ac:dyDescent="0.3">
      <c r="A538" t="s">
        <v>1101</v>
      </c>
      <c r="B538" t="s">
        <v>1102</v>
      </c>
      <c r="C538" t="s">
        <v>19</v>
      </c>
      <c r="E538">
        <v>59</v>
      </c>
      <c r="F538" t="s">
        <v>277</v>
      </c>
      <c r="G538" t="s">
        <v>100</v>
      </c>
      <c r="H538" t="s">
        <v>431</v>
      </c>
      <c r="I538" t="s">
        <v>47</v>
      </c>
      <c r="J538" t="s">
        <v>89</v>
      </c>
      <c r="K538">
        <v>5</v>
      </c>
      <c r="L538">
        <v>15200</v>
      </c>
      <c r="M538">
        <v>25</v>
      </c>
      <c r="N538">
        <v>57000</v>
      </c>
      <c r="O538" t="s">
        <v>105</v>
      </c>
      <c r="P538">
        <v>1</v>
      </c>
      <c r="Q538" t="s">
        <v>26</v>
      </c>
    </row>
    <row r="539" spans="1:17" x14ac:dyDescent="0.3">
      <c r="A539" t="s">
        <v>1103</v>
      </c>
      <c r="B539" t="s">
        <v>787</v>
      </c>
      <c r="C539" t="s">
        <v>60</v>
      </c>
      <c r="D539" t="s">
        <v>39</v>
      </c>
      <c r="E539">
        <v>25</v>
      </c>
      <c r="F539" t="s">
        <v>77</v>
      </c>
      <c r="G539" t="s">
        <v>95</v>
      </c>
      <c r="H539" t="s">
        <v>46</v>
      </c>
      <c r="I539" t="s">
        <v>79</v>
      </c>
      <c r="J539" t="s">
        <v>89</v>
      </c>
      <c r="K539">
        <v>8</v>
      </c>
      <c r="L539">
        <v>24400</v>
      </c>
      <c r="M539">
        <v>10</v>
      </c>
      <c r="N539">
        <v>175680</v>
      </c>
      <c r="O539" t="s">
        <v>105</v>
      </c>
      <c r="P539">
        <v>3</v>
      </c>
      <c r="Q539" t="s">
        <v>26</v>
      </c>
    </row>
    <row r="540" spans="1:17" x14ac:dyDescent="0.3">
      <c r="A540" t="s">
        <v>1104</v>
      </c>
      <c r="B540" t="s">
        <v>1084</v>
      </c>
      <c r="C540" t="s">
        <v>29</v>
      </c>
      <c r="D540" t="s">
        <v>83</v>
      </c>
      <c r="E540">
        <v>-3</v>
      </c>
      <c r="F540" t="s">
        <v>44</v>
      </c>
      <c r="G540" t="s">
        <v>100</v>
      </c>
      <c r="H540" t="s">
        <v>62</v>
      </c>
      <c r="I540" t="s">
        <v>140</v>
      </c>
      <c r="J540" t="s">
        <v>24</v>
      </c>
      <c r="K540">
        <v>4</v>
      </c>
      <c r="L540">
        <v>14400</v>
      </c>
      <c r="M540">
        <v>10</v>
      </c>
      <c r="N540">
        <v>51840</v>
      </c>
      <c r="O540" t="s">
        <v>40</v>
      </c>
      <c r="P540">
        <v>1</v>
      </c>
      <c r="Q540" t="s">
        <v>74</v>
      </c>
    </row>
    <row r="541" spans="1:17" x14ac:dyDescent="0.3">
      <c r="A541" t="s">
        <v>1105</v>
      </c>
      <c r="B541" t="s">
        <v>1106</v>
      </c>
      <c r="C541" t="s">
        <v>38</v>
      </c>
      <c r="D541" t="s">
        <v>103</v>
      </c>
      <c r="E541">
        <v>64</v>
      </c>
      <c r="F541" t="s">
        <v>77</v>
      </c>
      <c r="G541" t="s">
        <v>78</v>
      </c>
      <c r="H541" t="s">
        <v>32</v>
      </c>
      <c r="I541" t="s">
        <v>33</v>
      </c>
      <c r="J541" t="s">
        <v>80</v>
      </c>
      <c r="K541">
        <v>5</v>
      </c>
      <c r="L541">
        <v>15000</v>
      </c>
      <c r="M541">
        <v>20</v>
      </c>
      <c r="N541">
        <v>60000</v>
      </c>
      <c r="O541" t="s">
        <v>48</v>
      </c>
      <c r="P541">
        <v>4</v>
      </c>
      <c r="Q541" t="s">
        <v>41</v>
      </c>
    </row>
    <row r="542" spans="1:17" x14ac:dyDescent="0.3">
      <c r="A542" t="s">
        <v>1107</v>
      </c>
      <c r="B542" t="s">
        <v>1108</v>
      </c>
      <c r="C542" t="s">
        <v>29</v>
      </c>
      <c r="D542" t="s">
        <v>39</v>
      </c>
      <c r="E542">
        <v>53</v>
      </c>
      <c r="F542" t="s">
        <v>30</v>
      </c>
      <c r="G542" t="s">
        <v>31</v>
      </c>
      <c r="H542" t="s">
        <v>22</v>
      </c>
      <c r="I542" t="s">
        <v>84</v>
      </c>
      <c r="J542" t="s">
        <v>34</v>
      </c>
      <c r="K542">
        <v>7</v>
      </c>
      <c r="L542">
        <v>19900</v>
      </c>
      <c r="M542">
        <v>0</v>
      </c>
      <c r="N542">
        <v>139300</v>
      </c>
      <c r="O542" t="s">
        <v>25</v>
      </c>
      <c r="Q542" t="s">
        <v>65</v>
      </c>
    </row>
    <row r="543" spans="1:17" x14ac:dyDescent="0.3">
      <c r="A543" t="s">
        <v>1109</v>
      </c>
      <c r="B543" t="s">
        <v>1110</v>
      </c>
      <c r="C543" t="s">
        <v>60</v>
      </c>
      <c r="D543" t="s">
        <v>39</v>
      </c>
      <c r="E543">
        <v>43</v>
      </c>
      <c r="F543" t="s">
        <v>44</v>
      </c>
      <c r="G543" t="s">
        <v>45</v>
      </c>
      <c r="H543" t="s">
        <v>46</v>
      </c>
      <c r="I543" t="s">
        <v>79</v>
      </c>
      <c r="J543" t="s">
        <v>89</v>
      </c>
      <c r="K543">
        <v>4</v>
      </c>
      <c r="L543">
        <v>38700</v>
      </c>
      <c r="M543">
        <v>0</v>
      </c>
      <c r="N543">
        <v>154800</v>
      </c>
      <c r="O543" t="s">
        <v>25</v>
      </c>
      <c r="P543">
        <v>2</v>
      </c>
      <c r="Q543" t="s">
        <v>26</v>
      </c>
    </row>
    <row r="544" spans="1:17" x14ac:dyDescent="0.3">
      <c r="A544" t="s">
        <v>1111</v>
      </c>
      <c r="B544" t="s">
        <v>1112</v>
      </c>
      <c r="C544" t="s">
        <v>71</v>
      </c>
      <c r="D544" t="s">
        <v>20</v>
      </c>
      <c r="E544">
        <v>55</v>
      </c>
      <c r="F544" t="s">
        <v>77</v>
      </c>
      <c r="G544" t="s">
        <v>78</v>
      </c>
      <c r="H544" t="s">
        <v>46</v>
      </c>
      <c r="I544" t="s">
        <v>79</v>
      </c>
      <c r="J544" t="s">
        <v>34</v>
      </c>
      <c r="K544" t="s">
        <v>562</v>
      </c>
      <c r="L544">
        <v>45800</v>
      </c>
      <c r="M544">
        <v>10</v>
      </c>
      <c r="N544">
        <v>164880</v>
      </c>
      <c r="O544" t="s">
        <v>25</v>
      </c>
      <c r="Q544" t="s">
        <v>41</v>
      </c>
    </row>
    <row r="545" spans="1:17" x14ac:dyDescent="0.3">
      <c r="A545" t="s">
        <v>1113</v>
      </c>
      <c r="B545" t="s">
        <v>1114</v>
      </c>
      <c r="C545" t="s">
        <v>29</v>
      </c>
      <c r="E545">
        <v>58</v>
      </c>
      <c r="F545" t="s">
        <v>51</v>
      </c>
      <c r="G545" t="s">
        <v>52</v>
      </c>
      <c r="H545" t="s">
        <v>431</v>
      </c>
      <c r="I545" t="s">
        <v>47</v>
      </c>
      <c r="J545" t="s">
        <v>64</v>
      </c>
      <c r="K545">
        <v>6</v>
      </c>
      <c r="L545">
        <v>32800</v>
      </c>
      <c r="M545">
        <v>25</v>
      </c>
      <c r="N545">
        <v>147600</v>
      </c>
      <c r="O545" t="s">
        <v>35</v>
      </c>
      <c r="P545">
        <v>5</v>
      </c>
      <c r="Q545" t="s">
        <v>74</v>
      </c>
    </row>
    <row r="546" spans="1:17" x14ac:dyDescent="0.3">
      <c r="A546" t="s">
        <v>1115</v>
      </c>
      <c r="B546" t="s">
        <v>1116</v>
      </c>
      <c r="C546" t="s">
        <v>19</v>
      </c>
      <c r="E546">
        <v>47</v>
      </c>
      <c r="F546" t="s">
        <v>440</v>
      </c>
      <c r="G546" t="s">
        <v>61</v>
      </c>
      <c r="H546" t="s">
        <v>62</v>
      </c>
      <c r="I546" t="s">
        <v>63</v>
      </c>
      <c r="J546" t="s">
        <v>89</v>
      </c>
      <c r="K546">
        <v>5</v>
      </c>
      <c r="L546">
        <v>43200</v>
      </c>
      <c r="M546">
        <v>20</v>
      </c>
      <c r="N546">
        <v>172800</v>
      </c>
      <c r="O546" t="s">
        <v>73</v>
      </c>
      <c r="P546">
        <v>5</v>
      </c>
      <c r="Q546" t="s">
        <v>26</v>
      </c>
    </row>
    <row r="547" spans="1:17" x14ac:dyDescent="0.3">
      <c r="A547" t="s">
        <v>1117</v>
      </c>
      <c r="B547" t="s">
        <v>1118</v>
      </c>
      <c r="C547" t="s">
        <v>38</v>
      </c>
      <c r="D547" t="s">
        <v>103</v>
      </c>
      <c r="E547">
        <v>32</v>
      </c>
      <c r="F547" t="s">
        <v>77</v>
      </c>
      <c r="G547" t="s">
        <v>78</v>
      </c>
      <c r="H547" t="s">
        <v>32</v>
      </c>
      <c r="I547" t="s">
        <v>33</v>
      </c>
      <c r="J547" t="s">
        <v>72</v>
      </c>
      <c r="K547">
        <v>5</v>
      </c>
      <c r="L547">
        <v>3100</v>
      </c>
      <c r="M547">
        <v>15</v>
      </c>
      <c r="N547">
        <v>13175</v>
      </c>
      <c r="O547" t="s">
        <v>73</v>
      </c>
      <c r="P547">
        <v>5</v>
      </c>
      <c r="Q547" t="s">
        <v>26</v>
      </c>
    </row>
    <row r="548" spans="1:17" x14ac:dyDescent="0.3">
      <c r="A548" t="s">
        <v>1119</v>
      </c>
      <c r="B548" t="s">
        <v>1120</v>
      </c>
      <c r="C548" t="s">
        <v>60</v>
      </c>
      <c r="D548" t="s">
        <v>103</v>
      </c>
      <c r="E548">
        <v>150</v>
      </c>
      <c r="F548" t="s">
        <v>30</v>
      </c>
      <c r="G548" t="s">
        <v>57</v>
      </c>
      <c r="H548" t="s">
        <v>22</v>
      </c>
      <c r="I548" t="s">
        <v>84</v>
      </c>
      <c r="J548" t="s">
        <v>64</v>
      </c>
      <c r="K548">
        <v>1</v>
      </c>
      <c r="L548">
        <v>38700</v>
      </c>
      <c r="M548">
        <v>5</v>
      </c>
      <c r="N548">
        <v>36765</v>
      </c>
      <c r="O548" t="s">
        <v>35</v>
      </c>
      <c r="P548">
        <v>5</v>
      </c>
      <c r="Q548" t="s">
        <v>74</v>
      </c>
    </row>
    <row r="549" spans="1:17" x14ac:dyDescent="0.3">
      <c r="A549" t="s">
        <v>1121</v>
      </c>
      <c r="B549" t="s">
        <v>1014</v>
      </c>
      <c r="C549" t="s">
        <v>71</v>
      </c>
      <c r="D549" t="s">
        <v>103</v>
      </c>
      <c r="E549">
        <v>28</v>
      </c>
      <c r="F549" t="s">
        <v>1122</v>
      </c>
      <c r="G549" t="s">
        <v>95</v>
      </c>
      <c r="H549" t="s">
        <v>116</v>
      </c>
      <c r="I549" t="s">
        <v>84</v>
      </c>
      <c r="J549" t="s">
        <v>89</v>
      </c>
      <c r="K549">
        <v>2</v>
      </c>
      <c r="L549">
        <v>4200</v>
      </c>
      <c r="M549">
        <v>20</v>
      </c>
      <c r="N549">
        <v>6720</v>
      </c>
      <c r="O549" t="s">
        <v>35</v>
      </c>
      <c r="P549">
        <v>5</v>
      </c>
      <c r="Q549" t="s">
        <v>41</v>
      </c>
    </row>
    <row r="550" spans="1:17" x14ac:dyDescent="0.3">
      <c r="A550" t="s">
        <v>1123</v>
      </c>
      <c r="B550" t="s">
        <v>1124</v>
      </c>
      <c r="C550" t="s">
        <v>94</v>
      </c>
      <c r="D550" t="s">
        <v>103</v>
      </c>
      <c r="E550">
        <v>59</v>
      </c>
      <c r="F550" t="s">
        <v>51</v>
      </c>
      <c r="G550" t="s">
        <v>104</v>
      </c>
      <c r="H550" t="s">
        <v>22</v>
      </c>
      <c r="I550" t="s">
        <v>84</v>
      </c>
      <c r="J550" t="s">
        <v>34</v>
      </c>
      <c r="K550">
        <v>7</v>
      </c>
      <c r="L550">
        <v>41200</v>
      </c>
      <c r="M550">
        <v>25</v>
      </c>
      <c r="N550">
        <v>216300</v>
      </c>
      <c r="O550" t="s">
        <v>35</v>
      </c>
      <c r="Q550" t="s">
        <v>74</v>
      </c>
    </row>
    <row r="551" spans="1:17" x14ac:dyDescent="0.3">
      <c r="A551" t="s">
        <v>1125</v>
      </c>
      <c r="B551" t="s">
        <v>513</v>
      </c>
      <c r="C551" t="s">
        <v>29</v>
      </c>
      <c r="D551" t="s">
        <v>20</v>
      </c>
      <c r="E551">
        <v>54</v>
      </c>
      <c r="F551" t="s">
        <v>44</v>
      </c>
      <c r="G551" t="s">
        <v>45</v>
      </c>
      <c r="H551" t="s">
        <v>32</v>
      </c>
      <c r="I551" t="s">
        <v>53</v>
      </c>
      <c r="J551" t="s">
        <v>24</v>
      </c>
      <c r="K551">
        <v>4</v>
      </c>
      <c r="L551">
        <v>14000</v>
      </c>
      <c r="M551">
        <v>10</v>
      </c>
      <c r="N551">
        <v>50400</v>
      </c>
      <c r="O551" t="s">
        <v>105</v>
      </c>
      <c r="P551">
        <v>2</v>
      </c>
      <c r="Q551" t="s">
        <v>26</v>
      </c>
    </row>
    <row r="552" spans="1:17" x14ac:dyDescent="0.3">
      <c r="A552" t="s">
        <v>1126</v>
      </c>
      <c r="B552" t="s">
        <v>301</v>
      </c>
      <c r="C552" t="s">
        <v>88</v>
      </c>
      <c r="D552" t="s">
        <v>83</v>
      </c>
      <c r="E552">
        <v>55</v>
      </c>
      <c r="F552" t="s">
        <v>61</v>
      </c>
      <c r="G552" t="s">
        <v>61</v>
      </c>
      <c r="H552" t="s">
        <v>46</v>
      </c>
      <c r="I552" t="s">
        <v>47</v>
      </c>
      <c r="J552" t="s">
        <v>89</v>
      </c>
      <c r="K552">
        <v>2</v>
      </c>
      <c r="L552">
        <v>14200</v>
      </c>
      <c r="M552">
        <v>0</v>
      </c>
      <c r="N552">
        <v>28400</v>
      </c>
      <c r="O552" t="s">
        <v>25</v>
      </c>
      <c r="P552">
        <v>3</v>
      </c>
      <c r="Q552" t="s">
        <v>26</v>
      </c>
    </row>
    <row r="553" spans="1:17" x14ac:dyDescent="0.3">
      <c r="A553" t="s">
        <v>1127</v>
      </c>
      <c r="B553" t="s">
        <v>635</v>
      </c>
      <c r="C553" t="s">
        <v>29</v>
      </c>
      <c r="E553">
        <v>24</v>
      </c>
      <c r="F553" t="s">
        <v>51</v>
      </c>
      <c r="G553" t="s">
        <v>104</v>
      </c>
      <c r="H553" t="s">
        <v>22</v>
      </c>
      <c r="I553" t="s">
        <v>23</v>
      </c>
      <c r="J553" t="s">
        <v>80</v>
      </c>
      <c r="K553">
        <v>3</v>
      </c>
      <c r="L553">
        <v>9900</v>
      </c>
      <c r="M553">
        <v>0</v>
      </c>
      <c r="N553">
        <v>29700</v>
      </c>
      <c r="O553" t="s">
        <v>105</v>
      </c>
      <c r="Q553" t="s">
        <v>74</v>
      </c>
    </row>
    <row r="554" spans="1:17" x14ac:dyDescent="0.3">
      <c r="A554" t="s">
        <v>1128</v>
      </c>
      <c r="B554" t="s">
        <v>1129</v>
      </c>
      <c r="C554" t="s">
        <v>29</v>
      </c>
      <c r="D554" t="s">
        <v>20</v>
      </c>
      <c r="E554">
        <v>-3</v>
      </c>
      <c r="F554" t="s">
        <v>44</v>
      </c>
      <c r="G554" t="s">
        <v>100</v>
      </c>
      <c r="H554" t="s">
        <v>32</v>
      </c>
      <c r="I554" t="s">
        <v>53</v>
      </c>
      <c r="J554" t="s">
        <v>34</v>
      </c>
      <c r="K554">
        <v>6</v>
      </c>
      <c r="L554">
        <v>15200</v>
      </c>
      <c r="M554">
        <v>15</v>
      </c>
      <c r="N554">
        <v>77520</v>
      </c>
      <c r="O554" t="s">
        <v>35</v>
      </c>
      <c r="P554">
        <v>2</v>
      </c>
      <c r="Q554" t="s">
        <v>26</v>
      </c>
    </row>
    <row r="555" spans="1:17" x14ac:dyDescent="0.3">
      <c r="A555" t="s">
        <v>1130</v>
      </c>
      <c r="B555" t="s">
        <v>644</v>
      </c>
      <c r="C555" t="s">
        <v>38</v>
      </c>
      <c r="D555" t="s">
        <v>39</v>
      </c>
      <c r="E555">
        <v>22</v>
      </c>
      <c r="F555" t="s">
        <v>77</v>
      </c>
      <c r="G555" t="s">
        <v>78</v>
      </c>
      <c r="H555" t="s">
        <v>32</v>
      </c>
      <c r="I555" t="s">
        <v>53</v>
      </c>
      <c r="J555" t="s">
        <v>80</v>
      </c>
      <c r="K555">
        <v>5</v>
      </c>
      <c r="L555">
        <v>3100</v>
      </c>
      <c r="M555">
        <v>15</v>
      </c>
      <c r="N555">
        <v>13175</v>
      </c>
      <c r="O555" t="s">
        <v>48</v>
      </c>
      <c r="P555">
        <v>3</v>
      </c>
      <c r="Q555" t="s">
        <v>74</v>
      </c>
    </row>
    <row r="556" spans="1:17" x14ac:dyDescent="0.3">
      <c r="A556" t="s">
        <v>1131</v>
      </c>
      <c r="B556" t="s">
        <v>1132</v>
      </c>
      <c r="C556" t="s">
        <v>71</v>
      </c>
      <c r="D556" t="s">
        <v>103</v>
      </c>
      <c r="E556">
        <v>26</v>
      </c>
      <c r="F556" t="s">
        <v>30</v>
      </c>
      <c r="G556" t="s">
        <v>57</v>
      </c>
      <c r="H556" t="s">
        <v>22</v>
      </c>
      <c r="I556" t="s">
        <v>84</v>
      </c>
      <c r="J556" t="s">
        <v>72</v>
      </c>
      <c r="K556">
        <v>3</v>
      </c>
      <c r="L556">
        <v>25900</v>
      </c>
      <c r="M556">
        <v>20</v>
      </c>
      <c r="N556">
        <v>62160</v>
      </c>
      <c r="O556" t="s">
        <v>85</v>
      </c>
      <c r="Q556" t="s">
        <v>26</v>
      </c>
    </row>
    <row r="557" spans="1:17" x14ac:dyDescent="0.3">
      <c r="A557" t="s">
        <v>1133</v>
      </c>
      <c r="B557" t="s">
        <v>1134</v>
      </c>
      <c r="C557" t="s">
        <v>121</v>
      </c>
      <c r="D557" t="s">
        <v>39</v>
      </c>
      <c r="E557">
        <v>41</v>
      </c>
      <c r="F557" t="s">
        <v>30</v>
      </c>
      <c r="G557" t="s">
        <v>57</v>
      </c>
      <c r="H557" t="s">
        <v>62</v>
      </c>
      <c r="I557" t="s">
        <v>140</v>
      </c>
      <c r="J557" t="s">
        <v>64</v>
      </c>
      <c r="K557">
        <v>2</v>
      </c>
      <c r="L557">
        <v>30400</v>
      </c>
      <c r="M557">
        <v>20</v>
      </c>
      <c r="N557">
        <v>48640</v>
      </c>
      <c r="O557" t="s">
        <v>105</v>
      </c>
      <c r="P557">
        <v>2</v>
      </c>
      <c r="Q557" t="s">
        <v>41</v>
      </c>
    </row>
    <row r="558" spans="1:17" x14ac:dyDescent="0.3">
      <c r="A558" t="s">
        <v>1135</v>
      </c>
      <c r="B558" t="s">
        <v>728</v>
      </c>
      <c r="C558" t="s">
        <v>113</v>
      </c>
      <c r="E558">
        <v>43</v>
      </c>
      <c r="F558" t="s">
        <v>61</v>
      </c>
      <c r="G558" t="s">
        <v>61</v>
      </c>
      <c r="H558" t="s">
        <v>62</v>
      </c>
      <c r="I558" t="s">
        <v>63</v>
      </c>
      <c r="J558" t="s">
        <v>80</v>
      </c>
      <c r="K558">
        <v>4</v>
      </c>
      <c r="L558">
        <v>15100</v>
      </c>
      <c r="M558">
        <v>25</v>
      </c>
      <c r="N558">
        <v>45300</v>
      </c>
      <c r="O558" t="s">
        <v>25</v>
      </c>
      <c r="Q558" t="s">
        <v>41</v>
      </c>
    </row>
    <row r="559" spans="1:17" x14ac:dyDescent="0.3">
      <c r="A559" t="s">
        <v>1136</v>
      </c>
      <c r="B559" t="s">
        <v>1137</v>
      </c>
      <c r="C559" t="s">
        <v>60</v>
      </c>
      <c r="D559" t="s">
        <v>20</v>
      </c>
      <c r="E559">
        <v>42</v>
      </c>
      <c r="F559" t="s">
        <v>77</v>
      </c>
      <c r="G559" t="s">
        <v>78</v>
      </c>
      <c r="H559" t="s">
        <v>32</v>
      </c>
      <c r="I559" t="s">
        <v>33</v>
      </c>
      <c r="J559" t="s">
        <v>80</v>
      </c>
      <c r="K559">
        <v>7</v>
      </c>
      <c r="L559">
        <v>37000</v>
      </c>
      <c r="M559">
        <v>25</v>
      </c>
      <c r="N559">
        <v>194250</v>
      </c>
      <c r="O559" t="s">
        <v>48</v>
      </c>
      <c r="Q559" t="s">
        <v>65</v>
      </c>
    </row>
    <row r="560" spans="1:17" x14ac:dyDescent="0.3">
      <c r="A560" t="s">
        <v>1138</v>
      </c>
      <c r="B560" t="s">
        <v>1139</v>
      </c>
      <c r="C560" t="s">
        <v>38</v>
      </c>
      <c r="E560">
        <v>52</v>
      </c>
      <c r="F560" t="s">
        <v>51</v>
      </c>
      <c r="G560" t="s">
        <v>52</v>
      </c>
      <c r="H560" t="s">
        <v>22</v>
      </c>
      <c r="I560" t="s">
        <v>84</v>
      </c>
      <c r="J560" t="s">
        <v>34</v>
      </c>
      <c r="K560">
        <v>1</v>
      </c>
      <c r="L560">
        <v>40100</v>
      </c>
      <c r="M560">
        <v>15</v>
      </c>
      <c r="N560">
        <v>34085</v>
      </c>
      <c r="O560" t="s">
        <v>85</v>
      </c>
      <c r="Q560" t="s">
        <v>74</v>
      </c>
    </row>
    <row r="561" spans="1:17" x14ac:dyDescent="0.3">
      <c r="A561" t="s">
        <v>1140</v>
      </c>
      <c r="B561" t="s">
        <v>1000</v>
      </c>
      <c r="C561" t="s">
        <v>94</v>
      </c>
      <c r="D561" t="s">
        <v>20</v>
      </c>
      <c r="E561">
        <v>62</v>
      </c>
      <c r="F561" t="s">
        <v>21</v>
      </c>
      <c r="G561" t="s">
        <v>21</v>
      </c>
      <c r="H561" t="s">
        <v>32</v>
      </c>
      <c r="I561" t="s">
        <v>33</v>
      </c>
      <c r="J561" t="s">
        <v>24</v>
      </c>
      <c r="K561">
        <v>3</v>
      </c>
      <c r="L561">
        <v>33500</v>
      </c>
      <c r="M561">
        <v>0</v>
      </c>
      <c r="N561">
        <v>100500</v>
      </c>
      <c r="O561" t="s">
        <v>85</v>
      </c>
      <c r="P561">
        <v>3</v>
      </c>
      <c r="Q561" t="s">
        <v>65</v>
      </c>
    </row>
    <row r="562" spans="1:17" x14ac:dyDescent="0.3">
      <c r="A562" t="s">
        <v>1141</v>
      </c>
      <c r="B562" t="s">
        <v>1142</v>
      </c>
      <c r="C562" t="s">
        <v>38</v>
      </c>
      <c r="D562" t="s">
        <v>103</v>
      </c>
      <c r="E562">
        <v>18</v>
      </c>
      <c r="F562" t="s">
        <v>51</v>
      </c>
      <c r="G562" t="s">
        <v>104</v>
      </c>
      <c r="H562" t="s">
        <v>32</v>
      </c>
      <c r="I562" t="s">
        <v>53</v>
      </c>
      <c r="J562" t="s">
        <v>80</v>
      </c>
      <c r="K562" t="s">
        <v>458</v>
      </c>
      <c r="L562">
        <v>30000</v>
      </c>
      <c r="M562">
        <v>25</v>
      </c>
      <c r="N562">
        <v>135000</v>
      </c>
      <c r="O562" t="s">
        <v>40</v>
      </c>
      <c r="P562">
        <v>3</v>
      </c>
      <c r="Q562" t="s">
        <v>65</v>
      </c>
    </row>
    <row r="563" spans="1:17" x14ac:dyDescent="0.3">
      <c r="A563" t="s">
        <v>1143</v>
      </c>
      <c r="B563" t="s">
        <v>1144</v>
      </c>
      <c r="C563" t="s">
        <v>113</v>
      </c>
      <c r="D563" t="s">
        <v>39</v>
      </c>
      <c r="E563">
        <v>21</v>
      </c>
      <c r="F563" t="s">
        <v>51</v>
      </c>
      <c r="G563" t="s">
        <v>52</v>
      </c>
      <c r="H563" t="s">
        <v>22</v>
      </c>
      <c r="I563" t="s">
        <v>84</v>
      </c>
      <c r="J563" t="s">
        <v>64</v>
      </c>
      <c r="K563">
        <v>8</v>
      </c>
      <c r="L563">
        <v>11300</v>
      </c>
      <c r="M563">
        <v>5</v>
      </c>
      <c r="N563">
        <v>85880</v>
      </c>
      <c r="O563" t="s">
        <v>85</v>
      </c>
      <c r="P563">
        <v>2</v>
      </c>
      <c r="Q563" t="s">
        <v>26</v>
      </c>
    </row>
    <row r="564" spans="1:17" x14ac:dyDescent="0.3">
      <c r="A564" t="s">
        <v>1145</v>
      </c>
      <c r="B564" t="s">
        <v>1146</v>
      </c>
      <c r="C564" t="s">
        <v>71</v>
      </c>
      <c r="D564" t="s">
        <v>83</v>
      </c>
      <c r="E564">
        <v>22</v>
      </c>
      <c r="F564" t="s">
        <v>77</v>
      </c>
      <c r="G564" t="s">
        <v>78</v>
      </c>
      <c r="H564" t="s">
        <v>62</v>
      </c>
      <c r="I564" t="s">
        <v>140</v>
      </c>
      <c r="J564" t="s">
        <v>89</v>
      </c>
      <c r="K564">
        <v>9</v>
      </c>
      <c r="L564">
        <v>7000</v>
      </c>
      <c r="M564">
        <v>20</v>
      </c>
      <c r="N564">
        <v>50400</v>
      </c>
      <c r="O564" t="s">
        <v>40</v>
      </c>
      <c r="P564">
        <v>2</v>
      </c>
      <c r="Q564" t="s">
        <v>41</v>
      </c>
    </row>
    <row r="565" spans="1:17" x14ac:dyDescent="0.3">
      <c r="A565" t="s">
        <v>1147</v>
      </c>
      <c r="B565" t="s">
        <v>1148</v>
      </c>
      <c r="C565" t="s">
        <v>29</v>
      </c>
      <c r="D565" t="s">
        <v>83</v>
      </c>
      <c r="E565">
        <v>49</v>
      </c>
      <c r="F565" t="s">
        <v>44</v>
      </c>
      <c r="G565" t="s">
        <v>45</v>
      </c>
      <c r="H565" t="s">
        <v>22</v>
      </c>
      <c r="I565" t="s">
        <v>84</v>
      </c>
      <c r="J565" t="s">
        <v>24</v>
      </c>
      <c r="K565">
        <v>7</v>
      </c>
      <c r="L565">
        <v>28000</v>
      </c>
      <c r="M565">
        <v>25</v>
      </c>
      <c r="N565">
        <v>147000</v>
      </c>
      <c r="O565" t="s">
        <v>105</v>
      </c>
      <c r="P565">
        <v>1</v>
      </c>
      <c r="Q565" t="s">
        <v>26</v>
      </c>
    </row>
    <row r="566" spans="1:17" x14ac:dyDescent="0.3">
      <c r="A566" t="s">
        <v>1149</v>
      </c>
      <c r="B566" t="s">
        <v>1059</v>
      </c>
      <c r="C566" t="s">
        <v>88</v>
      </c>
      <c r="D566" t="s">
        <v>39</v>
      </c>
      <c r="E566">
        <v>56</v>
      </c>
      <c r="F566" t="s">
        <v>1122</v>
      </c>
      <c r="G566" t="s">
        <v>78</v>
      </c>
      <c r="H566" t="s">
        <v>22</v>
      </c>
      <c r="I566" t="s">
        <v>84</v>
      </c>
      <c r="J566" t="s">
        <v>89</v>
      </c>
      <c r="K566">
        <v>1</v>
      </c>
      <c r="L566">
        <v>7200</v>
      </c>
      <c r="M566">
        <v>20</v>
      </c>
      <c r="N566">
        <v>5760</v>
      </c>
      <c r="O566" t="s">
        <v>35</v>
      </c>
      <c r="P566">
        <v>3</v>
      </c>
      <c r="Q566" t="s">
        <v>26</v>
      </c>
    </row>
    <row r="567" spans="1:17" x14ac:dyDescent="0.3">
      <c r="A567" t="s">
        <v>1150</v>
      </c>
      <c r="B567" t="s">
        <v>1151</v>
      </c>
      <c r="C567" t="s">
        <v>88</v>
      </c>
      <c r="D567" t="s">
        <v>83</v>
      </c>
      <c r="E567">
        <v>29</v>
      </c>
      <c r="F567" t="s">
        <v>44</v>
      </c>
      <c r="G567" t="s">
        <v>100</v>
      </c>
      <c r="H567" t="s">
        <v>32</v>
      </c>
      <c r="I567" t="s">
        <v>33</v>
      </c>
      <c r="J567" t="s">
        <v>80</v>
      </c>
      <c r="K567" t="s">
        <v>173</v>
      </c>
      <c r="L567">
        <v>31900</v>
      </c>
      <c r="M567">
        <v>20</v>
      </c>
      <c r="N567">
        <v>51040</v>
      </c>
      <c r="O567" t="s">
        <v>85</v>
      </c>
      <c r="P567">
        <v>3</v>
      </c>
      <c r="Q567" t="s">
        <v>26</v>
      </c>
    </row>
    <row r="568" spans="1:17" x14ac:dyDescent="0.3">
      <c r="A568" t="s">
        <v>1152</v>
      </c>
      <c r="B568" t="s">
        <v>1153</v>
      </c>
      <c r="C568" t="s">
        <v>94</v>
      </c>
      <c r="D568" t="s">
        <v>83</v>
      </c>
      <c r="E568">
        <v>31</v>
      </c>
      <c r="F568" t="s">
        <v>61</v>
      </c>
      <c r="G568" t="s">
        <v>61</v>
      </c>
      <c r="H568" t="s">
        <v>32</v>
      </c>
      <c r="I568" t="s">
        <v>53</v>
      </c>
      <c r="J568" t="s">
        <v>89</v>
      </c>
      <c r="K568">
        <v>1</v>
      </c>
      <c r="L568">
        <v>22400</v>
      </c>
      <c r="M568">
        <v>20</v>
      </c>
      <c r="N568">
        <v>17920</v>
      </c>
      <c r="O568" t="s">
        <v>48</v>
      </c>
      <c r="Q568" t="s">
        <v>26</v>
      </c>
    </row>
    <row r="569" spans="1:17" x14ac:dyDescent="0.3">
      <c r="A569" t="s">
        <v>1154</v>
      </c>
      <c r="B569" t="s">
        <v>1155</v>
      </c>
      <c r="C569" t="s">
        <v>94</v>
      </c>
      <c r="D569" t="s">
        <v>83</v>
      </c>
      <c r="E569">
        <v>62</v>
      </c>
      <c r="F569" t="s">
        <v>61</v>
      </c>
      <c r="G569" t="s">
        <v>61</v>
      </c>
      <c r="H569" t="s">
        <v>46</v>
      </c>
      <c r="I569" t="s">
        <v>79</v>
      </c>
      <c r="J569" t="s">
        <v>80</v>
      </c>
      <c r="K569">
        <v>7</v>
      </c>
      <c r="L569">
        <v>13400</v>
      </c>
      <c r="M569">
        <v>15</v>
      </c>
      <c r="N569">
        <v>79730</v>
      </c>
      <c r="O569" t="s">
        <v>85</v>
      </c>
      <c r="P569">
        <v>3</v>
      </c>
      <c r="Q569" t="s">
        <v>74</v>
      </c>
    </row>
    <row r="570" spans="1:17" x14ac:dyDescent="0.3">
      <c r="A570" t="s">
        <v>1156</v>
      </c>
      <c r="B570" t="s">
        <v>1157</v>
      </c>
      <c r="C570" t="s">
        <v>60</v>
      </c>
      <c r="D570" t="s">
        <v>103</v>
      </c>
      <c r="E570">
        <v>51</v>
      </c>
      <c r="F570" t="s">
        <v>51</v>
      </c>
      <c r="G570" t="s">
        <v>52</v>
      </c>
      <c r="H570" t="s">
        <v>22</v>
      </c>
      <c r="I570" t="s">
        <v>23</v>
      </c>
      <c r="J570" t="s">
        <v>80</v>
      </c>
      <c r="K570">
        <v>8</v>
      </c>
      <c r="L570">
        <v>3200</v>
      </c>
      <c r="M570">
        <v>15</v>
      </c>
      <c r="N570">
        <v>21760</v>
      </c>
      <c r="O570" t="s">
        <v>25</v>
      </c>
      <c r="P570">
        <v>1</v>
      </c>
      <c r="Q570" t="s">
        <v>65</v>
      </c>
    </row>
    <row r="571" spans="1:17" x14ac:dyDescent="0.3">
      <c r="A571" t="s">
        <v>1158</v>
      </c>
      <c r="B571" t="s">
        <v>1159</v>
      </c>
      <c r="C571" t="s">
        <v>113</v>
      </c>
      <c r="E571">
        <v>64</v>
      </c>
      <c r="F571" t="s">
        <v>30</v>
      </c>
      <c r="G571" t="s">
        <v>31</v>
      </c>
      <c r="H571" t="s">
        <v>32</v>
      </c>
      <c r="I571" t="s">
        <v>33</v>
      </c>
      <c r="J571" t="s">
        <v>24</v>
      </c>
      <c r="K571">
        <v>9</v>
      </c>
      <c r="L571">
        <v>35600</v>
      </c>
      <c r="M571">
        <v>20</v>
      </c>
      <c r="N571">
        <v>256320</v>
      </c>
      <c r="O571" t="s">
        <v>48</v>
      </c>
      <c r="Q571" t="s">
        <v>74</v>
      </c>
    </row>
    <row r="572" spans="1:17" x14ac:dyDescent="0.3">
      <c r="A572" t="s">
        <v>1160</v>
      </c>
      <c r="B572" t="s">
        <v>502</v>
      </c>
      <c r="C572" t="s">
        <v>60</v>
      </c>
      <c r="D572" t="s">
        <v>20</v>
      </c>
      <c r="E572">
        <v>51</v>
      </c>
      <c r="F572" t="s">
        <v>77</v>
      </c>
      <c r="G572" t="s">
        <v>95</v>
      </c>
      <c r="H572" t="s">
        <v>62</v>
      </c>
      <c r="I572" t="s">
        <v>140</v>
      </c>
      <c r="J572" t="s">
        <v>80</v>
      </c>
      <c r="K572">
        <v>9</v>
      </c>
      <c r="L572">
        <v>38500</v>
      </c>
      <c r="M572">
        <v>25</v>
      </c>
      <c r="N572">
        <v>259875</v>
      </c>
      <c r="O572" t="s">
        <v>73</v>
      </c>
      <c r="P572">
        <v>5</v>
      </c>
      <c r="Q572" t="s">
        <v>74</v>
      </c>
    </row>
    <row r="573" spans="1:17" x14ac:dyDescent="0.3">
      <c r="A573" t="s">
        <v>1161</v>
      </c>
      <c r="B573" t="s">
        <v>1162</v>
      </c>
      <c r="C573" t="s">
        <v>113</v>
      </c>
      <c r="D573" t="s">
        <v>103</v>
      </c>
      <c r="E573">
        <v>41</v>
      </c>
      <c r="F573" t="s">
        <v>44</v>
      </c>
      <c r="G573" t="s">
        <v>100</v>
      </c>
      <c r="H573" t="s">
        <v>46</v>
      </c>
      <c r="I573" t="s">
        <v>47</v>
      </c>
      <c r="J573" t="s">
        <v>64</v>
      </c>
      <c r="K573">
        <v>1</v>
      </c>
      <c r="L573">
        <v>19100</v>
      </c>
      <c r="M573">
        <v>5</v>
      </c>
      <c r="N573">
        <v>18145</v>
      </c>
      <c r="O573" t="s">
        <v>73</v>
      </c>
      <c r="P573">
        <v>5</v>
      </c>
      <c r="Q573" t="s">
        <v>41</v>
      </c>
    </row>
    <row r="574" spans="1:17" x14ac:dyDescent="0.3">
      <c r="A574" t="s">
        <v>1163</v>
      </c>
      <c r="B574" t="s">
        <v>651</v>
      </c>
      <c r="C574" t="s">
        <v>121</v>
      </c>
      <c r="D574" t="s">
        <v>103</v>
      </c>
      <c r="E574">
        <v>54</v>
      </c>
      <c r="F574" t="s">
        <v>77</v>
      </c>
      <c r="G574" t="s">
        <v>78</v>
      </c>
      <c r="H574" t="s">
        <v>46</v>
      </c>
      <c r="I574" t="s">
        <v>79</v>
      </c>
      <c r="J574" t="s">
        <v>89</v>
      </c>
      <c r="K574">
        <v>4</v>
      </c>
      <c r="L574">
        <v>23900</v>
      </c>
      <c r="M574">
        <v>0</v>
      </c>
      <c r="N574">
        <v>95600</v>
      </c>
      <c r="O574" t="s">
        <v>25</v>
      </c>
      <c r="P574">
        <v>2</v>
      </c>
      <c r="Q574" t="s">
        <v>41</v>
      </c>
    </row>
    <row r="575" spans="1:17" x14ac:dyDescent="0.3">
      <c r="A575" t="s">
        <v>1164</v>
      </c>
      <c r="B575" t="s">
        <v>1165</v>
      </c>
      <c r="C575" t="s">
        <v>88</v>
      </c>
      <c r="E575">
        <v>60</v>
      </c>
      <c r="F575" t="s">
        <v>1046</v>
      </c>
      <c r="G575" t="s">
        <v>21</v>
      </c>
      <c r="H575" t="s">
        <v>46</v>
      </c>
      <c r="I575" t="s">
        <v>79</v>
      </c>
      <c r="J575" t="s">
        <v>64</v>
      </c>
      <c r="K575">
        <v>9</v>
      </c>
      <c r="L575">
        <v>10500</v>
      </c>
      <c r="M575">
        <v>25</v>
      </c>
      <c r="N575" t="s">
        <v>1166</v>
      </c>
      <c r="O575" t="s">
        <v>35</v>
      </c>
      <c r="P575">
        <v>3</v>
      </c>
      <c r="Q575" t="s">
        <v>65</v>
      </c>
    </row>
    <row r="576" spans="1:17" x14ac:dyDescent="0.3">
      <c r="A576" t="s">
        <v>1167</v>
      </c>
      <c r="B576" t="s">
        <v>1168</v>
      </c>
      <c r="C576" t="s">
        <v>60</v>
      </c>
      <c r="D576" t="s">
        <v>20</v>
      </c>
      <c r="E576">
        <v>20</v>
      </c>
      <c r="F576" t="s">
        <v>21</v>
      </c>
      <c r="G576" t="s">
        <v>21</v>
      </c>
      <c r="H576" t="s">
        <v>62</v>
      </c>
      <c r="I576" t="s">
        <v>140</v>
      </c>
      <c r="J576" t="s">
        <v>24</v>
      </c>
      <c r="K576">
        <v>7</v>
      </c>
      <c r="L576">
        <v>40800</v>
      </c>
      <c r="M576">
        <v>15</v>
      </c>
      <c r="N576">
        <v>242760</v>
      </c>
      <c r="O576" t="s">
        <v>105</v>
      </c>
      <c r="P576">
        <v>3</v>
      </c>
      <c r="Q576" t="s">
        <v>74</v>
      </c>
    </row>
    <row r="577" spans="1:17" x14ac:dyDescent="0.3">
      <c r="A577" t="s">
        <v>1169</v>
      </c>
      <c r="B577" t="s">
        <v>1170</v>
      </c>
      <c r="C577" t="s">
        <v>94</v>
      </c>
      <c r="D577" t="s">
        <v>83</v>
      </c>
      <c r="E577">
        <v>65</v>
      </c>
      <c r="F577" t="s">
        <v>51</v>
      </c>
      <c r="G577" t="s">
        <v>104</v>
      </c>
      <c r="H577" t="s">
        <v>32</v>
      </c>
      <c r="I577" t="s">
        <v>53</v>
      </c>
      <c r="J577" t="s">
        <v>89</v>
      </c>
      <c r="K577">
        <v>7</v>
      </c>
      <c r="L577">
        <v>28700</v>
      </c>
      <c r="M577">
        <v>20</v>
      </c>
      <c r="N577">
        <v>160720</v>
      </c>
      <c r="O577" t="s">
        <v>105</v>
      </c>
      <c r="Q577" t="s">
        <v>74</v>
      </c>
    </row>
    <row r="578" spans="1:17" x14ac:dyDescent="0.3">
      <c r="A578" t="s">
        <v>1171</v>
      </c>
      <c r="B578" t="s">
        <v>1172</v>
      </c>
      <c r="C578" t="s">
        <v>19</v>
      </c>
      <c r="D578" t="s">
        <v>20</v>
      </c>
      <c r="E578">
        <v>41</v>
      </c>
      <c r="F578" t="s">
        <v>30</v>
      </c>
      <c r="G578" t="s">
        <v>31</v>
      </c>
      <c r="H578" t="s">
        <v>32</v>
      </c>
      <c r="I578" t="s">
        <v>53</v>
      </c>
      <c r="J578" t="s">
        <v>72</v>
      </c>
      <c r="K578">
        <v>3</v>
      </c>
      <c r="L578">
        <v>44800</v>
      </c>
      <c r="M578">
        <v>5</v>
      </c>
      <c r="N578">
        <v>127680</v>
      </c>
      <c r="O578" t="s">
        <v>40</v>
      </c>
      <c r="P578">
        <v>4</v>
      </c>
      <c r="Q578" t="s">
        <v>26</v>
      </c>
    </row>
    <row r="579" spans="1:17" x14ac:dyDescent="0.3">
      <c r="A579" t="s">
        <v>1173</v>
      </c>
      <c r="B579" t="s">
        <v>1174</v>
      </c>
      <c r="C579" t="s">
        <v>19</v>
      </c>
      <c r="E579">
        <v>59</v>
      </c>
      <c r="F579" t="s">
        <v>44</v>
      </c>
      <c r="G579" t="s">
        <v>100</v>
      </c>
      <c r="H579" t="s">
        <v>22</v>
      </c>
      <c r="I579" t="s">
        <v>23</v>
      </c>
      <c r="J579" t="s">
        <v>24</v>
      </c>
      <c r="K579">
        <v>6</v>
      </c>
      <c r="L579">
        <v>33200</v>
      </c>
      <c r="M579">
        <v>15</v>
      </c>
      <c r="N579">
        <v>169320</v>
      </c>
      <c r="O579" t="s">
        <v>25</v>
      </c>
      <c r="P579">
        <v>3</v>
      </c>
      <c r="Q579" t="s">
        <v>26</v>
      </c>
    </row>
    <row r="580" spans="1:17" x14ac:dyDescent="0.3">
      <c r="A580" t="s">
        <v>1175</v>
      </c>
      <c r="B580" t="s">
        <v>291</v>
      </c>
      <c r="C580" t="s">
        <v>38</v>
      </c>
      <c r="D580" t="s">
        <v>39</v>
      </c>
      <c r="E580">
        <v>29</v>
      </c>
      <c r="F580" t="s">
        <v>21</v>
      </c>
      <c r="G580" t="s">
        <v>21</v>
      </c>
      <c r="H580" t="s">
        <v>62</v>
      </c>
      <c r="I580" t="s">
        <v>63</v>
      </c>
      <c r="J580" t="s">
        <v>89</v>
      </c>
      <c r="K580">
        <v>1</v>
      </c>
      <c r="L580">
        <v>13900</v>
      </c>
      <c r="M580">
        <v>0</v>
      </c>
      <c r="N580">
        <v>13900</v>
      </c>
      <c r="O580" t="s">
        <v>40</v>
      </c>
      <c r="Q580" t="s">
        <v>74</v>
      </c>
    </row>
    <row r="581" spans="1:17" x14ac:dyDescent="0.3">
      <c r="A581" t="s">
        <v>1176</v>
      </c>
      <c r="B581" t="s">
        <v>1177</v>
      </c>
      <c r="C581" t="s">
        <v>68</v>
      </c>
      <c r="D581" t="s">
        <v>83</v>
      </c>
      <c r="E581">
        <v>43</v>
      </c>
      <c r="F581" t="s">
        <v>44</v>
      </c>
      <c r="G581" t="s">
        <v>100</v>
      </c>
      <c r="H581" t="s">
        <v>32</v>
      </c>
      <c r="I581" t="s">
        <v>53</v>
      </c>
      <c r="J581" t="s">
        <v>34</v>
      </c>
      <c r="K581">
        <v>10</v>
      </c>
      <c r="L581">
        <v>18200</v>
      </c>
      <c r="M581">
        <v>10</v>
      </c>
      <c r="N581">
        <v>163800</v>
      </c>
      <c r="O581" t="s">
        <v>48</v>
      </c>
      <c r="P581">
        <v>4</v>
      </c>
      <c r="Q581" t="s">
        <v>65</v>
      </c>
    </row>
    <row r="582" spans="1:17" x14ac:dyDescent="0.3">
      <c r="A582" t="s">
        <v>1178</v>
      </c>
      <c r="B582" t="s">
        <v>1179</v>
      </c>
      <c r="C582" t="s">
        <v>38</v>
      </c>
      <c r="D582" t="s">
        <v>103</v>
      </c>
      <c r="E582">
        <v>22</v>
      </c>
      <c r="F582" t="s">
        <v>77</v>
      </c>
      <c r="G582" t="s">
        <v>95</v>
      </c>
      <c r="H582" t="s">
        <v>62</v>
      </c>
      <c r="I582" t="s">
        <v>140</v>
      </c>
      <c r="J582" t="s">
        <v>80</v>
      </c>
      <c r="K582">
        <v>10</v>
      </c>
      <c r="L582">
        <v>27900</v>
      </c>
      <c r="M582">
        <v>5</v>
      </c>
      <c r="N582">
        <v>265050</v>
      </c>
      <c r="O582" t="s">
        <v>85</v>
      </c>
      <c r="P582">
        <v>2</v>
      </c>
      <c r="Q582" t="s">
        <v>41</v>
      </c>
    </row>
    <row r="583" spans="1:17" x14ac:dyDescent="0.3">
      <c r="A583" t="s">
        <v>1180</v>
      </c>
      <c r="B583" t="s">
        <v>362</v>
      </c>
      <c r="C583" t="s">
        <v>29</v>
      </c>
      <c r="E583">
        <v>47</v>
      </c>
      <c r="F583" t="s">
        <v>21</v>
      </c>
      <c r="G583" t="s">
        <v>21</v>
      </c>
      <c r="H583" t="s">
        <v>22</v>
      </c>
      <c r="I583" t="s">
        <v>84</v>
      </c>
      <c r="J583" t="s">
        <v>72</v>
      </c>
      <c r="K583">
        <v>6</v>
      </c>
      <c r="L583">
        <v>40300</v>
      </c>
      <c r="M583">
        <v>5</v>
      </c>
      <c r="N583">
        <v>229710</v>
      </c>
      <c r="O583" t="s">
        <v>40</v>
      </c>
      <c r="P583">
        <v>4</v>
      </c>
      <c r="Q583" t="s">
        <v>65</v>
      </c>
    </row>
    <row r="584" spans="1:17" x14ac:dyDescent="0.3">
      <c r="A584" t="s">
        <v>1181</v>
      </c>
      <c r="B584" t="s">
        <v>842</v>
      </c>
      <c r="C584" t="s">
        <v>71</v>
      </c>
      <c r="D584" t="s">
        <v>20</v>
      </c>
      <c r="E584">
        <v>49</v>
      </c>
      <c r="F584" t="s">
        <v>77</v>
      </c>
      <c r="G584" t="s">
        <v>95</v>
      </c>
      <c r="H584" t="s">
        <v>46</v>
      </c>
      <c r="I584" t="s">
        <v>79</v>
      </c>
      <c r="J584" t="s">
        <v>24</v>
      </c>
      <c r="K584">
        <v>8</v>
      </c>
      <c r="L584">
        <v>3300</v>
      </c>
      <c r="M584">
        <v>15</v>
      </c>
      <c r="N584">
        <v>22440</v>
      </c>
      <c r="O584" t="s">
        <v>25</v>
      </c>
      <c r="P584">
        <v>1</v>
      </c>
      <c r="Q584" t="s">
        <v>26</v>
      </c>
    </row>
    <row r="585" spans="1:17" x14ac:dyDescent="0.3">
      <c r="A585" t="s">
        <v>1182</v>
      </c>
      <c r="B585" t="s">
        <v>1183</v>
      </c>
      <c r="C585" t="s">
        <v>38</v>
      </c>
      <c r="D585" t="s">
        <v>39</v>
      </c>
      <c r="E585">
        <v>22</v>
      </c>
      <c r="F585" t="s">
        <v>51</v>
      </c>
      <c r="G585" t="s">
        <v>104</v>
      </c>
      <c r="H585" t="s">
        <v>46</v>
      </c>
      <c r="I585" t="s">
        <v>47</v>
      </c>
      <c r="J585" t="s">
        <v>72</v>
      </c>
      <c r="K585">
        <v>1</v>
      </c>
      <c r="L585">
        <v>21700</v>
      </c>
      <c r="M585">
        <v>20</v>
      </c>
      <c r="N585">
        <v>17360</v>
      </c>
      <c r="O585" t="s">
        <v>85</v>
      </c>
      <c r="P585">
        <v>1</v>
      </c>
      <c r="Q585" t="s">
        <v>26</v>
      </c>
    </row>
    <row r="586" spans="1:17" x14ac:dyDescent="0.3">
      <c r="A586" t="s">
        <v>1184</v>
      </c>
      <c r="B586" t="s">
        <v>1185</v>
      </c>
      <c r="C586" t="s">
        <v>94</v>
      </c>
      <c r="D586" t="s">
        <v>83</v>
      </c>
      <c r="E586">
        <v>38</v>
      </c>
      <c r="F586" t="s">
        <v>30</v>
      </c>
      <c r="G586" t="s">
        <v>57</v>
      </c>
      <c r="H586" t="s">
        <v>62</v>
      </c>
      <c r="I586" t="s">
        <v>63</v>
      </c>
      <c r="J586" t="s">
        <v>72</v>
      </c>
      <c r="K586">
        <v>9</v>
      </c>
      <c r="L586">
        <v>49100</v>
      </c>
      <c r="M586">
        <v>0</v>
      </c>
      <c r="N586">
        <v>441900</v>
      </c>
      <c r="O586" t="s">
        <v>85</v>
      </c>
      <c r="P586">
        <v>4</v>
      </c>
      <c r="Q586" t="s">
        <v>74</v>
      </c>
    </row>
    <row r="587" spans="1:17" x14ac:dyDescent="0.3">
      <c r="A587" t="s">
        <v>1186</v>
      </c>
      <c r="B587" t="s">
        <v>405</v>
      </c>
      <c r="C587" t="s">
        <v>38</v>
      </c>
      <c r="E587">
        <v>65</v>
      </c>
      <c r="F587" t="s">
        <v>77</v>
      </c>
      <c r="G587" t="s">
        <v>78</v>
      </c>
      <c r="H587" t="s">
        <v>46</v>
      </c>
      <c r="I587" t="s">
        <v>47</v>
      </c>
      <c r="J587" t="s">
        <v>80</v>
      </c>
      <c r="K587">
        <v>9</v>
      </c>
      <c r="L587">
        <v>39200</v>
      </c>
      <c r="M587">
        <v>20</v>
      </c>
      <c r="N587">
        <v>282240</v>
      </c>
      <c r="O587" t="s">
        <v>40</v>
      </c>
      <c r="Q587" t="s">
        <v>74</v>
      </c>
    </row>
    <row r="588" spans="1:17" x14ac:dyDescent="0.3">
      <c r="A588" t="s">
        <v>1187</v>
      </c>
      <c r="B588" t="s">
        <v>1188</v>
      </c>
      <c r="C588" t="s">
        <v>19</v>
      </c>
      <c r="D588" t="s">
        <v>83</v>
      </c>
      <c r="E588">
        <v>48</v>
      </c>
      <c r="F588" t="s">
        <v>61</v>
      </c>
      <c r="G588" t="s">
        <v>61</v>
      </c>
      <c r="H588" t="s">
        <v>116</v>
      </c>
      <c r="I588" t="s">
        <v>84</v>
      </c>
      <c r="J588" t="s">
        <v>34</v>
      </c>
      <c r="K588">
        <v>7</v>
      </c>
      <c r="L588">
        <v>41200</v>
      </c>
      <c r="M588">
        <v>25</v>
      </c>
      <c r="N588" t="s">
        <v>1189</v>
      </c>
      <c r="O588" t="s">
        <v>40</v>
      </c>
      <c r="P588">
        <v>2</v>
      </c>
      <c r="Q588" t="s">
        <v>41</v>
      </c>
    </row>
    <row r="589" spans="1:17" x14ac:dyDescent="0.3">
      <c r="A589" t="s">
        <v>1190</v>
      </c>
      <c r="B589" t="s">
        <v>846</v>
      </c>
      <c r="C589" t="s">
        <v>38</v>
      </c>
      <c r="D589" t="s">
        <v>83</v>
      </c>
      <c r="E589">
        <v>53</v>
      </c>
      <c r="F589" t="s">
        <v>51</v>
      </c>
      <c r="G589" t="s">
        <v>104</v>
      </c>
      <c r="H589" t="s">
        <v>22</v>
      </c>
      <c r="I589" t="s">
        <v>23</v>
      </c>
      <c r="J589" t="s">
        <v>24</v>
      </c>
      <c r="K589">
        <v>6</v>
      </c>
      <c r="L589">
        <v>19300</v>
      </c>
      <c r="M589">
        <v>15</v>
      </c>
      <c r="N589">
        <v>98430</v>
      </c>
      <c r="O589" t="s">
        <v>35</v>
      </c>
      <c r="P589">
        <v>1</v>
      </c>
      <c r="Q589" t="s">
        <v>74</v>
      </c>
    </row>
    <row r="590" spans="1:17" x14ac:dyDescent="0.3">
      <c r="A590" t="s">
        <v>1191</v>
      </c>
      <c r="B590" t="s">
        <v>1192</v>
      </c>
      <c r="C590" t="s">
        <v>121</v>
      </c>
      <c r="D590" t="s">
        <v>83</v>
      </c>
      <c r="E590">
        <v>18</v>
      </c>
      <c r="F590" t="s">
        <v>1193</v>
      </c>
      <c r="G590" t="s">
        <v>31</v>
      </c>
      <c r="H590" t="s">
        <v>22</v>
      </c>
      <c r="I590" t="s">
        <v>23</v>
      </c>
      <c r="J590" t="s">
        <v>80</v>
      </c>
      <c r="K590">
        <v>3</v>
      </c>
      <c r="L590">
        <v>17800</v>
      </c>
      <c r="M590">
        <v>15</v>
      </c>
      <c r="N590">
        <v>45390</v>
      </c>
      <c r="O590" t="s">
        <v>40</v>
      </c>
      <c r="P590">
        <v>1</v>
      </c>
      <c r="Q590" t="s">
        <v>65</v>
      </c>
    </row>
    <row r="591" spans="1:17" x14ac:dyDescent="0.3">
      <c r="A591" t="s">
        <v>1194</v>
      </c>
      <c r="B591" t="s">
        <v>883</v>
      </c>
      <c r="C591" t="s">
        <v>113</v>
      </c>
      <c r="D591" t="s">
        <v>103</v>
      </c>
      <c r="E591">
        <v>33</v>
      </c>
      <c r="F591" t="s">
        <v>77</v>
      </c>
      <c r="G591" t="s">
        <v>78</v>
      </c>
      <c r="H591" t="s">
        <v>62</v>
      </c>
      <c r="I591" t="s">
        <v>140</v>
      </c>
      <c r="J591" t="s">
        <v>89</v>
      </c>
      <c r="K591">
        <v>7</v>
      </c>
      <c r="L591">
        <v>12700</v>
      </c>
      <c r="M591">
        <v>5</v>
      </c>
      <c r="N591">
        <v>84455</v>
      </c>
      <c r="O591" t="s">
        <v>48</v>
      </c>
      <c r="P591">
        <v>2</v>
      </c>
      <c r="Q591" t="s">
        <v>74</v>
      </c>
    </row>
    <row r="592" spans="1:17" x14ac:dyDescent="0.3">
      <c r="A592" t="s">
        <v>1195</v>
      </c>
      <c r="B592" t="s">
        <v>1196</v>
      </c>
      <c r="C592" t="s">
        <v>121</v>
      </c>
      <c r="D592" t="s">
        <v>83</v>
      </c>
      <c r="E592">
        <v>32</v>
      </c>
      <c r="F592" t="s">
        <v>21</v>
      </c>
      <c r="G592" t="s">
        <v>21</v>
      </c>
      <c r="H592" t="s">
        <v>116</v>
      </c>
      <c r="I592" t="s">
        <v>84</v>
      </c>
      <c r="J592" t="s">
        <v>72</v>
      </c>
      <c r="K592">
        <v>9</v>
      </c>
      <c r="L592">
        <v>7900</v>
      </c>
      <c r="M592">
        <v>0</v>
      </c>
      <c r="N592">
        <v>71100</v>
      </c>
      <c r="O592" t="s">
        <v>73</v>
      </c>
      <c r="Q592" t="s">
        <v>26</v>
      </c>
    </row>
    <row r="593" spans="1:17" x14ac:dyDescent="0.3">
      <c r="A593" t="s">
        <v>1197</v>
      </c>
      <c r="B593" t="s">
        <v>1198</v>
      </c>
      <c r="C593" t="s">
        <v>94</v>
      </c>
      <c r="D593" t="s">
        <v>39</v>
      </c>
      <c r="E593">
        <v>37</v>
      </c>
      <c r="F593" t="s">
        <v>30</v>
      </c>
      <c r="G593" t="s">
        <v>57</v>
      </c>
      <c r="H593" t="s">
        <v>62</v>
      </c>
      <c r="I593" t="s">
        <v>140</v>
      </c>
      <c r="J593" t="s">
        <v>72</v>
      </c>
      <c r="K593">
        <v>8</v>
      </c>
      <c r="L593">
        <v>8000</v>
      </c>
      <c r="M593">
        <v>0</v>
      </c>
      <c r="N593">
        <v>64000</v>
      </c>
      <c r="O593" t="s">
        <v>35</v>
      </c>
      <c r="P593">
        <v>4</v>
      </c>
      <c r="Q593" t="s">
        <v>26</v>
      </c>
    </row>
    <row r="594" spans="1:17" x14ac:dyDescent="0.3">
      <c r="A594" t="s">
        <v>1199</v>
      </c>
      <c r="B594" t="s">
        <v>293</v>
      </c>
      <c r="C594" t="s">
        <v>121</v>
      </c>
      <c r="E594">
        <v>27</v>
      </c>
      <c r="F594" t="s">
        <v>77</v>
      </c>
      <c r="G594" t="s">
        <v>95</v>
      </c>
      <c r="H594" t="s">
        <v>22</v>
      </c>
      <c r="I594" t="s">
        <v>84</v>
      </c>
      <c r="J594" t="s">
        <v>24</v>
      </c>
      <c r="K594">
        <v>8</v>
      </c>
      <c r="L594">
        <v>49200</v>
      </c>
      <c r="M594">
        <v>5</v>
      </c>
      <c r="N594">
        <v>373920</v>
      </c>
      <c r="O594" t="s">
        <v>105</v>
      </c>
      <c r="P594">
        <v>3</v>
      </c>
      <c r="Q594" t="s">
        <v>41</v>
      </c>
    </row>
    <row r="595" spans="1:17" x14ac:dyDescent="0.3">
      <c r="A595" t="s">
        <v>1200</v>
      </c>
      <c r="B595" t="s">
        <v>1201</v>
      </c>
      <c r="C595" t="s">
        <v>19</v>
      </c>
      <c r="E595">
        <v>27</v>
      </c>
      <c r="F595" t="s">
        <v>21</v>
      </c>
      <c r="G595" t="s">
        <v>21</v>
      </c>
      <c r="H595" t="s">
        <v>46</v>
      </c>
      <c r="I595" t="s">
        <v>79</v>
      </c>
      <c r="J595" t="s">
        <v>80</v>
      </c>
      <c r="K595">
        <v>7</v>
      </c>
      <c r="L595">
        <v>23800</v>
      </c>
      <c r="M595">
        <v>15</v>
      </c>
      <c r="N595">
        <v>141610</v>
      </c>
      <c r="O595" t="s">
        <v>73</v>
      </c>
      <c r="P595">
        <v>1</v>
      </c>
      <c r="Q595" t="s">
        <v>26</v>
      </c>
    </row>
    <row r="596" spans="1:17" x14ac:dyDescent="0.3">
      <c r="A596" t="s">
        <v>1202</v>
      </c>
      <c r="B596" t="s">
        <v>1203</v>
      </c>
      <c r="C596" t="s">
        <v>88</v>
      </c>
      <c r="D596" t="s">
        <v>39</v>
      </c>
      <c r="E596">
        <v>37</v>
      </c>
      <c r="F596" t="s">
        <v>61</v>
      </c>
      <c r="G596" t="s">
        <v>61</v>
      </c>
      <c r="H596" t="s">
        <v>431</v>
      </c>
      <c r="I596" t="s">
        <v>79</v>
      </c>
      <c r="J596" t="s">
        <v>80</v>
      </c>
      <c r="K596">
        <v>3</v>
      </c>
      <c r="L596">
        <v>24300</v>
      </c>
      <c r="M596">
        <v>0</v>
      </c>
      <c r="N596">
        <v>72900</v>
      </c>
      <c r="O596" t="s">
        <v>85</v>
      </c>
      <c r="P596">
        <v>5</v>
      </c>
      <c r="Q596" t="s">
        <v>26</v>
      </c>
    </row>
    <row r="597" spans="1:17" x14ac:dyDescent="0.3">
      <c r="A597" t="s">
        <v>1204</v>
      </c>
      <c r="B597" t="s">
        <v>1205</v>
      </c>
      <c r="C597" t="s">
        <v>19</v>
      </c>
      <c r="D597" t="s">
        <v>20</v>
      </c>
      <c r="E597">
        <v>38</v>
      </c>
      <c r="F597" t="s">
        <v>51</v>
      </c>
      <c r="G597" t="s">
        <v>104</v>
      </c>
      <c r="H597" t="s">
        <v>46</v>
      </c>
      <c r="I597" t="s">
        <v>79</v>
      </c>
      <c r="J597" t="s">
        <v>89</v>
      </c>
      <c r="K597">
        <v>9</v>
      </c>
      <c r="L597">
        <v>28800</v>
      </c>
      <c r="M597">
        <v>5</v>
      </c>
      <c r="N597">
        <v>246240</v>
      </c>
      <c r="O597" t="s">
        <v>35</v>
      </c>
      <c r="P597">
        <v>4</v>
      </c>
      <c r="Q597" t="s">
        <v>65</v>
      </c>
    </row>
    <row r="598" spans="1:17" x14ac:dyDescent="0.3">
      <c r="A598" t="s">
        <v>1206</v>
      </c>
      <c r="B598" t="s">
        <v>1207</v>
      </c>
      <c r="C598" t="s">
        <v>19</v>
      </c>
      <c r="D598" t="s">
        <v>103</v>
      </c>
      <c r="E598">
        <v>51</v>
      </c>
      <c r="F598" t="s">
        <v>30</v>
      </c>
      <c r="G598" t="s">
        <v>31</v>
      </c>
      <c r="H598" t="s">
        <v>22</v>
      </c>
      <c r="I598" t="s">
        <v>84</v>
      </c>
      <c r="J598" t="s">
        <v>80</v>
      </c>
      <c r="K598">
        <v>10</v>
      </c>
      <c r="L598">
        <v>38200</v>
      </c>
      <c r="M598">
        <v>25</v>
      </c>
      <c r="N598">
        <v>286500</v>
      </c>
      <c r="O598" t="s">
        <v>85</v>
      </c>
      <c r="Q598" t="s">
        <v>65</v>
      </c>
    </row>
    <row r="599" spans="1:17" x14ac:dyDescent="0.3">
      <c r="A599" t="s">
        <v>1208</v>
      </c>
      <c r="B599" t="s">
        <v>1209</v>
      </c>
      <c r="C599" t="s">
        <v>38</v>
      </c>
      <c r="E599">
        <v>61</v>
      </c>
      <c r="F599" t="s">
        <v>61</v>
      </c>
      <c r="G599" t="s">
        <v>61</v>
      </c>
      <c r="H599" t="s">
        <v>62</v>
      </c>
      <c r="I599" t="s">
        <v>140</v>
      </c>
      <c r="J599" t="s">
        <v>24</v>
      </c>
      <c r="K599" t="s">
        <v>458</v>
      </c>
      <c r="L599">
        <v>25700</v>
      </c>
      <c r="M599">
        <v>10</v>
      </c>
      <c r="N599">
        <v>138780</v>
      </c>
      <c r="O599" t="s">
        <v>73</v>
      </c>
      <c r="P599">
        <v>1</v>
      </c>
      <c r="Q599" t="s">
        <v>26</v>
      </c>
    </row>
    <row r="600" spans="1:17" x14ac:dyDescent="0.3">
      <c r="A600" t="s">
        <v>1210</v>
      </c>
      <c r="B600" t="s">
        <v>1211</v>
      </c>
      <c r="C600" t="s">
        <v>60</v>
      </c>
      <c r="D600" t="s">
        <v>20</v>
      </c>
      <c r="E600">
        <v>38</v>
      </c>
      <c r="F600" t="s">
        <v>440</v>
      </c>
      <c r="G600" t="s">
        <v>61</v>
      </c>
      <c r="H600" t="s">
        <v>62</v>
      </c>
      <c r="I600" t="s">
        <v>63</v>
      </c>
      <c r="J600" t="s">
        <v>34</v>
      </c>
      <c r="K600">
        <v>5</v>
      </c>
      <c r="L600">
        <v>16000</v>
      </c>
      <c r="M600">
        <v>0</v>
      </c>
      <c r="N600">
        <v>80000</v>
      </c>
      <c r="O600" t="s">
        <v>35</v>
      </c>
      <c r="P600">
        <v>1</v>
      </c>
      <c r="Q600" t="s">
        <v>65</v>
      </c>
    </row>
    <row r="601" spans="1:17" x14ac:dyDescent="0.3">
      <c r="A601" t="s">
        <v>1212</v>
      </c>
      <c r="B601" t="s">
        <v>1213</v>
      </c>
      <c r="C601" t="s">
        <v>68</v>
      </c>
      <c r="D601" t="s">
        <v>83</v>
      </c>
      <c r="E601">
        <v>23</v>
      </c>
      <c r="F601" t="s">
        <v>30</v>
      </c>
      <c r="G601" t="s">
        <v>57</v>
      </c>
      <c r="H601" t="s">
        <v>22</v>
      </c>
      <c r="I601" t="s">
        <v>23</v>
      </c>
      <c r="J601" t="s">
        <v>34</v>
      </c>
      <c r="K601">
        <v>8</v>
      </c>
      <c r="L601">
        <v>6500</v>
      </c>
      <c r="M601">
        <v>10</v>
      </c>
      <c r="N601">
        <v>46800</v>
      </c>
      <c r="O601" t="s">
        <v>48</v>
      </c>
      <c r="Q601" t="s">
        <v>41</v>
      </c>
    </row>
    <row r="602" spans="1:17" x14ac:dyDescent="0.3">
      <c r="A602" t="s">
        <v>1214</v>
      </c>
      <c r="B602" t="s">
        <v>1215</v>
      </c>
      <c r="C602" t="s">
        <v>94</v>
      </c>
      <c r="E602">
        <v>27</v>
      </c>
      <c r="F602" t="s">
        <v>51</v>
      </c>
      <c r="G602" t="s">
        <v>52</v>
      </c>
      <c r="H602" t="s">
        <v>455</v>
      </c>
      <c r="I602" t="s">
        <v>63</v>
      </c>
      <c r="J602" t="s">
        <v>24</v>
      </c>
      <c r="K602">
        <v>7</v>
      </c>
      <c r="L602">
        <v>16200</v>
      </c>
      <c r="M602">
        <v>0</v>
      </c>
      <c r="N602">
        <v>113400</v>
      </c>
      <c r="O602" t="s">
        <v>73</v>
      </c>
      <c r="P602">
        <v>3</v>
      </c>
      <c r="Q602" t="s">
        <v>41</v>
      </c>
    </row>
    <row r="603" spans="1:17" x14ac:dyDescent="0.3">
      <c r="A603" t="s">
        <v>1216</v>
      </c>
      <c r="B603" t="s">
        <v>1217</v>
      </c>
      <c r="C603" t="s">
        <v>38</v>
      </c>
      <c r="E603">
        <v>38</v>
      </c>
      <c r="F603" t="s">
        <v>51</v>
      </c>
      <c r="G603" t="s">
        <v>52</v>
      </c>
      <c r="H603" t="s">
        <v>431</v>
      </c>
      <c r="I603" t="s">
        <v>79</v>
      </c>
      <c r="J603" t="s">
        <v>89</v>
      </c>
      <c r="K603">
        <v>7</v>
      </c>
      <c r="L603">
        <v>7800</v>
      </c>
      <c r="M603">
        <v>5</v>
      </c>
      <c r="N603">
        <v>51870</v>
      </c>
      <c r="O603" t="s">
        <v>40</v>
      </c>
      <c r="Q603" t="s">
        <v>41</v>
      </c>
    </row>
    <row r="604" spans="1:17" x14ac:dyDescent="0.3">
      <c r="A604" t="s">
        <v>1218</v>
      </c>
      <c r="B604" t="s">
        <v>767</v>
      </c>
      <c r="C604" t="s">
        <v>68</v>
      </c>
      <c r="D604" t="s">
        <v>83</v>
      </c>
      <c r="E604">
        <v>32</v>
      </c>
      <c r="F604" t="s">
        <v>21</v>
      </c>
      <c r="G604" t="s">
        <v>21</v>
      </c>
      <c r="H604" t="s">
        <v>32</v>
      </c>
      <c r="I604" t="s">
        <v>53</v>
      </c>
      <c r="J604" t="s">
        <v>80</v>
      </c>
      <c r="K604">
        <v>6</v>
      </c>
      <c r="L604">
        <v>29500</v>
      </c>
      <c r="M604">
        <v>0</v>
      </c>
      <c r="N604">
        <v>177000</v>
      </c>
      <c r="O604" t="s">
        <v>73</v>
      </c>
      <c r="P604">
        <v>4</v>
      </c>
      <c r="Q604" t="s">
        <v>26</v>
      </c>
    </row>
    <row r="605" spans="1:17" x14ac:dyDescent="0.3">
      <c r="A605" t="s">
        <v>1219</v>
      </c>
      <c r="B605" t="s">
        <v>1220</v>
      </c>
      <c r="C605" t="s">
        <v>19</v>
      </c>
      <c r="E605">
        <v>65</v>
      </c>
      <c r="F605" t="s">
        <v>51</v>
      </c>
      <c r="G605" t="s">
        <v>52</v>
      </c>
      <c r="H605" t="s">
        <v>22</v>
      </c>
      <c r="I605" t="s">
        <v>23</v>
      </c>
      <c r="J605" t="s">
        <v>72</v>
      </c>
      <c r="K605">
        <v>2</v>
      </c>
      <c r="L605">
        <v>43100</v>
      </c>
      <c r="M605">
        <v>10</v>
      </c>
      <c r="N605">
        <v>77580</v>
      </c>
      <c r="O605" t="s">
        <v>40</v>
      </c>
      <c r="Q605" t="s">
        <v>41</v>
      </c>
    </row>
    <row r="606" spans="1:17" x14ac:dyDescent="0.3">
      <c r="A606" t="s">
        <v>1221</v>
      </c>
      <c r="B606" t="s">
        <v>210</v>
      </c>
      <c r="C606" t="s">
        <v>68</v>
      </c>
      <c r="D606" t="s">
        <v>20</v>
      </c>
      <c r="E606">
        <v>40</v>
      </c>
      <c r="F606" t="s">
        <v>61</v>
      </c>
      <c r="G606" t="s">
        <v>61</v>
      </c>
      <c r="H606" t="s">
        <v>46</v>
      </c>
      <c r="I606" t="s">
        <v>47</v>
      </c>
      <c r="J606" t="s">
        <v>34</v>
      </c>
      <c r="K606" t="s">
        <v>458</v>
      </c>
      <c r="L606">
        <v>16200</v>
      </c>
      <c r="M606">
        <v>15</v>
      </c>
      <c r="N606">
        <v>82620</v>
      </c>
      <c r="O606" t="s">
        <v>35</v>
      </c>
      <c r="P606">
        <v>3</v>
      </c>
      <c r="Q606" t="s">
        <v>74</v>
      </c>
    </row>
    <row r="607" spans="1:17" x14ac:dyDescent="0.3">
      <c r="A607" t="s">
        <v>1222</v>
      </c>
      <c r="B607" t="s">
        <v>1223</v>
      </c>
      <c r="C607" t="s">
        <v>38</v>
      </c>
      <c r="D607" t="s">
        <v>39</v>
      </c>
      <c r="E607">
        <v>-3</v>
      </c>
      <c r="F607" t="s">
        <v>44</v>
      </c>
      <c r="G607" t="s">
        <v>45</v>
      </c>
      <c r="H607" t="s">
        <v>32</v>
      </c>
      <c r="I607" t="s">
        <v>33</v>
      </c>
      <c r="J607" t="s">
        <v>80</v>
      </c>
      <c r="K607">
        <v>3</v>
      </c>
      <c r="L607">
        <v>41900</v>
      </c>
      <c r="M607">
        <v>10</v>
      </c>
      <c r="N607">
        <v>113130</v>
      </c>
      <c r="O607" t="s">
        <v>48</v>
      </c>
      <c r="P607">
        <v>5</v>
      </c>
      <c r="Q607" t="s">
        <v>65</v>
      </c>
    </row>
    <row r="608" spans="1:17" x14ac:dyDescent="0.3">
      <c r="A608" t="s">
        <v>1224</v>
      </c>
      <c r="B608" t="s">
        <v>1225</v>
      </c>
      <c r="C608" t="s">
        <v>71</v>
      </c>
      <c r="E608">
        <v>22</v>
      </c>
      <c r="F608" t="s">
        <v>30</v>
      </c>
      <c r="G608" t="s">
        <v>31</v>
      </c>
      <c r="H608" t="s">
        <v>62</v>
      </c>
      <c r="I608" t="s">
        <v>63</v>
      </c>
      <c r="J608" t="s">
        <v>89</v>
      </c>
      <c r="K608">
        <v>5</v>
      </c>
      <c r="L608">
        <v>24100</v>
      </c>
      <c r="M608">
        <v>20</v>
      </c>
      <c r="N608">
        <v>96400</v>
      </c>
      <c r="O608" t="s">
        <v>35</v>
      </c>
      <c r="P608">
        <v>4</v>
      </c>
      <c r="Q608" t="s">
        <v>65</v>
      </c>
    </row>
    <row r="609" spans="1:17" x14ac:dyDescent="0.3">
      <c r="A609" t="s">
        <v>1226</v>
      </c>
      <c r="B609" t="s">
        <v>1227</v>
      </c>
      <c r="C609" t="s">
        <v>29</v>
      </c>
      <c r="D609" t="s">
        <v>103</v>
      </c>
      <c r="E609">
        <v>33</v>
      </c>
      <c r="F609" t="s">
        <v>51</v>
      </c>
      <c r="G609" t="s">
        <v>52</v>
      </c>
      <c r="H609" t="s">
        <v>32</v>
      </c>
      <c r="I609" t="s">
        <v>33</v>
      </c>
      <c r="J609" t="s">
        <v>34</v>
      </c>
      <c r="K609">
        <v>7</v>
      </c>
      <c r="L609">
        <v>19600</v>
      </c>
      <c r="M609">
        <v>15</v>
      </c>
      <c r="N609">
        <v>116620</v>
      </c>
      <c r="O609" t="s">
        <v>48</v>
      </c>
      <c r="Q609" t="s">
        <v>65</v>
      </c>
    </row>
    <row r="610" spans="1:17" x14ac:dyDescent="0.3">
      <c r="A610" t="s">
        <v>1228</v>
      </c>
      <c r="B610" t="s">
        <v>648</v>
      </c>
      <c r="C610" t="s">
        <v>60</v>
      </c>
      <c r="D610" t="s">
        <v>103</v>
      </c>
      <c r="E610">
        <v>32</v>
      </c>
      <c r="F610" t="s">
        <v>77</v>
      </c>
      <c r="G610" t="s">
        <v>95</v>
      </c>
      <c r="H610" t="s">
        <v>62</v>
      </c>
      <c r="I610" t="s">
        <v>63</v>
      </c>
      <c r="J610" t="s">
        <v>64</v>
      </c>
      <c r="K610">
        <v>9</v>
      </c>
      <c r="L610">
        <v>37800</v>
      </c>
      <c r="M610">
        <v>0</v>
      </c>
      <c r="N610" t="s">
        <v>1229</v>
      </c>
      <c r="O610" t="s">
        <v>40</v>
      </c>
      <c r="P610">
        <v>1</v>
      </c>
      <c r="Q610" t="s">
        <v>26</v>
      </c>
    </row>
    <row r="611" spans="1:17" x14ac:dyDescent="0.3">
      <c r="A611" t="s">
        <v>1230</v>
      </c>
      <c r="B611" t="s">
        <v>1231</v>
      </c>
      <c r="C611" t="s">
        <v>68</v>
      </c>
      <c r="D611" t="s">
        <v>83</v>
      </c>
      <c r="E611">
        <v>57</v>
      </c>
      <c r="F611" t="s">
        <v>77</v>
      </c>
      <c r="G611" t="s">
        <v>78</v>
      </c>
      <c r="H611" t="s">
        <v>46</v>
      </c>
      <c r="I611" t="s">
        <v>47</v>
      </c>
      <c r="J611" t="s">
        <v>24</v>
      </c>
      <c r="K611">
        <v>5</v>
      </c>
      <c r="L611">
        <v>4300</v>
      </c>
      <c r="M611">
        <v>0</v>
      </c>
      <c r="N611">
        <v>21500</v>
      </c>
      <c r="O611" t="s">
        <v>73</v>
      </c>
      <c r="P611">
        <v>2</v>
      </c>
      <c r="Q611" t="s">
        <v>74</v>
      </c>
    </row>
    <row r="612" spans="1:17" x14ac:dyDescent="0.3">
      <c r="A612" t="s">
        <v>1232</v>
      </c>
      <c r="B612" t="s">
        <v>1233</v>
      </c>
      <c r="C612" t="s">
        <v>121</v>
      </c>
      <c r="D612" t="s">
        <v>39</v>
      </c>
      <c r="E612">
        <v>32</v>
      </c>
      <c r="F612" t="s">
        <v>61</v>
      </c>
      <c r="G612" t="s">
        <v>61</v>
      </c>
      <c r="H612" t="s">
        <v>455</v>
      </c>
      <c r="I612" t="s">
        <v>140</v>
      </c>
      <c r="J612" t="s">
        <v>34</v>
      </c>
      <c r="K612">
        <v>2</v>
      </c>
      <c r="L612">
        <v>42100</v>
      </c>
      <c r="M612">
        <v>0</v>
      </c>
      <c r="N612">
        <v>84200</v>
      </c>
      <c r="O612" t="s">
        <v>105</v>
      </c>
      <c r="P612">
        <v>3</v>
      </c>
      <c r="Q612" t="s">
        <v>41</v>
      </c>
    </row>
    <row r="613" spans="1:17" x14ac:dyDescent="0.3">
      <c r="A613" t="s">
        <v>1234</v>
      </c>
      <c r="B613" t="s">
        <v>1235</v>
      </c>
      <c r="C613" t="s">
        <v>19</v>
      </c>
      <c r="E613">
        <v>65</v>
      </c>
      <c r="F613" t="s">
        <v>61</v>
      </c>
      <c r="G613" t="s">
        <v>61</v>
      </c>
      <c r="H613" t="s">
        <v>62</v>
      </c>
      <c r="I613" t="s">
        <v>63</v>
      </c>
      <c r="J613" t="s">
        <v>89</v>
      </c>
      <c r="K613">
        <v>6</v>
      </c>
      <c r="L613">
        <v>16700</v>
      </c>
      <c r="M613">
        <v>10</v>
      </c>
      <c r="N613">
        <v>90180</v>
      </c>
      <c r="O613" t="s">
        <v>73</v>
      </c>
      <c r="Q613" t="s">
        <v>26</v>
      </c>
    </row>
    <row r="614" spans="1:17" x14ac:dyDescent="0.3">
      <c r="A614" t="s">
        <v>1236</v>
      </c>
      <c r="B614" t="s">
        <v>1237</v>
      </c>
      <c r="C614" t="s">
        <v>29</v>
      </c>
      <c r="E614">
        <v>58</v>
      </c>
      <c r="F614" t="s">
        <v>30</v>
      </c>
      <c r="G614" t="s">
        <v>31</v>
      </c>
      <c r="H614" t="s">
        <v>22</v>
      </c>
      <c r="I614" t="s">
        <v>23</v>
      </c>
      <c r="J614" t="s">
        <v>64</v>
      </c>
      <c r="K614">
        <v>5</v>
      </c>
      <c r="L614">
        <v>18500</v>
      </c>
      <c r="M614">
        <v>25</v>
      </c>
      <c r="N614">
        <v>69375</v>
      </c>
      <c r="O614" t="s">
        <v>40</v>
      </c>
      <c r="P614">
        <v>1</v>
      </c>
      <c r="Q614" t="s">
        <v>41</v>
      </c>
    </row>
    <row r="615" spans="1:17" x14ac:dyDescent="0.3">
      <c r="A615" t="s">
        <v>1238</v>
      </c>
      <c r="B615" t="s">
        <v>1239</v>
      </c>
      <c r="C615" t="s">
        <v>113</v>
      </c>
      <c r="D615" t="s">
        <v>103</v>
      </c>
      <c r="E615">
        <v>56</v>
      </c>
      <c r="F615" t="s">
        <v>77</v>
      </c>
      <c r="G615" t="s">
        <v>95</v>
      </c>
      <c r="H615" t="s">
        <v>46</v>
      </c>
      <c r="I615" t="s">
        <v>79</v>
      </c>
      <c r="J615" t="s">
        <v>72</v>
      </c>
      <c r="K615" t="s">
        <v>184</v>
      </c>
      <c r="L615">
        <v>5000</v>
      </c>
      <c r="M615">
        <v>5</v>
      </c>
      <c r="N615">
        <v>23750</v>
      </c>
      <c r="O615" t="s">
        <v>25</v>
      </c>
      <c r="P615">
        <v>1</v>
      </c>
      <c r="Q615" t="s">
        <v>65</v>
      </c>
    </row>
    <row r="616" spans="1:17" x14ac:dyDescent="0.3">
      <c r="A616" t="s">
        <v>1240</v>
      </c>
      <c r="B616" t="s">
        <v>1241</v>
      </c>
      <c r="C616" t="s">
        <v>71</v>
      </c>
      <c r="D616" t="s">
        <v>103</v>
      </c>
      <c r="E616">
        <v>65</v>
      </c>
      <c r="F616" t="s">
        <v>44</v>
      </c>
      <c r="G616" t="s">
        <v>45</v>
      </c>
      <c r="H616" t="s">
        <v>22</v>
      </c>
      <c r="I616" t="s">
        <v>84</v>
      </c>
      <c r="J616" t="s">
        <v>34</v>
      </c>
      <c r="K616">
        <v>4</v>
      </c>
      <c r="L616">
        <v>48500</v>
      </c>
      <c r="M616">
        <v>15</v>
      </c>
      <c r="N616">
        <v>164900</v>
      </c>
      <c r="O616" t="s">
        <v>162</v>
      </c>
      <c r="P616">
        <v>2</v>
      </c>
      <c r="Q616" t="s">
        <v>26</v>
      </c>
    </row>
    <row r="617" spans="1:17" x14ac:dyDescent="0.3">
      <c r="A617" t="s">
        <v>1242</v>
      </c>
      <c r="B617" t="s">
        <v>139</v>
      </c>
      <c r="C617" t="s">
        <v>94</v>
      </c>
      <c r="D617" t="s">
        <v>20</v>
      </c>
      <c r="E617">
        <v>21</v>
      </c>
      <c r="F617" t="s">
        <v>61</v>
      </c>
      <c r="G617" t="s">
        <v>61</v>
      </c>
      <c r="H617" t="s">
        <v>22</v>
      </c>
      <c r="I617" t="s">
        <v>84</v>
      </c>
      <c r="J617" t="s">
        <v>89</v>
      </c>
      <c r="K617">
        <v>4</v>
      </c>
      <c r="L617">
        <v>38300</v>
      </c>
      <c r="M617">
        <v>25</v>
      </c>
      <c r="N617">
        <v>114900</v>
      </c>
      <c r="O617" t="s">
        <v>105</v>
      </c>
      <c r="P617">
        <v>2</v>
      </c>
      <c r="Q617" t="s">
        <v>26</v>
      </c>
    </row>
    <row r="618" spans="1:17" x14ac:dyDescent="0.3">
      <c r="A618" t="s">
        <v>1243</v>
      </c>
      <c r="B618" t="s">
        <v>1244</v>
      </c>
      <c r="C618" t="s">
        <v>94</v>
      </c>
      <c r="D618" t="s">
        <v>83</v>
      </c>
      <c r="E618">
        <v>51</v>
      </c>
      <c r="F618" t="s">
        <v>44</v>
      </c>
      <c r="G618" t="s">
        <v>45</v>
      </c>
      <c r="H618" t="s">
        <v>32</v>
      </c>
      <c r="I618" t="s">
        <v>53</v>
      </c>
      <c r="J618" t="s">
        <v>72</v>
      </c>
      <c r="K618">
        <v>9</v>
      </c>
      <c r="L618">
        <v>4200</v>
      </c>
      <c r="M618">
        <v>0</v>
      </c>
      <c r="N618">
        <v>37800</v>
      </c>
      <c r="O618" t="s">
        <v>85</v>
      </c>
      <c r="P618">
        <v>5</v>
      </c>
      <c r="Q618" t="s">
        <v>65</v>
      </c>
    </row>
    <row r="619" spans="1:17" x14ac:dyDescent="0.3">
      <c r="A619" t="s">
        <v>1245</v>
      </c>
      <c r="B619" t="s">
        <v>1246</v>
      </c>
      <c r="C619" t="s">
        <v>68</v>
      </c>
      <c r="D619" t="s">
        <v>83</v>
      </c>
      <c r="E619">
        <v>25</v>
      </c>
      <c r="F619" t="s">
        <v>61</v>
      </c>
      <c r="G619" t="s">
        <v>61</v>
      </c>
      <c r="H619" t="s">
        <v>32</v>
      </c>
      <c r="I619" t="s">
        <v>33</v>
      </c>
      <c r="J619" t="s">
        <v>64</v>
      </c>
      <c r="K619">
        <v>10</v>
      </c>
      <c r="L619">
        <v>17200</v>
      </c>
      <c r="M619">
        <v>5</v>
      </c>
      <c r="N619">
        <v>163400</v>
      </c>
      <c r="O619" t="s">
        <v>25</v>
      </c>
      <c r="P619">
        <v>5</v>
      </c>
      <c r="Q619" t="s">
        <v>26</v>
      </c>
    </row>
    <row r="620" spans="1:17" x14ac:dyDescent="0.3">
      <c r="A620" t="s">
        <v>1247</v>
      </c>
      <c r="B620" t="s">
        <v>1248</v>
      </c>
      <c r="C620" t="s">
        <v>19</v>
      </c>
      <c r="D620" t="s">
        <v>20</v>
      </c>
      <c r="E620">
        <v>57</v>
      </c>
      <c r="F620" t="s">
        <v>61</v>
      </c>
      <c r="G620" t="s">
        <v>61</v>
      </c>
      <c r="H620" t="s">
        <v>431</v>
      </c>
      <c r="I620" t="s">
        <v>79</v>
      </c>
      <c r="J620" t="s">
        <v>80</v>
      </c>
      <c r="K620">
        <v>1</v>
      </c>
      <c r="L620">
        <v>14500</v>
      </c>
      <c r="M620">
        <v>15</v>
      </c>
      <c r="N620">
        <v>12325</v>
      </c>
      <c r="O620" t="s">
        <v>48</v>
      </c>
      <c r="P620">
        <v>2</v>
      </c>
      <c r="Q620" t="s">
        <v>26</v>
      </c>
    </row>
    <row r="621" spans="1:17" x14ac:dyDescent="0.3">
      <c r="A621" t="s">
        <v>1249</v>
      </c>
      <c r="B621" t="s">
        <v>1250</v>
      </c>
      <c r="C621" t="s">
        <v>113</v>
      </c>
      <c r="D621" t="s">
        <v>103</v>
      </c>
      <c r="E621">
        <v>29</v>
      </c>
      <c r="F621" t="s">
        <v>56</v>
      </c>
      <c r="G621" t="s">
        <v>31</v>
      </c>
      <c r="H621" t="s">
        <v>46</v>
      </c>
      <c r="I621" t="s">
        <v>79</v>
      </c>
      <c r="J621" t="s">
        <v>64</v>
      </c>
      <c r="K621">
        <v>3</v>
      </c>
      <c r="L621">
        <v>27600</v>
      </c>
      <c r="M621">
        <v>10</v>
      </c>
      <c r="N621">
        <v>74520</v>
      </c>
      <c r="O621" t="s">
        <v>35</v>
      </c>
      <c r="P621">
        <v>2</v>
      </c>
      <c r="Q621" t="s">
        <v>26</v>
      </c>
    </row>
    <row r="622" spans="1:17" x14ac:dyDescent="0.3">
      <c r="A622" t="s">
        <v>1251</v>
      </c>
      <c r="B622" t="s">
        <v>1252</v>
      </c>
      <c r="C622" t="s">
        <v>38</v>
      </c>
      <c r="D622" t="s">
        <v>20</v>
      </c>
      <c r="E622">
        <v>25</v>
      </c>
      <c r="F622" t="s">
        <v>1253</v>
      </c>
      <c r="G622" t="s">
        <v>52</v>
      </c>
      <c r="H622" t="s">
        <v>32</v>
      </c>
      <c r="I622" t="s">
        <v>33</v>
      </c>
      <c r="J622" t="s">
        <v>72</v>
      </c>
      <c r="K622">
        <v>4</v>
      </c>
      <c r="L622">
        <v>4100</v>
      </c>
      <c r="M622">
        <v>0</v>
      </c>
      <c r="N622">
        <v>16400</v>
      </c>
      <c r="O622" t="s">
        <v>73</v>
      </c>
      <c r="P622">
        <v>5</v>
      </c>
      <c r="Q622" t="s">
        <v>41</v>
      </c>
    </row>
    <row r="623" spans="1:17" x14ac:dyDescent="0.3">
      <c r="A623" t="s">
        <v>1254</v>
      </c>
      <c r="B623" t="s">
        <v>1217</v>
      </c>
      <c r="C623" t="s">
        <v>29</v>
      </c>
      <c r="D623" t="s">
        <v>103</v>
      </c>
      <c r="E623">
        <v>23</v>
      </c>
      <c r="F623" t="s">
        <v>77</v>
      </c>
      <c r="G623" t="s">
        <v>95</v>
      </c>
      <c r="H623" t="s">
        <v>46</v>
      </c>
      <c r="I623" t="s">
        <v>79</v>
      </c>
      <c r="J623" t="s">
        <v>80</v>
      </c>
      <c r="K623">
        <v>8</v>
      </c>
      <c r="L623">
        <v>30500</v>
      </c>
      <c r="M623">
        <v>25</v>
      </c>
      <c r="N623">
        <v>183000</v>
      </c>
      <c r="O623" t="s">
        <v>35</v>
      </c>
      <c r="P623">
        <v>3</v>
      </c>
      <c r="Q623" t="s">
        <v>26</v>
      </c>
    </row>
    <row r="624" spans="1:17" x14ac:dyDescent="0.3">
      <c r="A624" t="s">
        <v>1255</v>
      </c>
      <c r="B624" t="s">
        <v>422</v>
      </c>
      <c r="C624" t="s">
        <v>121</v>
      </c>
      <c r="D624" t="s">
        <v>20</v>
      </c>
      <c r="E624">
        <v>24</v>
      </c>
      <c r="F624" t="s">
        <v>44</v>
      </c>
      <c r="G624" t="s">
        <v>45</v>
      </c>
      <c r="H624" t="s">
        <v>22</v>
      </c>
      <c r="I624" t="s">
        <v>84</v>
      </c>
      <c r="J624" t="s">
        <v>72</v>
      </c>
      <c r="K624">
        <v>2</v>
      </c>
      <c r="L624">
        <v>34600</v>
      </c>
      <c r="M624">
        <v>15</v>
      </c>
      <c r="N624">
        <v>58820</v>
      </c>
      <c r="O624" t="s">
        <v>40</v>
      </c>
      <c r="Q624" t="s">
        <v>41</v>
      </c>
    </row>
    <row r="625" spans="1:17" x14ac:dyDescent="0.3">
      <c r="A625" t="s">
        <v>1256</v>
      </c>
      <c r="B625" t="s">
        <v>1257</v>
      </c>
      <c r="C625" t="s">
        <v>121</v>
      </c>
      <c r="D625" t="s">
        <v>39</v>
      </c>
      <c r="E625">
        <v>49</v>
      </c>
      <c r="F625" t="s">
        <v>21</v>
      </c>
      <c r="G625" t="s">
        <v>21</v>
      </c>
      <c r="H625" t="s">
        <v>32</v>
      </c>
      <c r="I625" t="s">
        <v>33</v>
      </c>
      <c r="J625" t="s">
        <v>64</v>
      </c>
      <c r="K625">
        <v>8</v>
      </c>
      <c r="L625">
        <v>40500</v>
      </c>
      <c r="M625">
        <v>20</v>
      </c>
      <c r="N625">
        <v>259200</v>
      </c>
      <c r="O625" t="s">
        <v>85</v>
      </c>
      <c r="Q625" t="s">
        <v>41</v>
      </c>
    </row>
    <row r="626" spans="1:17" x14ac:dyDescent="0.3">
      <c r="A626" t="s">
        <v>1258</v>
      </c>
      <c r="B626" t="s">
        <v>1259</v>
      </c>
      <c r="C626" t="s">
        <v>19</v>
      </c>
      <c r="D626" t="s">
        <v>20</v>
      </c>
      <c r="E626">
        <v>25</v>
      </c>
      <c r="F626" t="s">
        <v>51</v>
      </c>
      <c r="G626" t="s">
        <v>104</v>
      </c>
      <c r="H626" t="s">
        <v>62</v>
      </c>
      <c r="I626" t="s">
        <v>63</v>
      </c>
      <c r="J626" t="s">
        <v>34</v>
      </c>
      <c r="K626">
        <v>8</v>
      </c>
      <c r="L626">
        <v>43300</v>
      </c>
      <c r="M626">
        <v>5</v>
      </c>
      <c r="N626">
        <v>329080</v>
      </c>
      <c r="O626" t="s">
        <v>85</v>
      </c>
      <c r="P626">
        <v>1</v>
      </c>
      <c r="Q626" t="s">
        <v>41</v>
      </c>
    </row>
    <row r="627" spans="1:17" x14ac:dyDescent="0.3">
      <c r="A627" t="s">
        <v>1260</v>
      </c>
      <c r="B627" t="s">
        <v>1261</v>
      </c>
      <c r="C627" t="s">
        <v>113</v>
      </c>
      <c r="D627" t="s">
        <v>39</v>
      </c>
      <c r="E627">
        <v>28</v>
      </c>
      <c r="F627" t="s">
        <v>51</v>
      </c>
      <c r="G627" t="s">
        <v>104</v>
      </c>
      <c r="H627" t="s">
        <v>32</v>
      </c>
      <c r="I627" t="s">
        <v>33</v>
      </c>
      <c r="J627" t="s">
        <v>72</v>
      </c>
      <c r="K627">
        <v>3</v>
      </c>
      <c r="L627">
        <v>20500</v>
      </c>
      <c r="M627">
        <v>0</v>
      </c>
      <c r="N627">
        <v>61500</v>
      </c>
      <c r="O627" t="s">
        <v>25</v>
      </c>
      <c r="P627">
        <v>4</v>
      </c>
      <c r="Q627" t="s">
        <v>26</v>
      </c>
    </row>
    <row r="628" spans="1:17" x14ac:dyDescent="0.3">
      <c r="A628" t="s">
        <v>1262</v>
      </c>
      <c r="B628" t="s">
        <v>1263</v>
      </c>
      <c r="C628" t="s">
        <v>113</v>
      </c>
      <c r="D628" t="s">
        <v>83</v>
      </c>
      <c r="E628">
        <v>-3</v>
      </c>
      <c r="F628" t="s">
        <v>21</v>
      </c>
      <c r="G628" t="s">
        <v>21</v>
      </c>
      <c r="H628" t="s">
        <v>455</v>
      </c>
      <c r="I628" t="s">
        <v>140</v>
      </c>
      <c r="J628" t="s">
        <v>89</v>
      </c>
      <c r="K628">
        <v>1</v>
      </c>
      <c r="L628">
        <v>28300</v>
      </c>
      <c r="M628">
        <v>20</v>
      </c>
      <c r="N628">
        <v>22640</v>
      </c>
      <c r="O628" t="s">
        <v>25</v>
      </c>
      <c r="P628">
        <v>1</v>
      </c>
      <c r="Q628" t="s">
        <v>74</v>
      </c>
    </row>
    <row r="629" spans="1:17" x14ac:dyDescent="0.3">
      <c r="A629" t="s">
        <v>1264</v>
      </c>
      <c r="B629" t="s">
        <v>1265</v>
      </c>
      <c r="C629" t="s">
        <v>113</v>
      </c>
      <c r="D629" t="s">
        <v>20</v>
      </c>
      <c r="E629">
        <v>37</v>
      </c>
      <c r="F629" t="s">
        <v>77</v>
      </c>
      <c r="G629" t="s">
        <v>78</v>
      </c>
      <c r="H629" t="s">
        <v>22</v>
      </c>
      <c r="I629" t="s">
        <v>23</v>
      </c>
      <c r="J629" t="s">
        <v>72</v>
      </c>
      <c r="K629">
        <v>1</v>
      </c>
      <c r="L629">
        <v>7600</v>
      </c>
      <c r="M629">
        <v>15</v>
      </c>
      <c r="N629">
        <v>6460</v>
      </c>
      <c r="O629" t="s">
        <v>73</v>
      </c>
      <c r="P629">
        <v>4</v>
      </c>
      <c r="Q629" t="s">
        <v>65</v>
      </c>
    </row>
    <row r="630" spans="1:17" x14ac:dyDescent="0.3">
      <c r="A630" t="s">
        <v>1266</v>
      </c>
      <c r="B630" t="s">
        <v>189</v>
      </c>
      <c r="C630" t="s">
        <v>71</v>
      </c>
      <c r="D630" t="s">
        <v>103</v>
      </c>
      <c r="E630">
        <v>63</v>
      </c>
      <c r="F630" t="s">
        <v>30</v>
      </c>
      <c r="G630" t="s">
        <v>57</v>
      </c>
      <c r="H630" t="s">
        <v>32</v>
      </c>
      <c r="I630" t="s">
        <v>33</v>
      </c>
      <c r="J630" t="s">
        <v>72</v>
      </c>
      <c r="K630">
        <v>1</v>
      </c>
      <c r="L630">
        <v>32300</v>
      </c>
      <c r="M630">
        <v>25</v>
      </c>
      <c r="N630">
        <v>24225</v>
      </c>
      <c r="O630" t="s">
        <v>73</v>
      </c>
      <c r="P630">
        <v>2</v>
      </c>
      <c r="Q630" t="s">
        <v>74</v>
      </c>
    </row>
    <row r="631" spans="1:17" x14ac:dyDescent="0.3">
      <c r="A631" t="s">
        <v>1267</v>
      </c>
      <c r="B631" t="s">
        <v>1268</v>
      </c>
      <c r="C631" t="s">
        <v>38</v>
      </c>
      <c r="D631" t="s">
        <v>20</v>
      </c>
      <c r="E631">
        <v>35</v>
      </c>
      <c r="F631" t="s">
        <v>61</v>
      </c>
      <c r="G631" t="s">
        <v>61</v>
      </c>
      <c r="H631" t="s">
        <v>32</v>
      </c>
      <c r="I631" t="s">
        <v>33</v>
      </c>
      <c r="J631" t="s">
        <v>89</v>
      </c>
      <c r="K631">
        <v>8</v>
      </c>
      <c r="L631">
        <v>10600</v>
      </c>
      <c r="M631">
        <v>15</v>
      </c>
      <c r="N631">
        <v>72080</v>
      </c>
      <c r="O631" t="s">
        <v>73</v>
      </c>
      <c r="Q631" t="s">
        <v>41</v>
      </c>
    </row>
    <row r="632" spans="1:17" x14ac:dyDescent="0.3">
      <c r="A632" t="s">
        <v>1269</v>
      </c>
      <c r="B632" t="s">
        <v>1270</v>
      </c>
      <c r="C632" t="s">
        <v>88</v>
      </c>
      <c r="D632" t="s">
        <v>20</v>
      </c>
      <c r="E632">
        <v>45</v>
      </c>
      <c r="F632" t="s">
        <v>30</v>
      </c>
      <c r="G632" t="s">
        <v>57</v>
      </c>
      <c r="H632" t="s">
        <v>22</v>
      </c>
      <c r="I632" t="s">
        <v>23</v>
      </c>
      <c r="J632" t="s">
        <v>34</v>
      </c>
      <c r="K632">
        <v>2</v>
      </c>
      <c r="L632">
        <v>35100</v>
      </c>
      <c r="M632">
        <v>0</v>
      </c>
      <c r="N632">
        <v>70200</v>
      </c>
      <c r="O632" t="s">
        <v>105</v>
      </c>
      <c r="P632">
        <v>5</v>
      </c>
      <c r="Q632" t="s">
        <v>41</v>
      </c>
    </row>
    <row r="633" spans="1:17" x14ac:dyDescent="0.3">
      <c r="A633" t="s">
        <v>1271</v>
      </c>
      <c r="B633" t="s">
        <v>1272</v>
      </c>
      <c r="C633" t="s">
        <v>71</v>
      </c>
      <c r="D633" t="s">
        <v>39</v>
      </c>
      <c r="E633">
        <v>56</v>
      </c>
      <c r="F633" t="s">
        <v>44</v>
      </c>
      <c r="G633" t="s">
        <v>100</v>
      </c>
      <c r="H633" t="s">
        <v>32</v>
      </c>
      <c r="I633" t="s">
        <v>33</v>
      </c>
      <c r="J633" t="s">
        <v>89</v>
      </c>
      <c r="K633">
        <v>10</v>
      </c>
      <c r="L633">
        <v>7800</v>
      </c>
      <c r="M633">
        <v>0</v>
      </c>
      <c r="N633">
        <v>78000</v>
      </c>
      <c r="O633" t="s">
        <v>48</v>
      </c>
      <c r="Q633" t="s">
        <v>41</v>
      </c>
    </row>
    <row r="634" spans="1:17" x14ac:dyDescent="0.3">
      <c r="A634" t="s">
        <v>1273</v>
      </c>
      <c r="B634" t="s">
        <v>1213</v>
      </c>
      <c r="C634" t="s">
        <v>68</v>
      </c>
      <c r="E634">
        <v>19</v>
      </c>
      <c r="F634" t="s">
        <v>77</v>
      </c>
      <c r="G634" t="s">
        <v>78</v>
      </c>
      <c r="H634" t="s">
        <v>22</v>
      </c>
      <c r="I634" t="s">
        <v>23</v>
      </c>
      <c r="J634" t="s">
        <v>24</v>
      </c>
      <c r="K634">
        <v>1</v>
      </c>
      <c r="L634">
        <v>49200</v>
      </c>
      <c r="M634">
        <v>5</v>
      </c>
      <c r="N634">
        <v>46740</v>
      </c>
      <c r="O634" t="s">
        <v>48</v>
      </c>
      <c r="P634">
        <v>5</v>
      </c>
      <c r="Q634" t="s">
        <v>74</v>
      </c>
    </row>
    <row r="635" spans="1:17" x14ac:dyDescent="0.3">
      <c r="A635" t="s">
        <v>1274</v>
      </c>
      <c r="B635" t="s">
        <v>1275</v>
      </c>
      <c r="C635" t="s">
        <v>19</v>
      </c>
      <c r="E635">
        <v>65</v>
      </c>
      <c r="F635" t="s">
        <v>77</v>
      </c>
      <c r="G635" t="s">
        <v>78</v>
      </c>
      <c r="H635" t="s">
        <v>32</v>
      </c>
      <c r="I635" t="s">
        <v>53</v>
      </c>
      <c r="J635" t="s">
        <v>34</v>
      </c>
      <c r="K635">
        <v>9</v>
      </c>
      <c r="L635">
        <v>13400</v>
      </c>
      <c r="M635">
        <v>25</v>
      </c>
      <c r="N635">
        <v>90450</v>
      </c>
      <c r="O635" t="s">
        <v>35</v>
      </c>
      <c r="P635">
        <v>5</v>
      </c>
      <c r="Q635" t="s">
        <v>41</v>
      </c>
    </row>
    <row r="636" spans="1:17" x14ac:dyDescent="0.3">
      <c r="A636" t="s">
        <v>1276</v>
      </c>
      <c r="B636" t="s">
        <v>1277</v>
      </c>
      <c r="C636" t="s">
        <v>71</v>
      </c>
      <c r="D636" t="s">
        <v>20</v>
      </c>
      <c r="E636">
        <v>18</v>
      </c>
      <c r="F636" t="s">
        <v>211</v>
      </c>
      <c r="G636" t="s">
        <v>45</v>
      </c>
      <c r="H636" t="s">
        <v>62</v>
      </c>
      <c r="I636" t="s">
        <v>140</v>
      </c>
      <c r="J636" t="s">
        <v>72</v>
      </c>
      <c r="K636" t="s">
        <v>443</v>
      </c>
      <c r="L636">
        <v>12900</v>
      </c>
      <c r="M636">
        <v>0</v>
      </c>
      <c r="N636">
        <v>129000</v>
      </c>
      <c r="O636" t="s">
        <v>25</v>
      </c>
      <c r="Q636" t="s">
        <v>65</v>
      </c>
    </row>
    <row r="637" spans="1:17" x14ac:dyDescent="0.3">
      <c r="A637" t="s">
        <v>1278</v>
      </c>
      <c r="B637" t="s">
        <v>1279</v>
      </c>
      <c r="C637" t="s">
        <v>38</v>
      </c>
      <c r="D637" t="s">
        <v>83</v>
      </c>
      <c r="E637">
        <v>51</v>
      </c>
      <c r="F637" t="s">
        <v>77</v>
      </c>
      <c r="G637" t="s">
        <v>78</v>
      </c>
      <c r="H637" t="s">
        <v>22</v>
      </c>
      <c r="I637" t="s">
        <v>23</v>
      </c>
      <c r="J637" t="s">
        <v>89</v>
      </c>
      <c r="K637">
        <v>5</v>
      </c>
      <c r="L637">
        <v>25300</v>
      </c>
      <c r="M637">
        <v>0</v>
      </c>
      <c r="N637">
        <v>126500</v>
      </c>
      <c r="O637" t="s">
        <v>40</v>
      </c>
      <c r="P637">
        <v>4</v>
      </c>
      <c r="Q637" t="s">
        <v>74</v>
      </c>
    </row>
    <row r="638" spans="1:17" x14ac:dyDescent="0.3">
      <c r="A638" t="s">
        <v>1280</v>
      </c>
      <c r="B638" t="s">
        <v>139</v>
      </c>
      <c r="C638" t="s">
        <v>29</v>
      </c>
      <c r="E638">
        <v>28</v>
      </c>
      <c r="F638" t="s">
        <v>77</v>
      </c>
      <c r="G638" t="s">
        <v>78</v>
      </c>
      <c r="H638" t="s">
        <v>22</v>
      </c>
      <c r="I638" t="s">
        <v>84</v>
      </c>
      <c r="J638" t="s">
        <v>72</v>
      </c>
      <c r="K638">
        <v>9</v>
      </c>
      <c r="L638">
        <v>42200</v>
      </c>
      <c r="M638">
        <v>20</v>
      </c>
      <c r="N638">
        <v>303840</v>
      </c>
      <c r="O638" t="s">
        <v>105</v>
      </c>
      <c r="P638">
        <v>2</v>
      </c>
      <c r="Q638" t="s">
        <v>26</v>
      </c>
    </row>
    <row r="639" spans="1:17" x14ac:dyDescent="0.3">
      <c r="A639" t="s">
        <v>1281</v>
      </c>
      <c r="B639" t="s">
        <v>1124</v>
      </c>
      <c r="C639" t="s">
        <v>94</v>
      </c>
      <c r="D639" t="s">
        <v>103</v>
      </c>
      <c r="E639">
        <v>26</v>
      </c>
      <c r="F639" t="s">
        <v>77</v>
      </c>
      <c r="G639" t="s">
        <v>95</v>
      </c>
      <c r="H639" t="s">
        <v>46</v>
      </c>
      <c r="I639" t="s">
        <v>79</v>
      </c>
      <c r="J639" t="s">
        <v>80</v>
      </c>
      <c r="K639">
        <v>8</v>
      </c>
      <c r="L639">
        <v>5800</v>
      </c>
      <c r="M639">
        <v>25</v>
      </c>
      <c r="N639">
        <v>34800</v>
      </c>
      <c r="O639" t="s">
        <v>73</v>
      </c>
      <c r="Q639" t="s">
        <v>65</v>
      </c>
    </row>
    <row r="640" spans="1:17" x14ac:dyDescent="0.3">
      <c r="A640" t="s">
        <v>1282</v>
      </c>
      <c r="B640" t="s">
        <v>1283</v>
      </c>
      <c r="C640" t="s">
        <v>113</v>
      </c>
      <c r="D640" t="s">
        <v>39</v>
      </c>
      <c r="E640">
        <v>51</v>
      </c>
      <c r="F640" t="s">
        <v>30</v>
      </c>
      <c r="G640" t="s">
        <v>31</v>
      </c>
      <c r="H640" t="s">
        <v>46</v>
      </c>
      <c r="I640" t="s">
        <v>79</v>
      </c>
      <c r="J640" t="s">
        <v>34</v>
      </c>
      <c r="K640">
        <v>1</v>
      </c>
      <c r="L640">
        <v>3200</v>
      </c>
      <c r="M640">
        <v>15</v>
      </c>
      <c r="N640">
        <v>2720</v>
      </c>
      <c r="O640" t="s">
        <v>40</v>
      </c>
      <c r="P640">
        <v>3</v>
      </c>
      <c r="Q640" t="s">
        <v>65</v>
      </c>
    </row>
    <row r="641" spans="1:17" x14ac:dyDescent="0.3">
      <c r="A641" t="s">
        <v>1284</v>
      </c>
      <c r="B641" t="s">
        <v>1285</v>
      </c>
      <c r="C641" t="s">
        <v>19</v>
      </c>
      <c r="D641" t="s">
        <v>20</v>
      </c>
      <c r="E641">
        <v>25</v>
      </c>
      <c r="F641" t="s">
        <v>61</v>
      </c>
      <c r="G641" t="s">
        <v>61</v>
      </c>
      <c r="H641" t="s">
        <v>62</v>
      </c>
      <c r="I641" t="s">
        <v>140</v>
      </c>
      <c r="J641" t="s">
        <v>64</v>
      </c>
      <c r="K641">
        <v>2</v>
      </c>
      <c r="L641">
        <v>14500</v>
      </c>
      <c r="M641">
        <v>25</v>
      </c>
      <c r="N641">
        <v>21750</v>
      </c>
      <c r="O641" t="s">
        <v>35</v>
      </c>
      <c r="P641">
        <v>4</v>
      </c>
      <c r="Q641" t="s">
        <v>41</v>
      </c>
    </row>
    <row r="642" spans="1:17" x14ac:dyDescent="0.3">
      <c r="A642" t="s">
        <v>1286</v>
      </c>
      <c r="B642" t="s">
        <v>1287</v>
      </c>
      <c r="C642" t="s">
        <v>68</v>
      </c>
      <c r="E642">
        <v>59</v>
      </c>
      <c r="F642" t="s">
        <v>30</v>
      </c>
      <c r="G642" t="s">
        <v>57</v>
      </c>
      <c r="H642" t="s">
        <v>46</v>
      </c>
      <c r="I642" t="s">
        <v>79</v>
      </c>
      <c r="J642" t="s">
        <v>24</v>
      </c>
      <c r="K642">
        <v>6</v>
      </c>
      <c r="L642">
        <v>4900</v>
      </c>
      <c r="M642">
        <v>0</v>
      </c>
      <c r="N642">
        <v>29400</v>
      </c>
      <c r="O642" t="s">
        <v>48</v>
      </c>
      <c r="P642">
        <v>5</v>
      </c>
      <c r="Q642" t="s">
        <v>41</v>
      </c>
    </row>
    <row r="643" spans="1:17" x14ac:dyDescent="0.3">
      <c r="A643" t="s">
        <v>1288</v>
      </c>
      <c r="B643" t="s">
        <v>1289</v>
      </c>
      <c r="C643" t="s">
        <v>94</v>
      </c>
      <c r="D643" t="s">
        <v>83</v>
      </c>
      <c r="E643">
        <v>33</v>
      </c>
      <c r="F643" t="s">
        <v>51</v>
      </c>
      <c r="G643" t="s">
        <v>104</v>
      </c>
      <c r="H643" t="s">
        <v>22</v>
      </c>
      <c r="I643" t="s">
        <v>23</v>
      </c>
      <c r="J643" t="s">
        <v>64</v>
      </c>
      <c r="K643">
        <v>1</v>
      </c>
      <c r="L643">
        <v>41400</v>
      </c>
      <c r="M643">
        <v>20</v>
      </c>
      <c r="N643">
        <v>33120</v>
      </c>
      <c r="O643" t="s">
        <v>73</v>
      </c>
      <c r="P643">
        <v>2</v>
      </c>
      <c r="Q643" t="s">
        <v>26</v>
      </c>
    </row>
    <row r="644" spans="1:17" x14ac:dyDescent="0.3">
      <c r="A644" t="s">
        <v>1290</v>
      </c>
      <c r="B644" t="s">
        <v>1291</v>
      </c>
      <c r="C644" t="s">
        <v>88</v>
      </c>
      <c r="D644" t="s">
        <v>83</v>
      </c>
      <c r="E644">
        <v>44</v>
      </c>
      <c r="F644" t="s">
        <v>77</v>
      </c>
      <c r="G644" t="s">
        <v>78</v>
      </c>
      <c r="H644" t="s">
        <v>62</v>
      </c>
      <c r="I644" t="s">
        <v>140</v>
      </c>
      <c r="J644" t="s">
        <v>64</v>
      </c>
      <c r="K644">
        <v>2</v>
      </c>
      <c r="L644">
        <v>5200</v>
      </c>
      <c r="M644">
        <v>5</v>
      </c>
      <c r="N644">
        <v>9880</v>
      </c>
      <c r="O644" t="s">
        <v>40</v>
      </c>
      <c r="P644">
        <v>3</v>
      </c>
      <c r="Q644" t="s">
        <v>74</v>
      </c>
    </row>
    <row r="645" spans="1:17" x14ac:dyDescent="0.3">
      <c r="A645" t="s">
        <v>1292</v>
      </c>
      <c r="B645" t="s">
        <v>1293</v>
      </c>
      <c r="C645" t="s">
        <v>19</v>
      </c>
      <c r="D645" t="s">
        <v>20</v>
      </c>
      <c r="E645">
        <v>28</v>
      </c>
      <c r="F645" t="s">
        <v>30</v>
      </c>
      <c r="G645" t="s">
        <v>31</v>
      </c>
      <c r="H645" t="s">
        <v>22</v>
      </c>
      <c r="I645" t="s">
        <v>84</v>
      </c>
      <c r="J645" t="s">
        <v>24</v>
      </c>
      <c r="K645">
        <v>1</v>
      </c>
      <c r="L645">
        <v>31400</v>
      </c>
      <c r="M645">
        <v>20</v>
      </c>
      <c r="N645">
        <v>25120</v>
      </c>
      <c r="O645" t="s">
        <v>40</v>
      </c>
      <c r="P645">
        <v>1</v>
      </c>
      <c r="Q645" t="s">
        <v>65</v>
      </c>
    </row>
    <row r="646" spans="1:17" x14ac:dyDescent="0.3">
      <c r="A646" t="s">
        <v>1294</v>
      </c>
      <c r="B646" t="s">
        <v>1203</v>
      </c>
      <c r="C646" t="s">
        <v>60</v>
      </c>
      <c r="E646">
        <v>24</v>
      </c>
      <c r="F646" t="s">
        <v>21</v>
      </c>
      <c r="G646" t="s">
        <v>21</v>
      </c>
      <c r="H646" t="s">
        <v>62</v>
      </c>
      <c r="I646" t="s">
        <v>140</v>
      </c>
      <c r="J646" t="s">
        <v>80</v>
      </c>
      <c r="K646">
        <v>5</v>
      </c>
      <c r="L646">
        <v>3100</v>
      </c>
      <c r="M646">
        <v>0</v>
      </c>
      <c r="N646">
        <v>15500</v>
      </c>
      <c r="O646" t="s">
        <v>48</v>
      </c>
      <c r="P646">
        <v>2</v>
      </c>
      <c r="Q646" t="s">
        <v>65</v>
      </c>
    </row>
    <row r="647" spans="1:17" x14ac:dyDescent="0.3">
      <c r="A647" t="s">
        <v>1295</v>
      </c>
      <c r="B647" t="s">
        <v>1296</v>
      </c>
      <c r="C647" t="s">
        <v>71</v>
      </c>
      <c r="D647" t="s">
        <v>39</v>
      </c>
      <c r="E647">
        <v>46</v>
      </c>
      <c r="F647" t="s">
        <v>1122</v>
      </c>
      <c r="G647" t="s">
        <v>78</v>
      </c>
      <c r="H647" t="s">
        <v>32</v>
      </c>
      <c r="I647" t="s">
        <v>53</v>
      </c>
      <c r="J647" t="s">
        <v>72</v>
      </c>
      <c r="K647">
        <v>4</v>
      </c>
      <c r="L647">
        <v>42500</v>
      </c>
      <c r="M647">
        <v>5</v>
      </c>
      <c r="N647">
        <v>161500</v>
      </c>
      <c r="O647" t="s">
        <v>25</v>
      </c>
      <c r="P647">
        <v>1</v>
      </c>
      <c r="Q647" t="s">
        <v>41</v>
      </c>
    </row>
    <row r="648" spans="1:17" x14ac:dyDescent="0.3">
      <c r="A648" t="s">
        <v>1297</v>
      </c>
      <c r="B648" t="s">
        <v>1298</v>
      </c>
      <c r="C648" t="s">
        <v>121</v>
      </c>
      <c r="D648" t="s">
        <v>83</v>
      </c>
      <c r="E648">
        <v>22</v>
      </c>
      <c r="F648" t="s">
        <v>30</v>
      </c>
      <c r="G648" t="s">
        <v>31</v>
      </c>
      <c r="H648" t="s">
        <v>62</v>
      </c>
      <c r="I648" t="s">
        <v>63</v>
      </c>
      <c r="J648" t="s">
        <v>64</v>
      </c>
      <c r="K648">
        <v>8</v>
      </c>
      <c r="L648">
        <v>3400</v>
      </c>
      <c r="M648">
        <v>5</v>
      </c>
      <c r="N648">
        <v>25840</v>
      </c>
      <c r="O648" t="s">
        <v>35</v>
      </c>
      <c r="Q648" t="s">
        <v>65</v>
      </c>
    </row>
    <row r="649" spans="1:17" x14ac:dyDescent="0.3">
      <c r="A649" t="s">
        <v>1299</v>
      </c>
      <c r="B649" t="s">
        <v>1300</v>
      </c>
      <c r="C649" t="s">
        <v>113</v>
      </c>
      <c r="D649" t="s">
        <v>20</v>
      </c>
      <c r="E649">
        <v>29</v>
      </c>
      <c r="F649" t="s">
        <v>44</v>
      </c>
      <c r="G649" t="s">
        <v>100</v>
      </c>
      <c r="H649" t="s">
        <v>46</v>
      </c>
      <c r="I649" t="s">
        <v>79</v>
      </c>
      <c r="J649" t="s">
        <v>64</v>
      </c>
      <c r="K649">
        <v>3</v>
      </c>
      <c r="L649">
        <v>24500</v>
      </c>
      <c r="M649">
        <v>15</v>
      </c>
      <c r="N649">
        <v>62475</v>
      </c>
      <c r="O649" t="s">
        <v>40</v>
      </c>
      <c r="Q649" t="s">
        <v>65</v>
      </c>
    </row>
    <row r="650" spans="1:17" x14ac:dyDescent="0.3">
      <c r="A650" t="s">
        <v>1301</v>
      </c>
      <c r="B650" t="s">
        <v>1302</v>
      </c>
      <c r="C650" t="s">
        <v>113</v>
      </c>
      <c r="D650" t="s">
        <v>20</v>
      </c>
      <c r="E650">
        <v>58</v>
      </c>
      <c r="F650" t="s">
        <v>77</v>
      </c>
      <c r="G650" t="s">
        <v>95</v>
      </c>
      <c r="H650" t="s">
        <v>62</v>
      </c>
      <c r="I650" t="s">
        <v>140</v>
      </c>
      <c r="J650" t="s">
        <v>89</v>
      </c>
      <c r="K650">
        <v>2</v>
      </c>
      <c r="L650">
        <v>14000</v>
      </c>
      <c r="M650">
        <v>25</v>
      </c>
      <c r="N650">
        <v>21000</v>
      </c>
      <c r="O650" t="s">
        <v>105</v>
      </c>
      <c r="P650">
        <v>4</v>
      </c>
      <c r="Q650" t="s">
        <v>41</v>
      </c>
    </row>
    <row r="651" spans="1:17" x14ac:dyDescent="0.3">
      <c r="A651" t="s">
        <v>1303</v>
      </c>
      <c r="B651" t="s">
        <v>1304</v>
      </c>
      <c r="C651" t="s">
        <v>60</v>
      </c>
      <c r="D651" t="s">
        <v>83</v>
      </c>
      <c r="E651">
        <v>48</v>
      </c>
      <c r="F651" t="s">
        <v>51</v>
      </c>
      <c r="G651" t="s">
        <v>104</v>
      </c>
      <c r="H651" t="s">
        <v>22</v>
      </c>
      <c r="I651" t="s">
        <v>84</v>
      </c>
      <c r="J651" t="s">
        <v>80</v>
      </c>
      <c r="K651">
        <v>6</v>
      </c>
      <c r="L651">
        <v>49700</v>
      </c>
      <c r="M651">
        <v>5</v>
      </c>
      <c r="N651">
        <v>283290</v>
      </c>
      <c r="O651" t="s">
        <v>40</v>
      </c>
      <c r="Q651" t="s">
        <v>41</v>
      </c>
    </row>
    <row r="652" spans="1:17" x14ac:dyDescent="0.3">
      <c r="A652" t="s">
        <v>1305</v>
      </c>
      <c r="B652" t="s">
        <v>1306</v>
      </c>
      <c r="C652" t="s">
        <v>60</v>
      </c>
      <c r="D652" t="s">
        <v>20</v>
      </c>
      <c r="E652">
        <v>29</v>
      </c>
      <c r="F652" t="s">
        <v>61</v>
      </c>
      <c r="G652" t="s">
        <v>61</v>
      </c>
      <c r="H652" t="s">
        <v>22</v>
      </c>
      <c r="I652" t="s">
        <v>84</v>
      </c>
      <c r="J652" t="s">
        <v>24</v>
      </c>
      <c r="K652">
        <v>3</v>
      </c>
      <c r="L652">
        <v>26400</v>
      </c>
      <c r="M652">
        <v>5</v>
      </c>
      <c r="N652">
        <v>75240</v>
      </c>
      <c r="O652" t="s">
        <v>40</v>
      </c>
      <c r="Q652" t="s">
        <v>74</v>
      </c>
    </row>
    <row r="653" spans="1:17" x14ac:dyDescent="0.3">
      <c r="A653" t="s">
        <v>1307</v>
      </c>
      <c r="B653" t="s">
        <v>1308</v>
      </c>
      <c r="C653" t="s">
        <v>38</v>
      </c>
      <c r="E653">
        <v>23</v>
      </c>
      <c r="F653" t="s">
        <v>21</v>
      </c>
      <c r="G653" t="s">
        <v>21</v>
      </c>
      <c r="H653" t="s">
        <v>62</v>
      </c>
      <c r="I653" t="s">
        <v>63</v>
      </c>
      <c r="J653" t="s">
        <v>80</v>
      </c>
      <c r="K653">
        <v>4</v>
      </c>
      <c r="L653">
        <v>6100</v>
      </c>
      <c r="M653">
        <v>5</v>
      </c>
      <c r="N653">
        <v>23180</v>
      </c>
      <c r="O653" t="s">
        <v>25</v>
      </c>
      <c r="Q653" t="s">
        <v>26</v>
      </c>
    </row>
    <row r="654" spans="1:17" x14ac:dyDescent="0.3">
      <c r="A654" t="s">
        <v>1309</v>
      </c>
      <c r="B654" t="s">
        <v>1310</v>
      </c>
      <c r="C654" t="s">
        <v>94</v>
      </c>
      <c r="E654">
        <v>23</v>
      </c>
      <c r="F654" t="s">
        <v>61</v>
      </c>
      <c r="G654" t="s">
        <v>61</v>
      </c>
      <c r="H654" t="s">
        <v>32</v>
      </c>
      <c r="I654" t="s">
        <v>53</v>
      </c>
      <c r="J654" t="s">
        <v>24</v>
      </c>
      <c r="K654">
        <v>7</v>
      </c>
      <c r="L654">
        <v>34200</v>
      </c>
      <c r="M654">
        <v>25</v>
      </c>
      <c r="N654">
        <v>179550</v>
      </c>
      <c r="O654" t="s">
        <v>40</v>
      </c>
      <c r="Q654" t="s">
        <v>26</v>
      </c>
    </row>
    <row r="655" spans="1:17" x14ac:dyDescent="0.3">
      <c r="A655" t="s">
        <v>1311</v>
      </c>
      <c r="B655" t="s">
        <v>1312</v>
      </c>
      <c r="C655" t="s">
        <v>71</v>
      </c>
      <c r="D655" t="s">
        <v>103</v>
      </c>
      <c r="E655">
        <v>27</v>
      </c>
      <c r="F655" t="s">
        <v>30</v>
      </c>
      <c r="G655" t="s">
        <v>31</v>
      </c>
      <c r="H655" t="s">
        <v>22</v>
      </c>
      <c r="I655" t="s">
        <v>84</v>
      </c>
      <c r="J655" t="s">
        <v>89</v>
      </c>
      <c r="K655">
        <v>3</v>
      </c>
      <c r="L655">
        <v>47800</v>
      </c>
      <c r="M655">
        <v>15</v>
      </c>
      <c r="N655">
        <v>121890</v>
      </c>
      <c r="O655" t="s">
        <v>105</v>
      </c>
      <c r="Q655" t="s">
        <v>26</v>
      </c>
    </row>
    <row r="656" spans="1:17" x14ac:dyDescent="0.3">
      <c r="A656" t="s">
        <v>1313</v>
      </c>
      <c r="B656" t="s">
        <v>446</v>
      </c>
      <c r="C656" t="s">
        <v>71</v>
      </c>
      <c r="D656" t="s">
        <v>103</v>
      </c>
      <c r="E656">
        <v>61</v>
      </c>
      <c r="F656" t="s">
        <v>503</v>
      </c>
      <c r="G656" t="s">
        <v>57</v>
      </c>
      <c r="H656" t="s">
        <v>46</v>
      </c>
      <c r="I656" t="s">
        <v>79</v>
      </c>
      <c r="J656" t="s">
        <v>34</v>
      </c>
      <c r="K656">
        <v>10</v>
      </c>
      <c r="L656">
        <v>8500</v>
      </c>
      <c r="M656">
        <v>10</v>
      </c>
      <c r="N656">
        <v>76500</v>
      </c>
      <c r="O656" t="s">
        <v>40</v>
      </c>
      <c r="P656">
        <v>3</v>
      </c>
      <c r="Q656" t="s">
        <v>74</v>
      </c>
    </row>
    <row r="657" spans="1:17" x14ac:dyDescent="0.3">
      <c r="A657" t="s">
        <v>1314</v>
      </c>
      <c r="B657" t="s">
        <v>1315</v>
      </c>
      <c r="C657" t="s">
        <v>71</v>
      </c>
      <c r="D657" t="s">
        <v>20</v>
      </c>
      <c r="E657">
        <v>31</v>
      </c>
      <c r="F657" t="s">
        <v>77</v>
      </c>
      <c r="G657" t="s">
        <v>78</v>
      </c>
      <c r="H657" t="s">
        <v>46</v>
      </c>
      <c r="I657" t="s">
        <v>47</v>
      </c>
      <c r="J657" t="s">
        <v>24</v>
      </c>
      <c r="K657">
        <v>10</v>
      </c>
      <c r="L657">
        <v>34500</v>
      </c>
      <c r="M657">
        <v>20</v>
      </c>
      <c r="N657">
        <v>276000</v>
      </c>
      <c r="O657" t="s">
        <v>48</v>
      </c>
      <c r="Q657" t="s">
        <v>26</v>
      </c>
    </row>
    <row r="658" spans="1:17" x14ac:dyDescent="0.3">
      <c r="A658" t="s">
        <v>1316</v>
      </c>
      <c r="B658" t="s">
        <v>1317</v>
      </c>
      <c r="C658" t="s">
        <v>29</v>
      </c>
      <c r="D658" t="s">
        <v>103</v>
      </c>
      <c r="E658">
        <v>48</v>
      </c>
      <c r="F658" t="s">
        <v>77</v>
      </c>
      <c r="G658" t="s">
        <v>78</v>
      </c>
      <c r="H658" t="s">
        <v>46</v>
      </c>
      <c r="I658" t="s">
        <v>47</v>
      </c>
      <c r="J658" t="s">
        <v>24</v>
      </c>
      <c r="K658">
        <v>3</v>
      </c>
      <c r="L658">
        <v>11100</v>
      </c>
      <c r="M658">
        <v>15</v>
      </c>
      <c r="N658">
        <v>28305</v>
      </c>
      <c r="O658" t="s">
        <v>85</v>
      </c>
      <c r="Q658" t="s">
        <v>74</v>
      </c>
    </row>
    <row r="659" spans="1:17" x14ac:dyDescent="0.3">
      <c r="A659" t="s">
        <v>1318</v>
      </c>
      <c r="B659" t="s">
        <v>133</v>
      </c>
      <c r="C659" t="s">
        <v>71</v>
      </c>
      <c r="E659">
        <v>31</v>
      </c>
      <c r="F659" t="s">
        <v>44</v>
      </c>
      <c r="G659" t="s">
        <v>45</v>
      </c>
      <c r="H659" t="s">
        <v>46</v>
      </c>
      <c r="I659" t="s">
        <v>79</v>
      </c>
      <c r="J659" t="s">
        <v>34</v>
      </c>
      <c r="K659">
        <v>1</v>
      </c>
      <c r="L659">
        <v>26700</v>
      </c>
      <c r="M659">
        <v>20</v>
      </c>
      <c r="N659">
        <v>21360</v>
      </c>
      <c r="O659" t="s">
        <v>73</v>
      </c>
      <c r="P659">
        <v>1</v>
      </c>
      <c r="Q659" t="s">
        <v>26</v>
      </c>
    </row>
    <row r="660" spans="1:17" x14ac:dyDescent="0.3">
      <c r="A660" t="s">
        <v>1319</v>
      </c>
      <c r="B660" t="s">
        <v>1320</v>
      </c>
      <c r="C660" t="s">
        <v>88</v>
      </c>
      <c r="D660" t="s">
        <v>103</v>
      </c>
      <c r="E660">
        <v>44</v>
      </c>
      <c r="F660" t="s">
        <v>51</v>
      </c>
      <c r="G660" t="s">
        <v>104</v>
      </c>
      <c r="H660" t="s">
        <v>46</v>
      </c>
      <c r="I660" t="s">
        <v>47</v>
      </c>
      <c r="J660" t="s">
        <v>80</v>
      </c>
      <c r="K660" t="s">
        <v>1321</v>
      </c>
      <c r="L660">
        <v>27400</v>
      </c>
      <c r="M660">
        <v>0</v>
      </c>
      <c r="N660">
        <v>82200</v>
      </c>
      <c r="O660" t="s">
        <v>25</v>
      </c>
      <c r="Q660" t="s">
        <v>26</v>
      </c>
    </row>
    <row r="661" spans="1:17" x14ac:dyDescent="0.3">
      <c r="A661" t="s">
        <v>1322</v>
      </c>
      <c r="B661" t="s">
        <v>1323</v>
      </c>
      <c r="C661" t="s">
        <v>113</v>
      </c>
      <c r="D661" t="s">
        <v>39</v>
      </c>
      <c r="E661">
        <v>35</v>
      </c>
      <c r="F661" t="s">
        <v>30</v>
      </c>
      <c r="G661" t="s">
        <v>31</v>
      </c>
      <c r="H661" t="s">
        <v>62</v>
      </c>
      <c r="I661" t="s">
        <v>63</v>
      </c>
      <c r="J661" t="s">
        <v>64</v>
      </c>
      <c r="K661">
        <v>3</v>
      </c>
      <c r="L661">
        <v>20300</v>
      </c>
      <c r="M661">
        <v>10</v>
      </c>
      <c r="N661">
        <v>54810</v>
      </c>
      <c r="O661" t="s">
        <v>35</v>
      </c>
      <c r="P661">
        <v>5</v>
      </c>
      <c r="Q661" t="s">
        <v>65</v>
      </c>
    </row>
    <row r="662" spans="1:17" x14ac:dyDescent="0.3">
      <c r="A662" t="s">
        <v>1324</v>
      </c>
      <c r="B662" t="s">
        <v>139</v>
      </c>
      <c r="C662" t="s">
        <v>29</v>
      </c>
      <c r="D662" t="s">
        <v>83</v>
      </c>
      <c r="E662">
        <v>58</v>
      </c>
      <c r="F662" t="s">
        <v>77</v>
      </c>
      <c r="G662" t="s">
        <v>78</v>
      </c>
      <c r="H662" t="s">
        <v>46</v>
      </c>
      <c r="I662" t="s">
        <v>79</v>
      </c>
      <c r="J662" t="s">
        <v>24</v>
      </c>
      <c r="K662">
        <v>1</v>
      </c>
      <c r="L662">
        <v>42800</v>
      </c>
      <c r="M662">
        <v>15</v>
      </c>
      <c r="N662">
        <v>36380</v>
      </c>
      <c r="O662" t="s">
        <v>48</v>
      </c>
      <c r="Q662" t="s">
        <v>65</v>
      </c>
    </row>
    <row r="663" spans="1:17" x14ac:dyDescent="0.3">
      <c r="A663" t="s">
        <v>1325</v>
      </c>
      <c r="B663" t="s">
        <v>1326</v>
      </c>
      <c r="C663" t="s">
        <v>29</v>
      </c>
      <c r="D663" t="s">
        <v>83</v>
      </c>
      <c r="E663">
        <v>65</v>
      </c>
      <c r="F663" t="s">
        <v>61</v>
      </c>
      <c r="G663" t="s">
        <v>61</v>
      </c>
      <c r="H663" t="s">
        <v>46</v>
      </c>
      <c r="I663" t="s">
        <v>47</v>
      </c>
      <c r="J663" t="s">
        <v>89</v>
      </c>
      <c r="K663">
        <v>4</v>
      </c>
      <c r="L663">
        <v>19300</v>
      </c>
      <c r="M663">
        <v>15</v>
      </c>
      <c r="N663">
        <v>65620</v>
      </c>
      <c r="O663" t="s">
        <v>35</v>
      </c>
      <c r="P663">
        <v>3</v>
      </c>
      <c r="Q663" t="s">
        <v>26</v>
      </c>
    </row>
    <row r="664" spans="1:17" x14ac:dyDescent="0.3">
      <c r="A664" t="s">
        <v>1327</v>
      </c>
      <c r="B664" t="s">
        <v>1328</v>
      </c>
      <c r="C664" t="s">
        <v>88</v>
      </c>
      <c r="D664" t="s">
        <v>20</v>
      </c>
      <c r="E664">
        <v>56</v>
      </c>
      <c r="F664" t="s">
        <v>1253</v>
      </c>
      <c r="G664" t="s">
        <v>52</v>
      </c>
      <c r="H664" t="s">
        <v>46</v>
      </c>
      <c r="I664" t="s">
        <v>47</v>
      </c>
      <c r="J664" t="s">
        <v>89</v>
      </c>
      <c r="K664">
        <v>6</v>
      </c>
      <c r="L664">
        <v>23900</v>
      </c>
      <c r="M664">
        <v>25</v>
      </c>
      <c r="N664">
        <v>107550</v>
      </c>
      <c r="O664" t="s">
        <v>105</v>
      </c>
      <c r="P664">
        <v>3</v>
      </c>
      <c r="Q664" t="s">
        <v>74</v>
      </c>
    </row>
    <row r="665" spans="1:17" x14ac:dyDescent="0.3">
      <c r="A665" t="s">
        <v>1329</v>
      </c>
      <c r="B665" t="s">
        <v>139</v>
      </c>
      <c r="C665" t="s">
        <v>71</v>
      </c>
      <c r="D665" t="s">
        <v>103</v>
      </c>
      <c r="E665">
        <v>56</v>
      </c>
      <c r="F665" t="s">
        <v>61</v>
      </c>
      <c r="G665" t="s">
        <v>61</v>
      </c>
      <c r="H665" t="s">
        <v>62</v>
      </c>
      <c r="I665" t="s">
        <v>140</v>
      </c>
      <c r="J665" t="s">
        <v>80</v>
      </c>
      <c r="K665">
        <v>8</v>
      </c>
      <c r="L665">
        <v>44000</v>
      </c>
      <c r="M665">
        <v>15</v>
      </c>
      <c r="N665">
        <v>299200</v>
      </c>
      <c r="O665" t="s">
        <v>48</v>
      </c>
      <c r="P665">
        <v>2</v>
      </c>
      <c r="Q665" t="s">
        <v>65</v>
      </c>
    </row>
    <row r="666" spans="1:17" x14ac:dyDescent="0.3">
      <c r="A666" t="s">
        <v>1330</v>
      </c>
      <c r="B666" t="s">
        <v>1331</v>
      </c>
      <c r="C666" t="s">
        <v>94</v>
      </c>
      <c r="D666" t="s">
        <v>83</v>
      </c>
      <c r="E666">
        <v>18</v>
      </c>
      <c r="F666" t="s">
        <v>30</v>
      </c>
      <c r="G666" t="s">
        <v>57</v>
      </c>
      <c r="H666" t="s">
        <v>32</v>
      </c>
      <c r="I666" t="s">
        <v>33</v>
      </c>
      <c r="J666" t="s">
        <v>24</v>
      </c>
      <c r="K666">
        <v>10</v>
      </c>
      <c r="L666">
        <v>35700</v>
      </c>
      <c r="M666">
        <v>15</v>
      </c>
      <c r="N666">
        <v>303450</v>
      </c>
      <c r="O666" t="s">
        <v>25</v>
      </c>
      <c r="P666">
        <v>4</v>
      </c>
      <c r="Q666" t="s">
        <v>65</v>
      </c>
    </row>
    <row r="667" spans="1:17" x14ac:dyDescent="0.3">
      <c r="A667" t="s">
        <v>1332</v>
      </c>
      <c r="B667" t="s">
        <v>1333</v>
      </c>
      <c r="C667" t="s">
        <v>121</v>
      </c>
      <c r="D667" t="s">
        <v>39</v>
      </c>
      <c r="E667">
        <v>45</v>
      </c>
      <c r="F667" t="s">
        <v>21</v>
      </c>
      <c r="G667" t="s">
        <v>21</v>
      </c>
      <c r="H667" t="s">
        <v>62</v>
      </c>
      <c r="I667" t="s">
        <v>140</v>
      </c>
      <c r="J667" t="s">
        <v>80</v>
      </c>
      <c r="K667">
        <v>5</v>
      </c>
      <c r="L667">
        <v>4900</v>
      </c>
      <c r="M667">
        <v>5</v>
      </c>
      <c r="N667">
        <v>23275</v>
      </c>
      <c r="O667" t="s">
        <v>40</v>
      </c>
      <c r="P667">
        <v>2</v>
      </c>
      <c r="Q667" t="s">
        <v>65</v>
      </c>
    </row>
    <row r="668" spans="1:17" x14ac:dyDescent="0.3">
      <c r="A668" t="s">
        <v>1334</v>
      </c>
      <c r="B668" t="s">
        <v>1335</v>
      </c>
      <c r="C668" t="s">
        <v>88</v>
      </c>
      <c r="D668" t="s">
        <v>39</v>
      </c>
      <c r="E668">
        <v>58</v>
      </c>
      <c r="F668" t="s">
        <v>51</v>
      </c>
      <c r="G668" t="s">
        <v>104</v>
      </c>
      <c r="H668" t="s">
        <v>62</v>
      </c>
      <c r="I668" t="s">
        <v>63</v>
      </c>
      <c r="J668" t="s">
        <v>80</v>
      </c>
      <c r="K668">
        <v>10</v>
      </c>
      <c r="L668">
        <v>14300</v>
      </c>
      <c r="M668">
        <v>15</v>
      </c>
      <c r="N668">
        <v>121550</v>
      </c>
      <c r="O668" t="s">
        <v>40</v>
      </c>
      <c r="P668">
        <v>3</v>
      </c>
      <c r="Q668" t="s">
        <v>74</v>
      </c>
    </row>
    <row r="669" spans="1:17" x14ac:dyDescent="0.3">
      <c r="A669" t="s">
        <v>1336</v>
      </c>
      <c r="B669" t="s">
        <v>1024</v>
      </c>
      <c r="C669" t="s">
        <v>29</v>
      </c>
      <c r="D669" t="s">
        <v>83</v>
      </c>
      <c r="E669">
        <v>64</v>
      </c>
      <c r="F669" t="s">
        <v>77</v>
      </c>
      <c r="G669" t="s">
        <v>95</v>
      </c>
      <c r="H669" t="s">
        <v>22</v>
      </c>
      <c r="I669" t="s">
        <v>23</v>
      </c>
      <c r="J669" t="s">
        <v>64</v>
      </c>
      <c r="K669">
        <v>5</v>
      </c>
      <c r="L669">
        <v>10300</v>
      </c>
      <c r="M669">
        <v>15</v>
      </c>
      <c r="N669">
        <v>43775</v>
      </c>
      <c r="O669" t="s">
        <v>35</v>
      </c>
      <c r="P669">
        <v>4</v>
      </c>
      <c r="Q669" t="s">
        <v>74</v>
      </c>
    </row>
    <row r="670" spans="1:17" x14ac:dyDescent="0.3">
      <c r="A670" t="s">
        <v>1337</v>
      </c>
      <c r="B670" t="s">
        <v>981</v>
      </c>
      <c r="C670" t="s">
        <v>60</v>
      </c>
      <c r="E670">
        <v>49</v>
      </c>
      <c r="F670" t="s">
        <v>21</v>
      </c>
      <c r="G670" t="s">
        <v>21</v>
      </c>
      <c r="H670" t="s">
        <v>110</v>
      </c>
      <c r="I670" t="s">
        <v>53</v>
      </c>
      <c r="J670" t="s">
        <v>34</v>
      </c>
      <c r="K670">
        <v>2</v>
      </c>
      <c r="L670">
        <v>14000</v>
      </c>
      <c r="M670">
        <v>0</v>
      </c>
      <c r="N670">
        <v>28000</v>
      </c>
      <c r="O670" t="s">
        <v>35</v>
      </c>
      <c r="P670">
        <v>1</v>
      </c>
      <c r="Q670" t="s">
        <v>26</v>
      </c>
    </row>
    <row r="671" spans="1:17" x14ac:dyDescent="0.3">
      <c r="A671" t="s">
        <v>1338</v>
      </c>
      <c r="B671" t="s">
        <v>1339</v>
      </c>
      <c r="C671" t="s">
        <v>94</v>
      </c>
      <c r="E671">
        <v>18</v>
      </c>
      <c r="F671" t="s">
        <v>44</v>
      </c>
      <c r="G671" t="s">
        <v>45</v>
      </c>
      <c r="H671" t="s">
        <v>62</v>
      </c>
      <c r="I671" t="s">
        <v>140</v>
      </c>
      <c r="J671" t="s">
        <v>80</v>
      </c>
      <c r="K671">
        <v>2</v>
      </c>
      <c r="L671">
        <v>3300</v>
      </c>
      <c r="M671">
        <v>0</v>
      </c>
      <c r="N671">
        <v>6600</v>
      </c>
      <c r="O671" t="s">
        <v>48</v>
      </c>
      <c r="P671">
        <v>4</v>
      </c>
      <c r="Q671" t="s">
        <v>26</v>
      </c>
    </row>
    <row r="672" spans="1:17" x14ac:dyDescent="0.3">
      <c r="A672" t="s">
        <v>1340</v>
      </c>
      <c r="B672" t="s">
        <v>1341</v>
      </c>
      <c r="C672" t="s">
        <v>29</v>
      </c>
      <c r="D672" t="s">
        <v>83</v>
      </c>
      <c r="E672">
        <v>23</v>
      </c>
      <c r="F672" t="s">
        <v>77</v>
      </c>
      <c r="G672" t="s">
        <v>95</v>
      </c>
      <c r="H672" t="s">
        <v>62</v>
      </c>
      <c r="I672" t="s">
        <v>140</v>
      </c>
      <c r="J672" t="s">
        <v>80</v>
      </c>
      <c r="K672">
        <v>10</v>
      </c>
      <c r="L672">
        <v>4100</v>
      </c>
      <c r="M672">
        <v>20</v>
      </c>
      <c r="N672" t="s">
        <v>1342</v>
      </c>
      <c r="O672" t="s">
        <v>162</v>
      </c>
      <c r="P672">
        <v>4</v>
      </c>
      <c r="Q672" t="s">
        <v>65</v>
      </c>
    </row>
    <row r="673" spans="1:17" x14ac:dyDescent="0.3">
      <c r="A673" t="s">
        <v>1343</v>
      </c>
      <c r="B673" t="s">
        <v>688</v>
      </c>
      <c r="C673" t="s">
        <v>113</v>
      </c>
      <c r="D673" t="s">
        <v>103</v>
      </c>
      <c r="E673">
        <v>35</v>
      </c>
      <c r="F673" t="s">
        <v>51</v>
      </c>
      <c r="G673" t="s">
        <v>104</v>
      </c>
      <c r="H673" t="s">
        <v>62</v>
      </c>
      <c r="I673" t="s">
        <v>63</v>
      </c>
      <c r="J673" t="s">
        <v>34</v>
      </c>
      <c r="K673">
        <v>7</v>
      </c>
      <c r="L673">
        <v>16800</v>
      </c>
      <c r="M673">
        <v>5</v>
      </c>
      <c r="N673">
        <v>111720</v>
      </c>
      <c r="O673" t="s">
        <v>73</v>
      </c>
      <c r="P673">
        <v>4</v>
      </c>
      <c r="Q673" t="s">
        <v>65</v>
      </c>
    </row>
    <row r="674" spans="1:17" x14ac:dyDescent="0.3">
      <c r="A674" t="s">
        <v>1344</v>
      </c>
      <c r="B674" t="s">
        <v>1345</v>
      </c>
      <c r="C674" t="s">
        <v>68</v>
      </c>
      <c r="D674" t="s">
        <v>20</v>
      </c>
      <c r="E674">
        <v>62</v>
      </c>
      <c r="F674" t="s">
        <v>61</v>
      </c>
      <c r="G674" t="s">
        <v>61</v>
      </c>
      <c r="H674" t="s">
        <v>46</v>
      </c>
      <c r="I674" t="s">
        <v>79</v>
      </c>
      <c r="J674" t="s">
        <v>89</v>
      </c>
      <c r="K674">
        <v>7</v>
      </c>
      <c r="L674">
        <v>12600</v>
      </c>
      <c r="M674">
        <v>10</v>
      </c>
      <c r="N674">
        <v>79380</v>
      </c>
      <c r="O674" t="s">
        <v>35</v>
      </c>
      <c r="Q674" t="s">
        <v>65</v>
      </c>
    </row>
    <row r="675" spans="1:17" x14ac:dyDescent="0.3">
      <c r="A675" t="s">
        <v>1346</v>
      </c>
      <c r="B675" t="s">
        <v>1347</v>
      </c>
      <c r="C675" t="s">
        <v>113</v>
      </c>
      <c r="E675">
        <v>30</v>
      </c>
      <c r="F675" t="s">
        <v>21</v>
      </c>
      <c r="G675" t="s">
        <v>21</v>
      </c>
      <c r="H675" t="s">
        <v>32</v>
      </c>
      <c r="I675" t="s">
        <v>33</v>
      </c>
      <c r="J675" t="s">
        <v>89</v>
      </c>
      <c r="K675">
        <v>7</v>
      </c>
      <c r="L675">
        <v>42800</v>
      </c>
      <c r="M675">
        <v>15</v>
      </c>
      <c r="N675">
        <v>254660</v>
      </c>
      <c r="O675" t="s">
        <v>25</v>
      </c>
      <c r="Q675" t="s">
        <v>74</v>
      </c>
    </row>
    <row r="676" spans="1:17" x14ac:dyDescent="0.3">
      <c r="A676" t="s">
        <v>1348</v>
      </c>
      <c r="B676" t="s">
        <v>43</v>
      </c>
      <c r="C676" t="s">
        <v>113</v>
      </c>
      <c r="D676" t="s">
        <v>103</v>
      </c>
      <c r="E676">
        <v>59</v>
      </c>
      <c r="F676" t="s">
        <v>30</v>
      </c>
      <c r="G676" t="s">
        <v>57</v>
      </c>
      <c r="H676" t="s">
        <v>62</v>
      </c>
      <c r="I676" t="s">
        <v>63</v>
      </c>
      <c r="J676" t="s">
        <v>89</v>
      </c>
      <c r="K676">
        <v>3</v>
      </c>
      <c r="L676">
        <v>29300</v>
      </c>
      <c r="M676">
        <v>5</v>
      </c>
      <c r="N676">
        <v>83505</v>
      </c>
      <c r="O676" t="s">
        <v>25</v>
      </c>
      <c r="P676">
        <v>3</v>
      </c>
      <c r="Q676" t="s">
        <v>65</v>
      </c>
    </row>
    <row r="677" spans="1:17" x14ac:dyDescent="0.3">
      <c r="A677" t="s">
        <v>1349</v>
      </c>
      <c r="B677" t="s">
        <v>1350</v>
      </c>
      <c r="C677" t="s">
        <v>38</v>
      </c>
      <c r="D677" t="s">
        <v>39</v>
      </c>
      <c r="E677">
        <v>52</v>
      </c>
      <c r="F677" t="s">
        <v>77</v>
      </c>
      <c r="G677" t="s">
        <v>95</v>
      </c>
      <c r="H677" t="s">
        <v>32</v>
      </c>
      <c r="I677" t="s">
        <v>33</v>
      </c>
      <c r="J677" t="s">
        <v>80</v>
      </c>
      <c r="K677">
        <v>6</v>
      </c>
      <c r="L677">
        <v>27000</v>
      </c>
      <c r="M677">
        <v>0</v>
      </c>
      <c r="N677">
        <v>162000</v>
      </c>
      <c r="O677" t="s">
        <v>85</v>
      </c>
      <c r="P677">
        <v>4</v>
      </c>
      <c r="Q677" t="s">
        <v>26</v>
      </c>
    </row>
    <row r="678" spans="1:17" x14ac:dyDescent="0.3">
      <c r="A678" t="s">
        <v>1351</v>
      </c>
      <c r="B678" t="s">
        <v>1352</v>
      </c>
      <c r="C678" t="s">
        <v>121</v>
      </c>
      <c r="D678" t="s">
        <v>103</v>
      </c>
      <c r="E678">
        <v>19</v>
      </c>
      <c r="F678" t="s">
        <v>30</v>
      </c>
      <c r="G678" t="s">
        <v>31</v>
      </c>
      <c r="H678" t="s">
        <v>46</v>
      </c>
      <c r="I678" t="s">
        <v>47</v>
      </c>
      <c r="J678" t="s">
        <v>64</v>
      </c>
      <c r="K678">
        <v>7</v>
      </c>
      <c r="L678">
        <v>14700</v>
      </c>
      <c r="M678">
        <v>0</v>
      </c>
      <c r="N678">
        <v>102900</v>
      </c>
      <c r="O678" t="s">
        <v>35</v>
      </c>
      <c r="P678">
        <v>2</v>
      </c>
      <c r="Q678" t="s">
        <v>74</v>
      </c>
    </row>
    <row r="679" spans="1:17" x14ac:dyDescent="0.3">
      <c r="A679" t="s">
        <v>1353</v>
      </c>
      <c r="B679" t="s">
        <v>1354</v>
      </c>
      <c r="C679" t="s">
        <v>94</v>
      </c>
      <c r="D679" t="s">
        <v>39</v>
      </c>
      <c r="E679">
        <v>51</v>
      </c>
      <c r="F679" t="s">
        <v>44</v>
      </c>
      <c r="G679" t="s">
        <v>45</v>
      </c>
      <c r="H679" t="s">
        <v>455</v>
      </c>
      <c r="I679" t="s">
        <v>140</v>
      </c>
      <c r="J679" t="s">
        <v>64</v>
      </c>
      <c r="K679">
        <v>2</v>
      </c>
      <c r="L679">
        <v>26900</v>
      </c>
      <c r="M679">
        <v>10</v>
      </c>
      <c r="N679">
        <v>48420</v>
      </c>
      <c r="O679" t="s">
        <v>48</v>
      </c>
      <c r="P679">
        <v>1</v>
      </c>
      <c r="Q679" t="s">
        <v>41</v>
      </c>
    </row>
    <row r="680" spans="1:17" x14ac:dyDescent="0.3">
      <c r="A680" t="s">
        <v>1355</v>
      </c>
      <c r="B680" t="s">
        <v>167</v>
      </c>
      <c r="C680" t="s">
        <v>60</v>
      </c>
      <c r="D680" t="s">
        <v>39</v>
      </c>
      <c r="E680">
        <v>57</v>
      </c>
      <c r="F680" t="s">
        <v>30</v>
      </c>
      <c r="G680" t="s">
        <v>57</v>
      </c>
      <c r="H680" t="s">
        <v>46</v>
      </c>
      <c r="I680" t="s">
        <v>47</v>
      </c>
      <c r="J680" t="s">
        <v>80</v>
      </c>
      <c r="K680">
        <v>2</v>
      </c>
      <c r="L680">
        <v>44400</v>
      </c>
      <c r="M680">
        <v>20</v>
      </c>
      <c r="N680">
        <v>71040</v>
      </c>
      <c r="O680" t="s">
        <v>25</v>
      </c>
      <c r="Q680" t="s">
        <v>74</v>
      </c>
    </row>
    <row r="681" spans="1:17" x14ac:dyDescent="0.3">
      <c r="A681" t="s">
        <v>1356</v>
      </c>
      <c r="B681" t="s">
        <v>1323</v>
      </c>
      <c r="C681" t="s">
        <v>38</v>
      </c>
      <c r="D681" t="s">
        <v>103</v>
      </c>
      <c r="E681">
        <v>51</v>
      </c>
      <c r="F681" t="s">
        <v>77</v>
      </c>
      <c r="G681" t="s">
        <v>78</v>
      </c>
      <c r="H681" t="s">
        <v>22</v>
      </c>
      <c r="I681" t="s">
        <v>23</v>
      </c>
      <c r="J681" t="s">
        <v>34</v>
      </c>
      <c r="K681">
        <v>1</v>
      </c>
      <c r="L681">
        <v>43700</v>
      </c>
      <c r="M681">
        <v>15</v>
      </c>
      <c r="N681">
        <v>37145</v>
      </c>
      <c r="O681" t="s">
        <v>85</v>
      </c>
      <c r="P681">
        <v>1</v>
      </c>
      <c r="Q681" t="s">
        <v>41</v>
      </c>
    </row>
    <row r="682" spans="1:17" x14ac:dyDescent="0.3">
      <c r="A682" t="s">
        <v>1357</v>
      </c>
      <c r="B682" t="s">
        <v>1358</v>
      </c>
      <c r="C682" t="s">
        <v>19</v>
      </c>
      <c r="D682" t="s">
        <v>103</v>
      </c>
      <c r="E682">
        <v>43</v>
      </c>
      <c r="F682" t="s">
        <v>30</v>
      </c>
      <c r="G682" t="s">
        <v>57</v>
      </c>
      <c r="H682" t="s">
        <v>62</v>
      </c>
      <c r="I682" t="s">
        <v>140</v>
      </c>
      <c r="J682" t="s">
        <v>64</v>
      </c>
      <c r="K682">
        <v>6</v>
      </c>
      <c r="L682">
        <v>6000</v>
      </c>
      <c r="M682">
        <v>20</v>
      </c>
      <c r="N682">
        <v>28800</v>
      </c>
      <c r="O682" t="s">
        <v>40</v>
      </c>
      <c r="P682">
        <v>1</v>
      </c>
      <c r="Q682" t="s">
        <v>41</v>
      </c>
    </row>
    <row r="683" spans="1:17" x14ac:dyDescent="0.3">
      <c r="A683" t="s">
        <v>1359</v>
      </c>
      <c r="B683" t="s">
        <v>904</v>
      </c>
      <c r="C683" t="s">
        <v>88</v>
      </c>
      <c r="D683" t="s">
        <v>39</v>
      </c>
      <c r="E683">
        <v>36</v>
      </c>
      <c r="F683" t="s">
        <v>61</v>
      </c>
      <c r="G683" t="s">
        <v>61</v>
      </c>
      <c r="H683" t="s">
        <v>22</v>
      </c>
      <c r="I683" t="s">
        <v>84</v>
      </c>
      <c r="J683" t="s">
        <v>34</v>
      </c>
      <c r="K683">
        <v>5</v>
      </c>
      <c r="L683">
        <v>3700</v>
      </c>
      <c r="M683">
        <v>10</v>
      </c>
      <c r="N683">
        <v>16650</v>
      </c>
      <c r="O683" t="s">
        <v>73</v>
      </c>
      <c r="P683">
        <v>1</v>
      </c>
      <c r="Q683" t="s">
        <v>74</v>
      </c>
    </row>
    <row r="684" spans="1:17" x14ac:dyDescent="0.3">
      <c r="A684" t="s">
        <v>1360</v>
      </c>
      <c r="B684" t="s">
        <v>1361</v>
      </c>
      <c r="C684" t="s">
        <v>121</v>
      </c>
      <c r="D684" t="s">
        <v>39</v>
      </c>
      <c r="E684">
        <v>43</v>
      </c>
      <c r="F684" t="s">
        <v>77</v>
      </c>
      <c r="G684" t="s">
        <v>78</v>
      </c>
      <c r="H684" t="s">
        <v>46</v>
      </c>
      <c r="I684" t="s">
        <v>79</v>
      </c>
      <c r="J684" t="s">
        <v>24</v>
      </c>
      <c r="K684">
        <v>9</v>
      </c>
      <c r="L684">
        <v>38500</v>
      </c>
      <c r="M684">
        <v>20</v>
      </c>
      <c r="N684">
        <v>277200</v>
      </c>
      <c r="O684" t="s">
        <v>25</v>
      </c>
      <c r="P684">
        <v>4</v>
      </c>
      <c r="Q684" t="s">
        <v>26</v>
      </c>
    </row>
    <row r="685" spans="1:17" x14ac:dyDescent="0.3">
      <c r="A685" t="s">
        <v>1362</v>
      </c>
      <c r="B685" t="s">
        <v>1363</v>
      </c>
      <c r="C685" t="s">
        <v>121</v>
      </c>
      <c r="D685" t="s">
        <v>103</v>
      </c>
      <c r="E685">
        <v>26</v>
      </c>
      <c r="F685" t="s">
        <v>77</v>
      </c>
      <c r="G685" t="s">
        <v>95</v>
      </c>
      <c r="H685" t="s">
        <v>22</v>
      </c>
      <c r="I685" t="s">
        <v>23</v>
      </c>
      <c r="J685" t="s">
        <v>72</v>
      </c>
      <c r="K685">
        <v>3</v>
      </c>
      <c r="L685">
        <v>33200</v>
      </c>
      <c r="M685">
        <v>20</v>
      </c>
      <c r="N685">
        <v>79680</v>
      </c>
      <c r="O685" t="s">
        <v>35</v>
      </c>
      <c r="P685">
        <v>5</v>
      </c>
      <c r="Q685" t="s">
        <v>65</v>
      </c>
    </row>
    <row r="686" spans="1:17" x14ac:dyDescent="0.3">
      <c r="A686" t="s">
        <v>1364</v>
      </c>
      <c r="B686" t="s">
        <v>755</v>
      </c>
      <c r="C686" t="s">
        <v>38</v>
      </c>
      <c r="D686" t="s">
        <v>83</v>
      </c>
      <c r="E686">
        <v>19</v>
      </c>
      <c r="F686" t="s">
        <v>21</v>
      </c>
      <c r="G686" t="s">
        <v>21</v>
      </c>
      <c r="H686" t="s">
        <v>46</v>
      </c>
      <c r="I686" t="s">
        <v>47</v>
      </c>
      <c r="J686" t="s">
        <v>34</v>
      </c>
      <c r="K686">
        <v>9</v>
      </c>
      <c r="L686">
        <v>39900</v>
      </c>
      <c r="M686">
        <v>15</v>
      </c>
      <c r="N686">
        <v>305235</v>
      </c>
      <c r="O686" t="s">
        <v>40</v>
      </c>
      <c r="Q686" t="s">
        <v>74</v>
      </c>
    </row>
    <row r="687" spans="1:17" x14ac:dyDescent="0.3">
      <c r="A687" t="s">
        <v>1365</v>
      </c>
      <c r="B687" t="s">
        <v>1366</v>
      </c>
      <c r="C687" t="s">
        <v>60</v>
      </c>
      <c r="D687" t="s">
        <v>103</v>
      </c>
      <c r="E687">
        <v>46</v>
      </c>
      <c r="F687" t="s">
        <v>21</v>
      </c>
      <c r="G687" t="s">
        <v>21</v>
      </c>
      <c r="H687" t="s">
        <v>46</v>
      </c>
      <c r="I687" t="s">
        <v>79</v>
      </c>
      <c r="J687" t="s">
        <v>34</v>
      </c>
      <c r="K687">
        <v>2</v>
      </c>
      <c r="L687">
        <v>2700</v>
      </c>
      <c r="M687">
        <v>10</v>
      </c>
      <c r="N687">
        <v>4860</v>
      </c>
      <c r="O687" t="s">
        <v>162</v>
      </c>
      <c r="Q687" t="s">
        <v>65</v>
      </c>
    </row>
    <row r="688" spans="1:17" x14ac:dyDescent="0.3">
      <c r="A688" t="s">
        <v>1367</v>
      </c>
      <c r="B688" t="s">
        <v>718</v>
      </c>
      <c r="C688" t="s">
        <v>19</v>
      </c>
      <c r="D688" t="s">
        <v>103</v>
      </c>
      <c r="E688">
        <v>55</v>
      </c>
      <c r="F688" t="s">
        <v>277</v>
      </c>
      <c r="G688" t="s">
        <v>45</v>
      </c>
      <c r="H688" t="s">
        <v>22</v>
      </c>
      <c r="I688" t="s">
        <v>84</v>
      </c>
      <c r="J688" t="s">
        <v>24</v>
      </c>
      <c r="K688">
        <v>10</v>
      </c>
      <c r="L688">
        <v>28700</v>
      </c>
      <c r="M688">
        <v>5</v>
      </c>
      <c r="N688">
        <v>272650</v>
      </c>
      <c r="O688" t="s">
        <v>85</v>
      </c>
      <c r="P688">
        <v>5</v>
      </c>
      <c r="Q688" t="s">
        <v>74</v>
      </c>
    </row>
    <row r="689" spans="1:17" x14ac:dyDescent="0.3">
      <c r="A689" t="s">
        <v>1368</v>
      </c>
      <c r="B689" t="s">
        <v>1369</v>
      </c>
      <c r="C689" t="s">
        <v>71</v>
      </c>
      <c r="D689" t="s">
        <v>103</v>
      </c>
      <c r="E689">
        <v>36</v>
      </c>
      <c r="F689" t="s">
        <v>44</v>
      </c>
      <c r="G689" t="s">
        <v>45</v>
      </c>
      <c r="H689" t="s">
        <v>62</v>
      </c>
      <c r="I689" t="s">
        <v>140</v>
      </c>
      <c r="J689" t="s">
        <v>34</v>
      </c>
      <c r="K689">
        <v>6</v>
      </c>
      <c r="L689">
        <v>43000</v>
      </c>
      <c r="M689">
        <v>20</v>
      </c>
      <c r="N689">
        <v>206400</v>
      </c>
      <c r="O689" t="s">
        <v>48</v>
      </c>
      <c r="P689">
        <v>5</v>
      </c>
      <c r="Q689" t="s">
        <v>74</v>
      </c>
    </row>
    <row r="690" spans="1:17" x14ac:dyDescent="0.3">
      <c r="A690" t="s">
        <v>1370</v>
      </c>
      <c r="B690" t="s">
        <v>1371</v>
      </c>
      <c r="C690" t="s">
        <v>19</v>
      </c>
      <c r="D690" t="s">
        <v>20</v>
      </c>
      <c r="E690">
        <v>48</v>
      </c>
      <c r="F690" t="s">
        <v>77</v>
      </c>
      <c r="G690" t="s">
        <v>78</v>
      </c>
      <c r="H690" t="s">
        <v>46</v>
      </c>
      <c r="I690" t="s">
        <v>47</v>
      </c>
      <c r="J690" t="s">
        <v>64</v>
      </c>
      <c r="K690">
        <v>9</v>
      </c>
      <c r="L690">
        <v>21300</v>
      </c>
      <c r="M690">
        <v>25</v>
      </c>
      <c r="N690">
        <v>143775</v>
      </c>
      <c r="O690" t="s">
        <v>105</v>
      </c>
      <c r="Q690" t="s">
        <v>65</v>
      </c>
    </row>
    <row r="691" spans="1:17" x14ac:dyDescent="0.3">
      <c r="A691" t="s">
        <v>1372</v>
      </c>
      <c r="B691" t="s">
        <v>1373</v>
      </c>
      <c r="C691" t="s">
        <v>113</v>
      </c>
      <c r="D691" t="s">
        <v>83</v>
      </c>
      <c r="E691">
        <v>43</v>
      </c>
      <c r="F691" t="s">
        <v>77</v>
      </c>
      <c r="G691" t="s">
        <v>95</v>
      </c>
      <c r="H691" t="s">
        <v>32</v>
      </c>
      <c r="I691" t="s">
        <v>53</v>
      </c>
      <c r="J691" t="s">
        <v>64</v>
      </c>
      <c r="K691">
        <v>9</v>
      </c>
      <c r="L691">
        <v>43800</v>
      </c>
      <c r="M691">
        <v>10</v>
      </c>
      <c r="N691">
        <v>354780</v>
      </c>
      <c r="O691" t="s">
        <v>73</v>
      </c>
      <c r="P691">
        <v>4</v>
      </c>
      <c r="Q691" t="s">
        <v>65</v>
      </c>
    </row>
    <row r="692" spans="1:17" x14ac:dyDescent="0.3">
      <c r="A692" t="s">
        <v>1374</v>
      </c>
      <c r="B692" t="s">
        <v>1375</v>
      </c>
      <c r="C692" t="s">
        <v>60</v>
      </c>
      <c r="D692" t="s">
        <v>39</v>
      </c>
      <c r="E692">
        <v>50</v>
      </c>
      <c r="F692" t="s">
        <v>77</v>
      </c>
      <c r="G692" t="s">
        <v>78</v>
      </c>
      <c r="H692" t="s">
        <v>32</v>
      </c>
      <c r="I692" t="s">
        <v>53</v>
      </c>
      <c r="J692" t="s">
        <v>80</v>
      </c>
      <c r="K692">
        <v>8</v>
      </c>
      <c r="L692">
        <v>39900</v>
      </c>
      <c r="M692">
        <v>15</v>
      </c>
      <c r="N692">
        <v>271320</v>
      </c>
      <c r="O692" t="s">
        <v>25</v>
      </c>
      <c r="Q692" t="s">
        <v>65</v>
      </c>
    </row>
    <row r="693" spans="1:17" x14ac:dyDescent="0.3">
      <c r="A693" t="s">
        <v>1376</v>
      </c>
      <c r="B693" t="s">
        <v>1377</v>
      </c>
      <c r="C693" t="s">
        <v>113</v>
      </c>
      <c r="D693" t="s">
        <v>83</v>
      </c>
      <c r="E693">
        <v>61</v>
      </c>
      <c r="F693" t="s">
        <v>44</v>
      </c>
      <c r="G693" t="s">
        <v>45</v>
      </c>
      <c r="H693" t="s">
        <v>46</v>
      </c>
      <c r="I693" t="s">
        <v>47</v>
      </c>
      <c r="J693" t="s">
        <v>64</v>
      </c>
      <c r="K693">
        <v>5</v>
      </c>
      <c r="L693">
        <v>8900</v>
      </c>
      <c r="M693">
        <v>0</v>
      </c>
      <c r="N693">
        <v>44500</v>
      </c>
      <c r="O693" t="s">
        <v>105</v>
      </c>
      <c r="Q693" t="s">
        <v>26</v>
      </c>
    </row>
    <row r="694" spans="1:17" x14ac:dyDescent="0.3">
      <c r="A694" t="s">
        <v>1378</v>
      </c>
      <c r="B694" t="s">
        <v>1379</v>
      </c>
      <c r="C694" t="s">
        <v>71</v>
      </c>
      <c r="D694" t="s">
        <v>83</v>
      </c>
      <c r="E694">
        <v>65</v>
      </c>
      <c r="F694" t="s">
        <v>44</v>
      </c>
      <c r="G694" t="s">
        <v>100</v>
      </c>
      <c r="H694" t="s">
        <v>62</v>
      </c>
      <c r="I694" t="s">
        <v>63</v>
      </c>
      <c r="J694" t="s">
        <v>24</v>
      </c>
      <c r="K694">
        <v>8</v>
      </c>
      <c r="L694">
        <v>35300</v>
      </c>
      <c r="M694">
        <v>20</v>
      </c>
      <c r="N694" t="s">
        <v>1380</v>
      </c>
      <c r="O694" t="s">
        <v>35</v>
      </c>
      <c r="Q694" t="s">
        <v>41</v>
      </c>
    </row>
    <row r="695" spans="1:17" x14ac:dyDescent="0.3">
      <c r="A695" t="s">
        <v>1381</v>
      </c>
      <c r="B695" t="s">
        <v>1382</v>
      </c>
      <c r="C695" t="s">
        <v>113</v>
      </c>
      <c r="D695" t="s">
        <v>39</v>
      </c>
      <c r="E695">
        <v>26</v>
      </c>
      <c r="F695" t="s">
        <v>77</v>
      </c>
      <c r="G695" t="s">
        <v>95</v>
      </c>
      <c r="H695" t="s">
        <v>46</v>
      </c>
      <c r="I695" t="s">
        <v>47</v>
      </c>
      <c r="J695" t="s">
        <v>80</v>
      </c>
      <c r="K695">
        <v>4</v>
      </c>
      <c r="L695">
        <v>47400</v>
      </c>
      <c r="M695">
        <v>5</v>
      </c>
      <c r="N695">
        <v>180120</v>
      </c>
      <c r="O695" t="s">
        <v>25</v>
      </c>
      <c r="P695">
        <v>5</v>
      </c>
      <c r="Q695" t="s">
        <v>41</v>
      </c>
    </row>
    <row r="696" spans="1:17" x14ac:dyDescent="0.3">
      <c r="A696" t="s">
        <v>1383</v>
      </c>
      <c r="B696" t="s">
        <v>718</v>
      </c>
      <c r="C696" t="s">
        <v>71</v>
      </c>
      <c r="D696" t="s">
        <v>103</v>
      </c>
      <c r="E696">
        <v>49</v>
      </c>
      <c r="F696" t="s">
        <v>21</v>
      </c>
      <c r="G696" t="s">
        <v>21</v>
      </c>
      <c r="H696" t="s">
        <v>32</v>
      </c>
      <c r="I696" t="s">
        <v>53</v>
      </c>
      <c r="J696" t="s">
        <v>34</v>
      </c>
      <c r="K696">
        <v>9</v>
      </c>
      <c r="L696">
        <v>16300</v>
      </c>
      <c r="M696">
        <v>10</v>
      </c>
      <c r="N696">
        <v>132030</v>
      </c>
      <c r="O696" t="s">
        <v>40</v>
      </c>
      <c r="P696">
        <v>3</v>
      </c>
      <c r="Q696" t="s">
        <v>26</v>
      </c>
    </row>
    <row r="697" spans="1:17" x14ac:dyDescent="0.3">
      <c r="A697" t="s">
        <v>1384</v>
      </c>
      <c r="B697" t="s">
        <v>498</v>
      </c>
      <c r="C697" t="s">
        <v>94</v>
      </c>
      <c r="D697" t="s">
        <v>39</v>
      </c>
      <c r="E697">
        <v>44</v>
      </c>
      <c r="F697" t="s">
        <v>30</v>
      </c>
      <c r="G697" t="s">
        <v>57</v>
      </c>
      <c r="H697" t="s">
        <v>110</v>
      </c>
      <c r="I697" t="s">
        <v>33</v>
      </c>
      <c r="J697" t="s">
        <v>24</v>
      </c>
      <c r="K697">
        <v>3</v>
      </c>
      <c r="L697">
        <v>21900</v>
      </c>
      <c r="M697">
        <v>0</v>
      </c>
      <c r="N697">
        <v>65700</v>
      </c>
      <c r="O697" t="s">
        <v>48</v>
      </c>
      <c r="P697">
        <v>5</v>
      </c>
      <c r="Q697" t="s">
        <v>41</v>
      </c>
    </row>
    <row r="698" spans="1:17" x14ac:dyDescent="0.3">
      <c r="A698" t="s">
        <v>1385</v>
      </c>
      <c r="B698" t="s">
        <v>769</v>
      </c>
      <c r="C698" t="s">
        <v>94</v>
      </c>
      <c r="D698" t="s">
        <v>103</v>
      </c>
      <c r="E698">
        <v>33</v>
      </c>
      <c r="F698" t="s">
        <v>30</v>
      </c>
      <c r="G698" t="s">
        <v>31</v>
      </c>
      <c r="H698" t="s">
        <v>32</v>
      </c>
      <c r="I698" t="s">
        <v>53</v>
      </c>
      <c r="J698" t="s">
        <v>24</v>
      </c>
      <c r="K698">
        <v>5</v>
      </c>
      <c r="L698">
        <v>25500</v>
      </c>
      <c r="M698">
        <v>0</v>
      </c>
      <c r="N698">
        <v>127500</v>
      </c>
      <c r="O698" t="s">
        <v>25</v>
      </c>
      <c r="P698">
        <v>1</v>
      </c>
      <c r="Q698" t="s">
        <v>26</v>
      </c>
    </row>
    <row r="699" spans="1:17" x14ac:dyDescent="0.3">
      <c r="A699" t="s">
        <v>1386</v>
      </c>
      <c r="B699" t="s">
        <v>1387</v>
      </c>
      <c r="C699" t="s">
        <v>71</v>
      </c>
      <c r="D699" t="s">
        <v>103</v>
      </c>
      <c r="E699">
        <v>31</v>
      </c>
      <c r="F699" t="s">
        <v>44</v>
      </c>
      <c r="G699" t="s">
        <v>45</v>
      </c>
      <c r="H699" t="s">
        <v>32</v>
      </c>
      <c r="I699" t="s">
        <v>53</v>
      </c>
      <c r="J699" t="s">
        <v>89</v>
      </c>
      <c r="K699">
        <v>2</v>
      </c>
      <c r="L699">
        <v>33300</v>
      </c>
      <c r="M699">
        <v>20</v>
      </c>
      <c r="N699">
        <v>53280</v>
      </c>
      <c r="O699" t="s">
        <v>48</v>
      </c>
      <c r="P699">
        <v>3</v>
      </c>
      <c r="Q699" t="s">
        <v>26</v>
      </c>
    </row>
    <row r="700" spans="1:17" x14ac:dyDescent="0.3">
      <c r="A700" t="s">
        <v>1388</v>
      </c>
      <c r="B700" t="s">
        <v>1389</v>
      </c>
      <c r="C700" t="s">
        <v>38</v>
      </c>
      <c r="D700" t="s">
        <v>103</v>
      </c>
      <c r="E700">
        <v>-3</v>
      </c>
      <c r="F700" t="s">
        <v>21</v>
      </c>
      <c r="G700" t="s">
        <v>21</v>
      </c>
      <c r="H700" t="s">
        <v>46</v>
      </c>
      <c r="I700" t="s">
        <v>79</v>
      </c>
      <c r="J700" t="s">
        <v>24</v>
      </c>
      <c r="K700">
        <v>7</v>
      </c>
      <c r="L700">
        <v>29400</v>
      </c>
      <c r="M700">
        <v>15</v>
      </c>
      <c r="N700">
        <v>174930</v>
      </c>
      <c r="O700" t="s">
        <v>85</v>
      </c>
      <c r="P700">
        <v>1</v>
      </c>
      <c r="Q700" t="s">
        <v>41</v>
      </c>
    </row>
    <row r="701" spans="1:17" x14ac:dyDescent="0.3">
      <c r="A701" t="s">
        <v>1390</v>
      </c>
      <c r="B701" t="s">
        <v>1391</v>
      </c>
      <c r="C701" t="s">
        <v>121</v>
      </c>
      <c r="D701" t="s">
        <v>20</v>
      </c>
      <c r="E701">
        <v>18</v>
      </c>
      <c r="F701" t="s">
        <v>21</v>
      </c>
      <c r="G701" t="s">
        <v>21</v>
      </c>
      <c r="H701" t="s">
        <v>32</v>
      </c>
      <c r="I701" t="s">
        <v>33</v>
      </c>
      <c r="J701" t="s">
        <v>24</v>
      </c>
      <c r="K701">
        <v>8</v>
      </c>
      <c r="L701">
        <v>15800</v>
      </c>
      <c r="M701">
        <v>5</v>
      </c>
      <c r="N701">
        <v>120080</v>
      </c>
      <c r="O701" t="s">
        <v>25</v>
      </c>
      <c r="P701">
        <v>5</v>
      </c>
      <c r="Q701" t="s">
        <v>74</v>
      </c>
    </row>
    <row r="702" spans="1:17" x14ac:dyDescent="0.3">
      <c r="A702" t="s">
        <v>1392</v>
      </c>
      <c r="B702" t="s">
        <v>1137</v>
      </c>
      <c r="C702" t="s">
        <v>19</v>
      </c>
      <c r="D702" t="s">
        <v>39</v>
      </c>
      <c r="E702">
        <v>53</v>
      </c>
      <c r="F702" t="s">
        <v>44</v>
      </c>
      <c r="G702" t="s">
        <v>45</v>
      </c>
      <c r="H702" t="s">
        <v>32</v>
      </c>
      <c r="I702" t="s">
        <v>53</v>
      </c>
      <c r="J702" t="s">
        <v>72</v>
      </c>
      <c r="K702">
        <v>2</v>
      </c>
      <c r="L702">
        <v>28200</v>
      </c>
      <c r="M702">
        <v>0</v>
      </c>
      <c r="N702">
        <v>56400</v>
      </c>
      <c r="O702" t="s">
        <v>25</v>
      </c>
      <c r="Q702" t="s">
        <v>26</v>
      </c>
    </row>
    <row r="703" spans="1:17" x14ac:dyDescent="0.3">
      <c r="A703" t="s">
        <v>1393</v>
      </c>
      <c r="B703" t="s">
        <v>1394</v>
      </c>
      <c r="C703" t="s">
        <v>94</v>
      </c>
      <c r="D703" t="s">
        <v>39</v>
      </c>
      <c r="E703">
        <v>37</v>
      </c>
      <c r="F703" t="s">
        <v>30</v>
      </c>
      <c r="G703" t="s">
        <v>31</v>
      </c>
      <c r="H703" t="s">
        <v>22</v>
      </c>
      <c r="I703" t="s">
        <v>84</v>
      </c>
      <c r="J703" t="s">
        <v>80</v>
      </c>
      <c r="K703">
        <v>6</v>
      </c>
      <c r="L703">
        <v>14000</v>
      </c>
      <c r="M703">
        <v>15</v>
      </c>
      <c r="N703">
        <v>71400</v>
      </c>
      <c r="O703" t="s">
        <v>35</v>
      </c>
      <c r="P703">
        <v>3</v>
      </c>
      <c r="Q703" t="s">
        <v>74</v>
      </c>
    </row>
    <row r="704" spans="1:17" x14ac:dyDescent="0.3">
      <c r="A704" t="s">
        <v>1395</v>
      </c>
      <c r="B704" t="s">
        <v>1396</v>
      </c>
      <c r="C704" t="s">
        <v>38</v>
      </c>
      <c r="D704" t="s">
        <v>83</v>
      </c>
      <c r="E704">
        <v>41</v>
      </c>
      <c r="F704" t="s">
        <v>77</v>
      </c>
      <c r="G704" t="s">
        <v>78</v>
      </c>
      <c r="H704" t="s">
        <v>62</v>
      </c>
      <c r="I704" t="s">
        <v>63</v>
      </c>
      <c r="J704" t="s">
        <v>72</v>
      </c>
      <c r="K704">
        <v>6</v>
      </c>
      <c r="L704">
        <v>16500</v>
      </c>
      <c r="M704">
        <v>20</v>
      </c>
      <c r="N704">
        <v>79200</v>
      </c>
      <c r="O704" t="s">
        <v>73</v>
      </c>
      <c r="P704">
        <v>4</v>
      </c>
      <c r="Q704" t="s">
        <v>41</v>
      </c>
    </row>
    <row r="705" spans="1:17" x14ac:dyDescent="0.3">
      <c r="A705" t="s">
        <v>1397</v>
      </c>
      <c r="B705" t="s">
        <v>87</v>
      </c>
      <c r="C705" t="s">
        <v>94</v>
      </c>
      <c r="D705" t="s">
        <v>103</v>
      </c>
      <c r="E705">
        <v>35</v>
      </c>
      <c r="F705" t="s">
        <v>21</v>
      </c>
      <c r="G705" t="s">
        <v>21</v>
      </c>
      <c r="H705" t="s">
        <v>116</v>
      </c>
      <c r="I705" t="s">
        <v>23</v>
      </c>
      <c r="J705" t="s">
        <v>34</v>
      </c>
      <c r="K705">
        <v>3</v>
      </c>
      <c r="L705">
        <v>18100</v>
      </c>
      <c r="M705">
        <v>25</v>
      </c>
      <c r="N705">
        <v>40725</v>
      </c>
      <c r="O705" t="s">
        <v>25</v>
      </c>
      <c r="Q705" t="s">
        <v>41</v>
      </c>
    </row>
    <row r="706" spans="1:17" x14ac:dyDescent="0.3">
      <c r="A706" t="s">
        <v>1398</v>
      </c>
      <c r="B706" t="s">
        <v>1146</v>
      </c>
      <c r="C706" t="s">
        <v>38</v>
      </c>
      <c r="E706">
        <v>48</v>
      </c>
      <c r="F706" t="s">
        <v>44</v>
      </c>
      <c r="G706" t="s">
        <v>45</v>
      </c>
      <c r="H706" t="s">
        <v>62</v>
      </c>
      <c r="I706" t="s">
        <v>63</v>
      </c>
      <c r="J706" t="s">
        <v>89</v>
      </c>
      <c r="K706">
        <v>5</v>
      </c>
      <c r="L706">
        <v>8200</v>
      </c>
      <c r="M706">
        <v>25</v>
      </c>
      <c r="N706">
        <v>30750</v>
      </c>
      <c r="O706" t="s">
        <v>73</v>
      </c>
      <c r="P706">
        <v>3</v>
      </c>
      <c r="Q706" t="s">
        <v>41</v>
      </c>
    </row>
    <row r="707" spans="1:17" x14ac:dyDescent="0.3">
      <c r="A707" t="s">
        <v>1399</v>
      </c>
      <c r="B707" t="s">
        <v>1400</v>
      </c>
      <c r="C707" t="s">
        <v>19</v>
      </c>
      <c r="D707" t="s">
        <v>20</v>
      </c>
      <c r="E707">
        <v>21</v>
      </c>
      <c r="F707" t="s">
        <v>61</v>
      </c>
      <c r="G707" t="s">
        <v>61</v>
      </c>
      <c r="H707" t="s">
        <v>46</v>
      </c>
      <c r="I707" t="s">
        <v>79</v>
      </c>
      <c r="J707" t="s">
        <v>34</v>
      </c>
      <c r="K707">
        <v>7</v>
      </c>
      <c r="L707">
        <v>12100</v>
      </c>
      <c r="M707">
        <v>5</v>
      </c>
      <c r="N707">
        <v>80465</v>
      </c>
      <c r="O707" t="s">
        <v>35</v>
      </c>
      <c r="P707">
        <v>2</v>
      </c>
      <c r="Q707" t="s">
        <v>74</v>
      </c>
    </row>
    <row r="708" spans="1:17" x14ac:dyDescent="0.3">
      <c r="A708" t="s">
        <v>1401</v>
      </c>
      <c r="B708" t="s">
        <v>1402</v>
      </c>
      <c r="C708" t="s">
        <v>88</v>
      </c>
      <c r="D708" t="s">
        <v>39</v>
      </c>
      <c r="E708">
        <v>36</v>
      </c>
      <c r="F708" t="s">
        <v>77</v>
      </c>
      <c r="G708" t="s">
        <v>95</v>
      </c>
      <c r="H708" t="s">
        <v>62</v>
      </c>
      <c r="I708" t="s">
        <v>140</v>
      </c>
      <c r="J708" t="s">
        <v>89</v>
      </c>
      <c r="K708">
        <v>4</v>
      </c>
      <c r="L708">
        <v>40600</v>
      </c>
      <c r="M708">
        <v>25</v>
      </c>
      <c r="N708">
        <v>121800</v>
      </c>
      <c r="O708" t="s">
        <v>40</v>
      </c>
      <c r="Q708" t="s">
        <v>26</v>
      </c>
    </row>
    <row r="709" spans="1:17" x14ac:dyDescent="0.3">
      <c r="A709" t="s">
        <v>1403</v>
      </c>
      <c r="B709" t="s">
        <v>1404</v>
      </c>
      <c r="C709" t="s">
        <v>38</v>
      </c>
      <c r="D709" t="s">
        <v>39</v>
      </c>
      <c r="E709">
        <v>48</v>
      </c>
      <c r="F709" t="s">
        <v>61</v>
      </c>
      <c r="G709" t="s">
        <v>61</v>
      </c>
      <c r="H709" t="s">
        <v>62</v>
      </c>
      <c r="I709" t="s">
        <v>63</v>
      </c>
      <c r="J709" t="s">
        <v>34</v>
      </c>
      <c r="K709">
        <v>5</v>
      </c>
      <c r="L709">
        <v>2200</v>
      </c>
      <c r="M709">
        <v>10</v>
      </c>
      <c r="N709">
        <v>9900</v>
      </c>
      <c r="O709" t="s">
        <v>105</v>
      </c>
      <c r="P709">
        <v>1</v>
      </c>
      <c r="Q709" t="s">
        <v>26</v>
      </c>
    </row>
    <row r="710" spans="1:17" x14ac:dyDescent="0.3">
      <c r="A710" t="s">
        <v>1405</v>
      </c>
      <c r="B710" t="s">
        <v>1016</v>
      </c>
      <c r="C710" t="s">
        <v>121</v>
      </c>
      <c r="E710">
        <v>42</v>
      </c>
      <c r="F710" t="s">
        <v>61</v>
      </c>
      <c r="G710" t="s">
        <v>61</v>
      </c>
      <c r="H710" t="s">
        <v>32</v>
      </c>
      <c r="I710" t="s">
        <v>53</v>
      </c>
      <c r="J710" t="s">
        <v>80</v>
      </c>
      <c r="K710">
        <v>3</v>
      </c>
      <c r="L710">
        <v>3200</v>
      </c>
      <c r="M710">
        <v>20</v>
      </c>
      <c r="N710">
        <v>7680</v>
      </c>
      <c r="O710" t="s">
        <v>40</v>
      </c>
      <c r="Q710" t="s">
        <v>26</v>
      </c>
    </row>
    <row r="711" spans="1:17" x14ac:dyDescent="0.3">
      <c r="A711" t="s">
        <v>1406</v>
      </c>
      <c r="B711" t="s">
        <v>1407</v>
      </c>
      <c r="C711" t="s">
        <v>121</v>
      </c>
      <c r="D711" t="s">
        <v>39</v>
      </c>
      <c r="E711">
        <v>32</v>
      </c>
      <c r="F711" t="s">
        <v>77</v>
      </c>
      <c r="G711" t="s">
        <v>78</v>
      </c>
      <c r="H711" t="s">
        <v>62</v>
      </c>
      <c r="I711" t="s">
        <v>140</v>
      </c>
      <c r="J711" t="s">
        <v>34</v>
      </c>
      <c r="K711">
        <v>2</v>
      </c>
      <c r="L711">
        <v>30600</v>
      </c>
      <c r="M711">
        <v>5</v>
      </c>
      <c r="N711">
        <v>58140</v>
      </c>
      <c r="O711" t="s">
        <v>35</v>
      </c>
      <c r="P711">
        <v>3</v>
      </c>
      <c r="Q711" t="s">
        <v>41</v>
      </c>
    </row>
    <row r="712" spans="1:17" x14ac:dyDescent="0.3">
      <c r="A712" t="s">
        <v>1408</v>
      </c>
      <c r="B712" t="s">
        <v>1409</v>
      </c>
      <c r="C712" t="s">
        <v>113</v>
      </c>
      <c r="D712" t="s">
        <v>20</v>
      </c>
      <c r="E712">
        <v>18</v>
      </c>
      <c r="F712" t="s">
        <v>77</v>
      </c>
      <c r="G712" t="s">
        <v>95</v>
      </c>
      <c r="H712" t="s">
        <v>46</v>
      </c>
      <c r="I712" t="s">
        <v>47</v>
      </c>
      <c r="J712" t="s">
        <v>72</v>
      </c>
      <c r="K712">
        <v>4</v>
      </c>
      <c r="L712">
        <v>35900</v>
      </c>
      <c r="M712">
        <v>25</v>
      </c>
      <c r="N712">
        <v>107700</v>
      </c>
      <c r="O712" t="s">
        <v>25</v>
      </c>
      <c r="P712">
        <v>1</v>
      </c>
      <c r="Q712" t="s">
        <v>26</v>
      </c>
    </row>
    <row r="713" spans="1:17" x14ac:dyDescent="0.3">
      <c r="A713" t="s">
        <v>1410</v>
      </c>
      <c r="B713" t="s">
        <v>1411</v>
      </c>
      <c r="C713" t="s">
        <v>29</v>
      </c>
      <c r="E713">
        <v>34</v>
      </c>
      <c r="F713" t="s">
        <v>21</v>
      </c>
      <c r="G713" t="s">
        <v>21</v>
      </c>
      <c r="H713" t="s">
        <v>62</v>
      </c>
      <c r="I713" t="s">
        <v>63</v>
      </c>
      <c r="J713" t="s">
        <v>72</v>
      </c>
      <c r="K713">
        <v>8</v>
      </c>
      <c r="L713">
        <v>4500</v>
      </c>
      <c r="M713">
        <v>25</v>
      </c>
      <c r="N713">
        <v>27000</v>
      </c>
      <c r="O713" t="s">
        <v>73</v>
      </c>
      <c r="P713">
        <v>2</v>
      </c>
      <c r="Q713" t="s">
        <v>26</v>
      </c>
    </row>
    <row r="714" spans="1:17" x14ac:dyDescent="0.3">
      <c r="A714" t="s">
        <v>1412</v>
      </c>
      <c r="B714" t="s">
        <v>688</v>
      </c>
      <c r="C714" t="s">
        <v>121</v>
      </c>
      <c r="D714" t="s">
        <v>83</v>
      </c>
      <c r="E714">
        <v>20</v>
      </c>
      <c r="F714" t="s">
        <v>44</v>
      </c>
      <c r="G714" t="s">
        <v>100</v>
      </c>
      <c r="H714" t="s">
        <v>46</v>
      </c>
      <c r="I714" t="s">
        <v>79</v>
      </c>
      <c r="J714" t="s">
        <v>89</v>
      </c>
      <c r="K714" t="s">
        <v>458</v>
      </c>
      <c r="L714">
        <v>10500</v>
      </c>
      <c r="M714">
        <v>15</v>
      </c>
      <c r="N714">
        <v>53550</v>
      </c>
      <c r="O714" t="s">
        <v>48</v>
      </c>
      <c r="P714">
        <v>2</v>
      </c>
      <c r="Q714" t="s">
        <v>26</v>
      </c>
    </row>
    <row r="715" spans="1:17" x14ac:dyDescent="0.3">
      <c r="A715" t="s">
        <v>1413</v>
      </c>
      <c r="B715" t="s">
        <v>1414</v>
      </c>
      <c r="C715" t="s">
        <v>121</v>
      </c>
      <c r="D715" t="s">
        <v>20</v>
      </c>
      <c r="E715">
        <v>56</v>
      </c>
      <c r="F715" t="s">
        <v>30</v>
      </c>
      <c r="G715" t="s">
        <v>57</v>
      </c>
      <c r="H715" t="s">
        <v>46</v>
      </c>
      <c r="I715" t="s">
        <v>47</v>
      </c>
      <c r="J715" t="s">
        <v>24</v>
      </c>
      <c r="K715">
        <v>9</v>
      </c>
      <c r="L715">
        <v>16300</v>
      </c>
      <c r="M715">
        <v>15</v>
      </c>
      <c r="N715">
        <v>124695</v>
      </c>
      <c r="O715" t="s">
        <v>25</v>
      </c>
      <c r="P715">
        <v>1</v>
      </c>
      <c r="Q715" t="s">
        <v>41</v>
      </c>
    </row>
    <row r="716" spans="1:17" x14ac:dyDescent="0.3">
      <c r="A716" t="s">
        <v>1415</v>
      </c>
      <c r="B716" t="s">
        <v>1005</v>
      </c>
      <c r="C716" t="s">
        <v>88</v>
      </c>
      <c r="D716" t="s">
        <v>20</v>
      </c>
      <c r="E716">
        <v>33</v>
      </c>
      <c r="F716" t="s">
        <v>77</v>
      </c>
      <c r="G716" t="s">
        <v>78</v>
      </c>
      <c r="H716" t="s">
        <v>22</v>
      </c>
      <c r="I716" t="s">
        <v>84</v>
      </c>
      <c r="J716" t="s">
        <v>89</v>
      </c>
      <c r="K716">
        <v>4</v>
      </c>
      <c r="L716">
        <v>29300</v>
      </c>
      <c r="M716">
        <v>25</v>
      </c>
      <c r="N716">
        <v>87900</v>
      </c>
      <c r="O716" t="s">
        <v>73</v>
      </c>
      <c r="Q716" t="s">
        <v>26</v>
      </c>
    </row>
    <row r="717" spans="1:17" x14ac:dyDescent="0.3">
      <c r="A717" t="s">
        <v>1416</v>
      </c>
      <c r="B717" t="s">
        <v>1417</v>
      </c>
      <c r="C717" t="s">
        <v>60</v>
      </c>
      <c r="D717" t="s">
        <v>20</v>
      </c>
      <c r="E717">
        <v>61</v>
      </c>
      <c r="F717" t="s">
        <v>21</v>
      </c>
      <c r="G717" t="s">
        <v>21</v>
      </c>
      <c r="H717" t="s">
        <v>46</v>
      </c>
      <c r="I717" t="s">
        <v>47</v>
      </c>
      <c r="J717" t="s">
        <v>89</v>
      </c>
      <c r="K717">
        <v>3</v>
      </c>
      <c r="L717">
        <v>24100</v>
      </c>
      <c r="M717">
        <v>10</v>
      </c>
      <c r="N717">
        <v>65070</v>
      </c>
      <c r="O717" t="s">
        <v>73</v>
      </c>
      <c r="P717">
        <v>4</v>
      </c>
      <c r="Q717" t="s">
        <v>65</v>
      </c>
    </row>
    <row r="718" spans="1:17" x14ac:dyDescent="0.3">
      <c r="A718" t="s">
        <v>1418</v>
      </c>
      <c r="B718" t="s">
        <v>1419</v>
      </c>
      <c r="C718" t="s">
        <v>29</v>
      </c>
      <c r="D718" t="s">
        <v>83</v>
      </c>
      <c r="E718">
        <v>24</v>
      </c>
      <c r="F718" t="s">
        <v>107</v>
      </c>
      <c r="G718" t="s">
        <v>52</v>
      </c>
      <c r="H718" t="s">
        <v>62</v>
      </c>
      <c r="I718" t="s">
        <v>63</v>
      </c>
      <c r="J718" t="s">
        <v>72</v>
      </c>
      <c r="K718">
        <v>5</v>
      </c>
      <c r="L718">
        <v>25700</v>
      </c>
      <c r="M718">
        <v>5</v>
      </c>
      <c r="N718">
        <v>122075</v>
      </c>
      <c r="O718" t="s">
        <v>73</v>
      </c>
      <c r="Q718" t="s">
        <v>41</v>
      </c>
    </row>
    <row r="719" spans="1:17" x14ac:dyDescent="0.3">
      <c r="A719" t="s">
        <v>1420</v>
      </c>
      <c r="B719" t="s">
        <v>1250</v>
      </c>
      <c r="C719" t="s">
        <v>71</v>
      </c>
      <c r="D719" t="s">
        <v>39</v>
      </c>
      <c r="E719">
        <v>40</v>
      </c>
      <c r="F719" t="s">
        <v>21</v>
      </c>
      <c r="G719" t="s">
        <v>21</v>
      </c>
      <c r="H719" t="s">
        <v>62</v>
      </c>
      <c r="I719" t="s">
        <v>63</v>
      </c>
      <c r="J719" t="s">
        <v>89</v>
      </c>
      <c r="K719">
        <v>6</v>
      </c>
      <c r="L719">
        <v>26900</v>
      </c>
      <c r="M719">
        <v>0</v>
      </c>
      <c r="N719">
        <v>161400</v>
      </c>
      <c r="O719" t="s">
        <v>48</v>
      </c>
      <c r="P719">
        <v>2</v>
      </c>
      <c r="Q719" t="s">
        <v>41</v>
      </c>
    </row>
    <row r="720" spans="1:17" x14ac:dyDescent="0.3">
      <c r="A720" t="s">
        <v>1421</v>
      </c>
      <c r="B720" t="s">
        <v>1422</v>
      </c>
      <c r="C720" t="s">
        <v>38</v>
      </c>
      <c r="D720" t="s">
        <v>20</v>
      </c>
      <c r="E720">
        <v>47</v>
      </c>
      <c r="F720" t="s">
        <v>30</v>
      </c>
      <c r="G720" t="s">
        <v>31</v>
      </c>
      <c r="H720" t="s">
        <v>62</v>
      </c>
      <c r="I720" t="s">
        <v>140</v>
      </c>
      <c r="J720" t="s">
        <v>34</v>
      </c>
      <c r="K720">
        <v>9</v>
      </c>
      <c r="L720">
        <v>19100</v>
      </c>
      <c r="M720">
        <v>25</v>
      </c>
      <c r="N720">
        <v>128925</v>
      </c>
      <c r="O720" t="s">
        <v>48</v>
      </c>
      <c r="P720">
        <v>5</v>
      </c>
      <c r="Q720" t="s">
        <v>74</v>
      </c>
    </row>
    <row r="721" spans="1:17" x14ac:dyDescent="0.3">
      <c r="A721" t="s">
        <v>1423</v>
      </c>
      <c r="B721" t="s">
        <v>1424</v>
      </c>
      <c r="C721" t="s">
        <v>29</v>
      </c>
      <c r="D721" t="s">
        <v>103</v>
      </c>
      <c r="E721">
        <v>41</v>
      </c>
      <c r="F721" t="s">
        <v>30</v>
      </c>
      <c r="G721" t="s">
        <v>57</v>
      </c>
      <c r="H721" t="s">
        <v>110</v>
      </c>
      <c r="I721" t="s">
        <v>53</v>
      </c>
      <c r="J721" t="s">
        <v>34</v>
      </c>
      <c r="K721">
        <v>9</v>
      </c>
      <c r="L721">
        <v>5800</v>
      </c>
      <c r="M721">
        <v>5</v>
      </c>
      <c r="N721">
        <v>49590</v>
      </c>
      <c r="O721" t="s">
        <v>48</v>
      </c>
      <c r="P721">
        <v>3</v>
      </c>
      <c r="Q721" t="s">
        <v>65</v>
      </c>
    </row>
    <row r="722" spans="1:17" x14ac:dyDescent="0.3">
      <c r="A722" t="s">
        <v>1425</v>
      </c>
      <c r="B722" t="s">
        <v>1426</v>
      </c>
      <c r="C722" t="s">
        <v>38</v>
      </c>
      <c r="D722" t="s">
        <v>83</v>
      </c>
      <c r="E722">
        <v>47</v>
      </c>
      <c r="F722" t="s">
        <v>61</v>
      </c>
      <c r="G722" t="s">
        <v>61</v>
      </c>
      <c r="H722" t="s">
        <v>46</v>
      </c>
      <c r="I722" t="s">
        <v>47</v>
      </c>
      <c r="J722" t="s">
        <v>89</v>
      </c>
      <c r="K722">
        <v>6</v>
      </c>
      <c r="L722">
        <v>19900</v>
      </c>
      <c r="M722">
        <v>20</v>
      </c>
      <c r="N722">
        <v>95520</v>
      </c>
      <c r="O722" t="s">
        <v>40</v>
      </c>
      <c r="P722">
        <v>3</v>
      </c>
      <c r="Q722" t="s">
        <v>74</v>
      </c>
    </row>
    <row r="723" spans="1:17" x14ac:dyDescent="0.3">
      <c r="A723" t="s">
        <v>1427</v>
      </c>
      <c r="B723" t="s">
        <v>236</v>
      </c>
      <c r="C723" t="s">
        <v>71</v>
      </c>
      <c r="D723" t="s">
        <v>103</v>
      </c>
      <c r="E723">
        <v>59</v>
      </c>
      <c r="F723" t="s">
        <v>61</v>
      </c>
      <c r="G723" t="s">
        <v>61</v>
      </c>
      <c r="H723" t="s">
        <v>32</v>
      </c>
      <c r="I723" t="s">
        <v>53</v>
      </c>
      <c r="J723" t="s">
        <v>72</v>
      </c>
      <c r="K723">
        <v>6</v>
      </c>
      <c r="L723">
        <v>35300</v>
      </c>
      <c r="M723">
        <v>10</v>
      </c>
      <c r="N723">
        <v>190620</v>
      </c>
      <c r="O723" t="s">
        <v>85</v>
      </c>
      <c r="P723">
        <v>4</v>
      </c>
      <c r="Q723" t="s">
        <v>74</v>
      </c>
    </row>
    <row r="724" spans="1:17" x14ac:dyDescent="0.3">
      <c r="A724" t="s">
        <v>1428</v>
      </c>
      <c r="B724" t="s">
        <v>1429</v>
      </c>
      <c r="C724" t="s">
        <v>19</v>
      </c>
      <c r="D724" t="s">
        <v>83</v>
      </c>
      <c r="E724">
        <v>36</v>
      </c>
      <c r="F724" t="s">
        <v>21</v>
      </c>
      <c r="G724" t="s">
        <v>21</v>
      </c>
      <c r="H724" t="s">
        <v>62</v>
      </c>
      <c r="I724" t="s">
        <v>63</v>
      </c>
      <c r="J724" t="s">
        <v>24</v>
      </c>
      <c r="K724">
        <v>6</v>
      </c>
      <c r="L724">
        <v>25500</v>
      </c>
      <c r="M724">
        <v>25</v>
      </c>
      <c r="N724">
        <v>114750</v>
      </c>
      <c r="O724" t="s">
        <v>40</v>
      </c>
      <c r="Q724" t="s">
        <v>65</v>
      </c>
    </row>
    <row r="725" spans="1:17" x14ac:dyDescent="0.3">
      <c r="A725" t="s">
        <v>1430</v>
      </c>
      <c r="B725" t="s">
        <v>1431</v>
      </c>
      <c r="C725" t="s">
        <v>68</v>
      </c>
      <c r="E725">
        <v>19</v>
      </c>
      <c r="F725" t="s">
        <v>277</v>
      </c>
      <c r="G725" t="s">
        <v>100</v>
      </c>
      <c r="H725" t="s">
        <v>46</v>
      </c>
      <c r="I725" t="s">
        <v>79</v>
      </c>
      <c r="J725" t="s">
        <v>80</v>
      </c>
      <c r="K725">
        <v>4</v>
      </c>
      <c r="L725">
        <v>3200</v>
      </c>
      <c r="M725">
        <v>20</v>
      </c>
      <c r="N725">
        <v>10240</v>
      </c>
      <c r="O725" t="s">
        <v>48</v>
      </c>
      <c r="Q725" t="s">
        <v>74</v>
      </c>
    </row>
    <row r="726" spans="1:17" x14ac:dyDescent="0.3">
      <c r="A726" t="s">
        <v>1432</v>
      </c>
      <c r="B726" t="s">
        <v>76</v>
      </c>
      <c r="C726" t="s">
        <v>121</v>
      </c>
      <c r="D726" t="s">
        <v>83</v>
      </c>
      <c r="E726">
        <v>35</v>
      </c>
      <c r="F726" t="s">
        <v>21</v>
      </c>
      <c r="G726" t="s">
        <v>21</v>
      </c>
      <c r="H726" t="s">
        <v>62</v>
      </c>
      <c r="I726" t="s">
        <v>63</v>
      </c>
      <c r="J726" t="s">
        <v>64</v>
      </c>
      <c r="K726">
        <v>9</v>
      </c>
      <c r="L726">
        <v>32200</v>
      </c>
      <c r="M726">
        <v>10</v>
      </c>
      <c r="N726">
        <v>260820</v>
      </c>
      <c r="O726" t="s">
        <v>85</v>
      </c>
      <c r="Q726" t="s">
        <v>26</v>
      </c>
    </row>
    <row r="727" spans="1:17" x14ac:dyDescent="0.3">
      <c r="A727" t="s">
        <v>1433</v>
      </c>
      <c r="B727" t="s">
        <v>920</v>
      </c>
      <c r="C727" t="s">
        <v>60</v>
      </c>
      <c r="D727" t="s">
        <v>20</v>
      </c>
      <c r="E727">
        <v>36</v>
      </c>
      <c r="F727" t="s">
        <v>30</v>
      </c>
      <c r="G727" t="s">
        <v>57</v>
      </c>
      <c r="H727" t="s">
        <v>116</v>
      </c>
      <c r="I727" t="s">
        <v>23</v>
      </c>
      <c r="J727" t="s">
        <v>64</v>
      </c>
      <c r="K727">
        <v>4</v>
      </c>
      <c r="L727">
        <v>27300</v>
      </c>
      <c r="M727">
        <v>15</v>
      </c>
      <c r="N727">
        <v>92820</v>
      </c>
      <c r="O727" t="s">
        <v>85</v>
      </c>
      <c r="P727">
        <v>5</v>
      </c>
      <c r="Q727" t="s">
        <v>65</v>
      </c>
    </row>
    <row r="728" spans="1:17" x14ac:dyDescent="0.3">
      <c r="A728" t="s">
        <v>1434</v>
      </c>
      <c r="B728" t="s">
        <v>1435</v>
      </c>
      <c r="C728" t="s">
        <v>121</v>
      </c>
      <c r="D728" t="s">
        <v>103</v>
      </c>
      <c r="E728">
        <v>49</v>
      </c>
      <c r="F728" t="s">
        <v>30</v>
      </c>
      <c r="G728" t="s">
        <v>31</v>
      </c>
      <c r="H728" t="s">
        <v>46</v>
      </c>
      <c r="I728" t="s">
        <v>47</v>
      </c>
      <c r="J728" t="s">
        <v>64</v>
      </c>
      <c r="K728">
        <v>4</v>
      </c>
      <c r="L728">
        <v>6600</v>
      </c>
      <c r="M728">
        <v>25</v>
      </c>
      <c r="N728">
        <v>19800</v>
      </c>
      <c r="O728" t="s">
        <v>48</v>
      </c>
      <c r="Q728" t="s">
        <v>74</v>
      </c>
    </row>
    <row r="729" spans="1:17" x14ac:dyDescent="0.3">
      <c r="A729" t="s">
        <v>1436</v>
      </c>
      <c r="B729" t="s">
        <v>1437</v>
      </c>
      <c r="C729" t="s">
        <v>19</v>
      </c>
      <c r="D729" t="s">
        <v>20</v>
      </c>
      <c r="E729">
        <v>61</v>
      </c>
      <c r="F729" t="s">
        <v>21</v>
      </c>
      <c r="G729" t="s">
        <v>21</v>
      </c>
      <c r="H729" t="s">
        <v>46</v>
      </c>
      <c r="I729" t="s">
        <v>47</v>
      </c>
      <c r="J729" t="s">
        <v>34</v>
      </c>
      <c r="K729">
        <v>7</v>
      </c>
      <c r="L729">
        <v>32200</v>
      </c>
      <c r="M729">
        <v>20</v>
      </c>
      <c r="N729">
        <v>180320</v>
      </c>
      <c r="O729" t="s">
        <v>25</v>
      </c>
      <c r="P729">
        <v>2</v>
      </c>
      <c r="Q729" t="s">
        <v>26</v>
      </c>
    </row>
    <row r="730" spans="1:17" x14ac:dyDescent="0.3">
      <c r="A730" t="s">
        <v>1438</v>
      </c>
      <c r="B730" t="s">
        <v>1439</v>
      </c>
      <c r="C730" t="s">
        <v>38</v>
      </c>
      <c r="D730" t="s">
        <v>83</v>
      </c>
      <c r="E730">
        <v>22</v>
      </c>
      <c r="F730" t="s">
        <v>30</v>
      </c>
      <c r="G730" t="s">
        <v>57</v>
      </c>
      <c r="H730" t="s">
        <v>46</v>
      </c>
      <c r="I730" t="s">
        <v>79</v>
      </c>
      <c r="J730" t="s">
        <v>80</v>
      </c>
      <c r="K730">
        <v>5</v>
      </c>
      <c r="L730">
        <v>7300</v>
      </c>
      <c r="M730">
        <v>25</v>
      </c>
      <c r="N730">
        <v>27375</v>
      </c>
      <c r="O730" t="s">
        <v>85</v>
      </c>
      <c r="Q730" t="s">
        <v>65</v>
      </c>
    </row>
    <row r="731" spans="1:17" x14ac:dyDescent="0.3">
      <c r="A731" t="s">
        <v>1440</v>
      </c>
      <c r="B731" t="s">
        <v>1441</v>
      </c>
      <c r="C731" t="s">
        <v>29</v>
      </c>
      <c r="E731">
        <v>44</v>
      </c>
      <c r="F731" t="s">
        <v>51</v>
      </c>
      <c r="G731" t="s">
        <v>104</v>
      </c>
      <c r="H731" t="s">
        <v>46</v>
      </c>
      <c r="I731" t="s">
        <v>79</v>
      </c>
      <c r="J731" t="s">
        <v>24</v>
      </c>
      <c r="K731">
        <v>7</v>
      </c>
      <c r="L731">
        <v>5100</v>
      </c>
      <c r="M731">
        <v>0</v>
      </c>
      <c r="N731">
        <v>35700</v>
      </c>
      <c r="O731" t="s">
        <v>35</v>
      </c>
      <c r="P731">
        <v>3</v>
      </c>
      <c r="Q731" t="s">
        <v>41</v>
      </c>
    </row>
    <row r="732" spans="1:17" x14ac:dyDescent="0.3">
      <c r="A732" t="s">
        <v>1442</v>
      </c>
      <c r="B732" t="s">
        <v>1048</v>
      </c>
      <c r="C732" t="s">
        <v>68</v>
      </c>
      <c r="D732" t="s">
        <v>103</v>
      </c>
      <c r="E732">
        <v>22</v>
      </c>
      <c r="F732" t="s">
        <v>61</v>
      </c>
      <c r="G732" t="s">
        <v>61</v>
      </c>
      <c r="H732" t="s">
        <v>32</v>
      </c>
      <c r="I732" t="s">
        <v>53</v>
      </c>
      <c r="J732" t="s">
        <v>89</v>
      </c>
      <c r="K732">
        <v>2</v>
      </c>
      <c r="L732">
        <v>9800</v>
      </c>
      <c r="M732">
        <v>10</v>
      </c>
      <c r="N732">
        <v>17640</v>
      </c>
      <c r="O732" t="s">
        <v>48</v>
      </c>
      <c r="Q732" t="s">
        <v>26</v>
      </c>
    </row>
    <row r="733" spans="1:17" x14ac:dyDescent="0.3">
      <c r="A733" t="s">
        <v>1443</v>
      </c>
      <c r="B733" t="s">
        <v>1444</v>
      </c>
      <c r="C733" t="s">
        <v>121</v>
      </c>
      <c r="D733" t="s">
        <v>20</v>
      </c>
      <c r="E733">
        <v>23</v>
      </c>
      <c r="F733" t="s">
        <v>77</v>
      </c>
      <c r="G733" t="s">
        <v>95</v>
      </c>
      <c r="H733" t="s">
        <v>22</v>
      </c>
      <c r="I733" t="s">
        <v>23</v>
      </c>
      <c r="J733" t="s">
        <v>34</v>
      </c>
      <c r="K733">
        <v>5</v>
      </c>
      <c r="L733">
        <v>34400</v>
      </c>
      <c r="M733">
        <v>25</v>
      </c>
      <c r="N733">
        <v>129000</v>
      </c>
      <c r="O733" t="s">
        <v>40</v>
      </c>
      <c r="P733">
        <v>3</v>
      </c>
      <c r="Q733" t="s">
        <v>74</v>
      </c>
    </row>
    <row r="734" spans="1:17" x14ac:dyDescent="0.3">
      <c r="A734" t="s">
        <v>1445</v>
      </c>
      <c r="B734" t="s">
        <v>1022</v>
      </c>
      <c r="C734" t="s">
        <v>68</v>
      </c>
      <c r="E734">
        <v>39</v>
      </c>
      <c r="F734" t="s">
        <v>51</v>
      </c>
      <c r="G734" t="s">
        <v>52</v>
      </c>
      <c r="H734" t="s">
        <v>22</v>
      </c>
      <c r="I734" t="s">
        <v>23</v>
      </c>
      <c r="J734" t="s">
        <v>34</v>
      </c>
      <c r="K734">
        <v>1</v>
      </c>
      <c r="L734">
        <v>30500</v>
      </c>
      <c r="M734">
        <v>20</v>
      </c>
      <c r="N734">
        <v>24400</v>
      </c>
      <c r="O734" t="s">
        <v>40</v>
      </c>
      <c r="P734">
        <v>1</v>
      </c>
      <c r="Q734" t="s">
        <v>65</v>
      </c>
    </row>
    <row r="735" spans="1:17" x14ac:dyDescent="0.3">
      <c r="A735" t="s">
        <v>1446</v>
      </c>
      <c r="B735" t="s">
        <v>264</v>
      </c>
      <c r="C735" t="s">
        <v>68</v>
      </c>
      <c r="D735" t="s">
        <v>83</v>
      </c>
      <c r="E735">
        <v>37</v>
      </c>
      <c r="F735" t="s">
        <v>1046</v>
      </c>
      <c r="G735" t="s">
        <v>21</v>
      </c>
      <c r="H735" t="s">
        <v>62</v>
      </c>
      <c r="I735" t="s">
        <v>63</v>
      </c>
      <c r="J735" t="s">
        <v>34</v>
      </c>
      <c r="K735">
        <v>5</v>
      </c>
      <c r="L735">
        <v>6400</v>
      </c>
      <c r="M735">
        <v>20</v>
      </c>
      <c r="N735">
        <v>25600</v>
      </c>
      <c r="O735" t="s">
        <v>40</v>
      </c>
      <c r="P735">
        <v>2</v>
      </c>
      <c r="Q735" t="s">
        <v>74</v>
      </c>
    </row>
    <row r="736" spans="1:17" x14ac:dyDescent="0.3">
      <c r="A736" t="s">
        <v>1447</v>
      </c>
      <c r="B736" t="s">
        <v>1448</v>
      </c>
      <c r="C736" t="s">
        <v>88</v>
      </c>
      <c r="D736" t="s">
        <v>83</v>
      </c>
      <c r="E736">
        <v>48</v>
      </c>
      <c r="F736" t="s">
        <v>44</v>
      </c>
      <c r="G736" t="s">
        <v>100</v>
      </c>
      <c r="H736" t="s">
        <v>46</v>
      </c>
      <c r="I736" t="s">
        <v>47</v>
      </c>
      <c r="J736" t="s">
        <v>34</v>
      </c>
      <c r="K736">
        <v>3</v>
      </c>
      <c r="L736">
        <v>7400</v>
      </c>
      <c r="M736">
        <v>10</v>
      </c>
      <c r="N736">
        <v>19980</v>
      </c>
      <c r="O736" t="s">
        <v>85</v>
      </c>
      <c r="P736">
        <v>4</v>
      </c>
      <c r="Q736" t="s">
        <v>65</v>
      </c>
    </row>
    <row r="737" spans="1:17" x14ac:dyDescent="0.3">
      <c r="A737" t="s">
        <v>1449</v>
      </c>
      <c r="B737" t="s">
        <v>1450</v>
      </c>
      <c r="C737" t="s">
        <v>60</v>
      </c>
      <c r="D737" t="s">
        <v>103</v>
      </c>
      <c r="E737">
        <v>63</v>
      </c>
      <c r="F737" t="s">
        <v>61</v>
      </c>
      <c r="G737" t="s">
        <v>61</v>
      </c>
      <c r="H737" t="s">
        <v>22</v>
      </c>
      <c r="I737" t="s">
        <v>23</v>
      </c>
      <c r="J737" t="s">
        <v>72</v>
      </c>
      <c r="K737">
        <v>1</v>
      </c>
      <c r="L737">
        <v>6100</v>
      </c>
      <c r="M737">
        <v>0</v>
      </c>
      <c r="N737">
        <v>6100</v>
      </c>
      <c r="O737" t="s">
        <v>105</v>
      </c>
      <c r="P737">
        <v>3</v>
      </c>
      <c r="Q737" t="s">
        <v>65</v>
      </c>
    </row>
    <row r="738" spans="1:17" x14ac:dyDescent="0.3">
      <c r="A738" t="s">
        <v>1451</v>
      </c>
      <c r="B738" t="s">
        <v>1452</v>
      </c>
      <c r="C738" t="s">
        <v>29</v>
      </c>
      <c r="D738" t="s">
        <v>83</v>
      </c>
      <c r="E738">
        <v>64</v>
      </c>
      <c r="F738" t="s">
        <v>220</v>
      </c>
      <c r="G738" t="s">
        <v>21</v>
      </c>
      <c r="H738" t="s">
        <v>46</v>
      </c>
      <c r="I738" t="s">
        <v>79</v>
      </c>
      <c r="J738" t="s">
        <v>64</v>
      </c>
      <c r="K738">
        <v>9</v>
      </c>
      <c r="L738">
        <v>18200</v>
      </c>
      <c r="M738">
        <v>20</v>
      </c>
      <c r="N738">
        <v>131040</v>
      </c>
      <c r="O738" t="s">
        <v>40</v>
      </c>
      <c r="P738">
        <v>3</v>
      </c>
      <c r="Q738" t="s">
        <v>41</v>
      </c>
    </row>
    <row r="739" spans="1:17" x14ac:dyDescent="0.3">
      <c r="A739" t="s">
        <v>1453</v>
      </c>
      <c r="B739" t="s">
        <v>429</v>
      </c>
      <c r="C739" t="s">
        <v>29</v>
      </c>
      <c r="E739">
        <v>56</v>
      </c>
      <c r="F739" t="s">
        <v>21</v>
      </c>
      <c r="G739" t="s">
        <v>21</v>
      </c>
      <c r="H739" t="s">
        <v>62</v>
      </c>
      <c r="I739" t="s">
        <v>140</v>
      </c>
      <c r="J739" t="s">
        <v>24</v>
      </c>
      <c r="K739">
        <v>9</v>
      </c>
      <c r="L739">
        <v>49700</v>
      </c>
      <c r="M739">
        <v>0</v>
      </c>
      <c r="N739">
        <v>447300</v>
      </c>
      <c r="O739" t="s">
        <v>25</v>
      </c>
      <c r="P739">
        <v>2</v>
      </c>
      <c r="Q739" t="s">
        <v>65</v>
      </c>
    </row>
    <row r="740" spans="1:17" x14ac:dyDescent="0.3">
      <c r="A740" t="s">
        <v>1454</v>
      </c>
      <c r="B740" t="s">
        <v>1455</v>
      </c>
      <c r="C740" t="s">
        <v>94</v>
      </c>
      <c r="D740" t="s">
        <v>20</v>
      </c>
      <c r="E740">
        <v>19</v>
      </c>
      <c r="F740" t="s">
        <v>21</v>
      </c>
      <c r="G740" t="s">
        <v>21</v>
      </c>
      <c r="H740" t="s">
        <v>46</v>
      </c>
      <c r="I740" t="s">
        <v>47</v>
      </c>
      <c r="J740" t="s">
        <v>80</v>
      </c>
      <c r="K740">
        <v>9</v>
      </c>
      <c r="L740">
        <v>23100</v>
      </c>
      <c r="M740">
        <v>5</v>
      </c>
      <c r="N740">
        <v>197505</v>
      </c>
      <c r="O740" t="s">
        <v>35</v>
      </c>
      <c r="P740">
        <v>2</v>
      </c>
      <c r="Q740" t="s">
        <v>41</v>
      </c>
    </row>
    <row r="741" spans="1:17" x14ac:dyDescent="0.3">
      <c r="A741" t="s">
        <v>1456</v>
      </c>
      <c r="B741" t="s">
        <v>403</v>
      </c>
      <c r="C741" t="s">
        <v>60</v>
      </c>
      <c r="D741" t="s">
        <v>39</v>
      </c>
      <c r="E741">
        <v>40</v>
      </c>
      <c r="F741" t="s">
        <v>44</v>
      </c>
      <c r="G741" t="s">
        <v>45</v>
      </c>
      <c r="H741" t="s">
        <v>62</v>
      </c>
      <c r="I741" t="s">
        <v>140</v>
      </c>
      <c r="J741" t="s">
        <v>64</v>
      </c>
      <c r="K741">
        <v>10</v>
      </c>
      <c r="L741">
        <v>49600</v>
      </c>
      <c r="M741">
        <v>20</v>
      </c>
      <c r="N741">
        <v>396800</v>
      </c>
      <c r="O741" t="s">
        <v>73</v>
      </c>
      <c r="P741">
        <v>4</v>
      </c>
      <c r="Q741" t="s">
        <v>65</v>
      </c>
    </row>
    <row r="742" spans="1:17" x14ac:dyDescent="0.3">
      <c r="A742" t="s">
        <v>1457</v>
      </c>
      <c r="B742" t="s">
        <v>1458</v>
      </c>
      <c r="C742" t="s">
        <v>60</v>
      </c>
      <c r="D742" t="s">
        <v>103</v>
      </c>
      <c r="E742">
        <v>39</v>
      </c>
      <c r="F742" t="s">
        <v>30</v>
      </c>
      <c r="G742" t="s">
        <v>31</v>
      </c>
      <c r="H742" t="s">
        <v>32</v>
      </c>
      <c r="I742" t="s">
        <v>33</v>
      </c>
      <c r="J742" t="s">
        <v>64</v>
      </c>
      <c r="K742">
        <v>10</v>
      </c>
      <c r="L742">
        <v>29600</v>
      </c>
      <c r="M742">
        <v>0</v>
      </c>
      <c r="N742">
        <v>296000</v>
      </c>
      <c r="O742" t="s">
        <v>25</v>
      </c>
      <c r="P742">
        <v>3</v>
      </c>
      <c r="Q742" t="s">
        <v>41</v>
      </c>
    </row>
    <row r="743" spans="1:17" x14ac:dyDescent="0.3">
      <c r="A743" t="s">
        <v>1459</v>
      </c>
      <c r="B743" t="s">
        <v>1460</v>
      </c>
      <c r="C743" t="s">
        <v>19</v>
      </c>
      <c r="D743" t="s">
        <v>83</v>
      </c>
      <c r="E743">
        <v>18</v>
      </c>
      <c r="F743" t="s">
        <v>30</v>
      </c>
      <c r="G743" t="s">
        <v>57</v>
      </c>
      <c r="H743" t="s">
        <v>62</v>
      </c>
      <c r="I743" t="s">
        <v>140</v>
      </c>
      <c r="J743" t="s">
        <v>24</v>
      </c>
      <c r="K743">
        <v>5</v>
      </c>
      <c r="L743">
        <v>20300</v>
      </c>
      <c r="M743">
        <v>15</v>
      </c>
      <c r="N743">
        <v>86275</v>
      </c>
      <c r="O743" t="s">
        <v>85</v>
      </c>
      <c r="P743">
        <v>4</v>
      </c>
      <c r="Q743" t="s">
        <v>65</v>
      </c>
    </row>
    <row r="744" spans="1:17" x14ac:dyDescent="0.3">
      <c r="A744" t="s">
        <v>1461</v>
      </c>
      <c r="B744" t="s">
        <v>1462</v>
      </c>
      <c r="C744" t="s">
        <v>38</v>
      </c>
      <c r="D744" t="s">
        <v>20</v>
      </c>
      <c r="E744">
        <v>28</v>
      </c>
      <c r="F744" t="s">
        <v>51</v>
      </c>
      <c r="G744" t="s">
        <v>52</v>
      </c>
      <c r="H744" t="s">
        <v>32</v>
      </c>
      <c r="I744" t="s">
        <v>33</v>
      </c>
      <c r="J744" t="s">
        <v>89</v>
      </c>
      <c r="K744">
        <v>10</v>
      </c>
      <c r="L744">
        <v>15300</v>
      </c>
      <c r="M744">
        <v>10</v>
      </c>
      <c r="N744">
        <v>137700</v>
      </c>
      <c r="O744" t="s">
        <v>48</v>
      </c>
      <c r="P744">
        <v>1</v>
      </c>
      <c r="Q744" t="s">
        <v>65</v>
      </c>
    </row>
    <row r="745" spans="1:17" x14ac:dyDescent="0.3">
      <c r="A745" t="s">
        <v>1463</v>
      </c>
      <c r="B745" t="s">
        <v>1464</v>
      </c>
      <c r="C745" t="s">
        <v>38</v>
      </c>
      <c r="D745" t="s">
        <v>39</v>
      </c>
      <c r="E745">
        <v>21</v>
      </c>
      <c r="F745" t="s">
        <v>77</v>
      </c>
      <c r="G745" t="s">
        <v>95</v>
      </c>
      <c r="H745" t="s">
        <v>32</v>
      </c>
      <c r="I745" t="s">
        <v>53</v>
      </c>
      <c r="J745" t="s">
        <v>89</v>
      </c>
      <c r="K745">
        <v>8</v>
      </c>
      <c r="L745">
        <v>49900</v>
      </c>
      <c r="M745">
        <v>5</v>
      </c>
      <c r="N745">
        <v>379240</v>
      </c>
      <c r="O745" t="s">
        <v>25</v>
      </c>
      <c r="P745">
        <v>3</v>
      </c>
      <c r="Q745" t="s">
        <v>74</v>
      </c>
    </row>
    <row r="746" spans="1:17" x14ac:dyDescent="0.3">
      <c r="A746" t="s">
        <v>1465</v>
      </c>
      <c r="B746" t="s">
        <v>1466</v>
      </c>
      <c r="C746" t="s">
        <v>68</v>
      </c>
      <c r="E746">
        <v>20</v>
      </c>
      <c r="F746" t="s">
        <v>61</v>
      </c>
      <c r="G746" t="s">
        <v>61</v>
      </c>
      <c r="H746" t="s">
        <v>46</v>
      </c>
      <c r="I746" t="s">
        <v>47</v>
      </c>
      <c r="J746" t="s">
        <v>24</v>
      </c>
      <c r="K746">
        <v>5</v>
      </c>
      <c r="L746">
        <v>2000</v>
      </c>
      <c r="M746">
        <v>10</v>
      </c>
      <c r="N746">
        <v>9000</v>
      </c>
      <c r="O746" t="s">
        <v>73</v>
      </c>
      <c r="P746">
        <v>4</v>
      </c>
      <c r="Q746" t="s">
        <v>26</v>
      </c>
    </row>
    <row r="747" spans="1:17" x14ac:dyDescent="0.3">
      <c r="A747" t="s">
        <v>1467</v>
      </c>
      <c r="B747" t="s">
        <v>1468</v>
      </c>
      <c r="C747" t="s">
        <v>121</v>
      </c>
      <c r="E747">
        <v>42</v>
      </c>
      <c r="F747" t="s">
        <v>51</v>
      </c>
      <c r="G747" t="s">
        <v>52</v>
      </c>
      <c r="H747" t="s">
        <v>46</v>
      </c>
      <c r="I747" t="s">
        <v>47</v>
      </c>
      <c r="J747" t="s">
        <v>72</v>
      </c>
      <c r="K747">
        <v>7</v>
      </c>
      <c r="L747">
        <v>39400</v>
      </c>
      <c r="M747">
        <v>10</v>
      </c>
      <c r="N747">
        <v>248220</v>
      </c>
      <c r="O747" t="s">
        <v>35</v>
      </c>
      <c r="Q747" t="s">
        <v>26</v>
      </c>
    </row>
    <row r="748" spans="1:17" x14ac:dyDescent="0.3">
      <c r="A748" t="s">
        <v>1469</v>
      </c>
      <c r="B748" t="s">
        <v>1470</v>
      </c>
      <c r="C748" t="s">
        <v>68</v>
      </c>
      <c r="D748" t="s">
        <v>20</v>
      </c>
      <c r="E748">
        <v>19</v>
      </c>
      <c r="F748" t="s">
        <v>44</v>
      </c>
      <c r="G748" t="s">
        <v>45</v>
      </c>
      <c r="H748" t="s">
        <v>22</v>
      </c>
      <c r="I748" t="s">
        <v>23</v>
      </c>
      <c r="J748" t="s">
        <v>89</v>
      </c>
      <c r="K748">
        <v>4</v>
      </c>
      <c r="L748">
        <v>24300</v>
      </c>
      <c r="M748">
        <v>0</v>
      </c>
      <c r="N748">
        <v>97200</v>
      </c>
      <c r="O748" t="s">
        <v>85</v>
      </c>
      <c r="P748">
        <v>3</v>
      </c>
      <c r="Q748" t="s">
        <v>65</v>
      </c>
    </row>
    <row r="749" spans="1:17" x14ac:dyDescent="0.3">
      <c r="A749" t="s">
        <v>1471</v>
      </c>
      <c r="B749" t="s">
        <v>718</v>
      </c>
      <c r="C749" t="s">
        <v>88</v>
      </c>
      <c r="E749">
        <v>59</v>
      </c>
      <c r="F749" t="s">
        <v>44</v>
      </c>
      <c r="G749" t="s">
        <v>45</v>
      </c>
      <c r="H749" t="s">
        <v>32</v>
      </c>
      <c r="I749" t="s">
        <v>53</v>
      </c>
      <c r="J749" t="s">
        <v>34</v>
      </c>
      <c r="K749">
        <v>10</v>
      </c>
      <c r="L749">
        <v>22600</v>
      </c>
      <c r="M749">
        <v>0</v>
      </c>
      <c r="N749">
        <v>226000</v>
      </c>
      <c r="O749" t="s">
        <v>48</v>
      </c>
      <c r="Q749" t="s">
        <v>41</v>
      </c>
    </row>
    <row r="750" spans="1:17" x14ac:dyDescent="0.3">
      <c r="A750" t="s">
        <v>1472</v>
      </c>
      <c r="B750" t="s">
        <v>1473</v>
      </c>
      <c r="C750" t="s">
        <v>68</v>
      </c>
      <c r="D750" t="s">
        <v>83</v>
      </c>
      <c r="E750">
        <v>43</v>
      </c>
      <c r="F750" t="s">
        <v>77</v>
      </c>
      <c r="G750" t="s">
        <v>95</v>
      </c>
      <c r="H750" t="s">
        <v>46</v>
      </c>
      <c r="I750" t="s">
        <v>79</v>
      </c>
      <c r="J750" t="s">
        <v>34</v>
      </c>
      <c r="K750">
        <v>3</v>
      </c>
      <c r="L750">
        <v>46900</v>
      </c>
      <c r="M750">
        <v>0</v>
      </c>
      <c r="N750">
        <v>140700</v>
      </c>
      <c r="O750" t="s">
        <v>105</v>
      </c>
      <c r="P750">
        <v>2</v>
      </c>
      <c r="Q750" t="s">
        <v>41</v>
      </c>
    </row>
    <row r="751" spans="1:17" x14ac:dyDescent="0.3">
      <c r="A751" t="s">
        <v>1474</v>
      </c>
      <c r="B751" t="s">
        <v>1475</v>
      </c>
      <c r="C751" t="s">
        <v>121</v>
      </c>
      <c r="E751">
        <v>65</v>
      </c>
      <c r="F751" t="s">
        <v>61</v>
      </c>
      <c r="G751" t="s">
        <v>61</v>
      </c>
      <c r="H751" t="s">
        <v>46</v>
      </c>
      <c r="I751" t="s">
        <v>79</v>
      </c>
      <c r="J751" t="s">
        <v>34</v>
      </c>
      <c r="K751">
        <v>4</v>
      </c>
      <c r="L751">
        <v>9900</v>
      </c>
      <c r="M751">
        <v>15</v>
      </c>
      <c r="N751">
        <v>33660</v>
      </c>
      <c r="O751" t="s">
        <v>48</v>
      </c>
      <c r="P751">
        <v>1</v>
      </c>
      <c r="Q751" t="s">
        <v>26</v>
      </c>
    </row>
    <row r="752" spans="1:17" x14ac:dyDescent="0.3">
      <c r="A752" t="s">
        <v>1476</v>
      </c>
      <c r="B752" t="s">
        <v>1477</v>
      </c>
      <c r="C752" t="s">
        <v>113</v>
      </c>
      <c r="D752" t="s">
        <v>39</v>
      </c>
      <c r="E752">
        <v>61</v>
      </c>
      <c r="F752" t="s">
        <v>77</v>
      </c>
      <c r="G752" t="s">
        <v>95</v>
      </c>
      <c r="H752" t="s">
        <v>46</v>
      </c>
      <c r="I752" t="s">
        <v>79</v>
      </c>
      <c r="J752" t="s">
        <v>64</v>
      </c>
      <c r="K752">
        <v>6</v>
      </c>
      <c r="L752">
        <v>43400</v>
      </c>
      <c r="M752">
        <v>10</v>
      </c>
      <c r="N752">
        <v>234360</v>
      </c>
      <c r="O752" t="s">
        <v>48</v>
      </c>
      <c r="P752">
        <v>4</v>
      </c>
      <c r="Q752" t="s">
        <v>26</v>
      </c>
    </row>
    <row r="753" spans="1:17" x14ac:dyDescent="0.3">
      <c r="A753" t="s">
        <v>1478</v>
      </c>
      <c r="B753" t="s">
        <v>1479</v>
      </c>
      <c r="C753" t="s">
        <v>38</v>
      </c>
      <c r="E753">
        <v>47</v>
      </c>
      <c r="F753" t="s">
        <v>21</v>
      </c>
      <c r="G753" t="s">
        <v>21</v>
      </c>
      <c r="H753" t="s">
        <v>116</v>
      </c>
      <c r="I753" t="s">
        <v>23</v>
      </c>
      <c r="J753" t="s">
        <v>72</v>
      </c>
      <c r="K753">
        <v>8</v>
      </c>
      <c r="L753">
        <v>9900</v>
      </c>
      <c r="M753">
        <v>15</v>
      </c>
      <c r="N753">
        <v>67320</v>
      </c>
      <c r="O753" t="s">
        <v>73</v>
      </c>
      <c r="P753">
        <v>1</v>
      </c>
      <c r="Q753" t="s">
        <v>74</v>
      </c>
    </row>
    <row r="754" spans="1:17" x14ac:dyDescent="0.3">
      <c r="A754" t="s">
        <v>1480</v>
      </c>
      <c r="B754" t="s">
        <v>1481</v>
      </c>
      <c r="C754" t="s">
        <v>113</v>
      </c>
      <c r="E754">
        <v>39</v>
      </c>
      <c r="F754" t="s">
        <v>44</v>
      </c>
      <c r="G754" t="s">
        <v>100</v>
      </c>
      <c r="H754" t="s">
        <v>22</v>
      </c>
      <c r="I754" t="s">
        <v>23</v>
      </c>
      <c r="J754" t="s">
        <v>64</v>
      </c>
      <c r="K754">
        <v>1</v>
      </c>
      <c r="L754">
        <v>4600</v>
      </c>
      <c r="M754">
        <v>15</v>
      </c>
      <c r="N754">
        <v>3910</v>
      </c>
      <c r="O754" t="s">
        <v>48</v>
      </c>
      <c r="P754">
        <v>2</v>
      </c>
      <c r="Q754" t="s">
        <v>26</v>
      </c>
    </row>
    <row r="755" spans="1:17" x14ac:dyDescent="0.3">
      <c r="A755" t="s">
        <v>1482</v>
      </c>
      <c r="B755" t="s">
        <v>1483</v>
      </c>
      <c r="C755" t="s">
        <v>29</v>
      </c>
      <c r="D755" t="s">
        <v>103</v>
      </c>
      <c r="E755">
        <v>25</v>
      </c>
      <c r="F755" t="s">
        <v>30</v>
      </c>
      <c r="G755" t="s">
        <v>57</v>
      </c>
      <c r="H755" t="s">
        <v>22</v>
      </c>
      <c r="I755" t="s">
        <v>23</v>
      </c>
      <c r="J755" t="s">
        <v>34</v>
      </c>
      <c r="K755">
        <v>10</v>
      </c>
      <c r="L755">
        <v>42700</v>
      </c>
      <c r="M755">
        <v>20</v>
      </c>
      <c r="N755">
        <v>341600</v>
      </c>
      <c r="O755" t="s">
        <v>25</v>
      </c>
      <c r="Q755" t="s">
        <v>65</v>
      </c>
    </row>
    <row r="756" spans="1:17" x14ac:dyDescent="0.3">
      <c r="A756" t="s">
        <v>1484</v>
      </c>
      <c r="B756" t="s">
        <v>1485</v>
      </c>
      <c r="C756" t="s">
        <v>94</v>
      </c>
      <c r="E756">
        <v>39</v>
      </c>
      <c r="F756" t="s">
        <v>21</v>
      </c>
      <c r="G756" t="s">
        <v>21</v>
      </c>
      <c r="H756" t="s">
        <v>32</v>
      </c>
      <c r="I756" t="s">
        <v>53</v>
      </c>
      <c r="J756" t="s">
        <v>64</v>
      </c>
      <c r="K756">
        <v>4</v>
      </c>
      <c r="L756">
        <v>37500</v>
      </c>
      <c r="M756">
        <v>25</v>
      </c>
      <c r="N756">
        <v>112500</v>
      </c>
      <c r="O756" t="s">
        <v>35</v>
      </c>
      <c r="P756">
        <v>5</v>
      </c>
      <c r="Q756" t="s">
        <v>41</v>
      </c>
    </row>
    <row r="757" spans="1:17" x14ac:dyDescent="0.3">
      <c r="A757" t="s">
        <v>1486</v>
      </c>
      <c r="B757" t="s">
        <v>1487</v>
      </c>
      <c r="C757" t="s">
        <v>88</v>
      </c>
      <c r="E757">
        <v>48</v>
      </c>
      <c r="F757" t="s">
        <v>51</v>
      </c>
      <c r="G757" t="s">
        <v>104</v>
      </c>
      <c r="H757" t="s">
        <v>62</v>
      </c>
      <c r="I757" t="s">
        <v>140</v>
      </c>
      <c r="J757" t="s">
        <v>24</v>
      </c>
      <c r="K757">
        <v>7</v>
      </c>
      <c r="L757">
        <v>39500</v>
      </c>
      <c r="M757">
        <v>0</v>
      </c>
      <c r="N757">
        <v>276500</v>
      </c>
      <c r="O757" t="s">
        <v>85</v>
      </c>
      <c r="Q757" t="s">
        <v>41</v>
      </c>
    </row>
    <row r="758" spans="1:17" x14ac:dyDescent="0.3">
      <c r="A758" t="s">
        <v>1488</v>
      </c>
      <c r="B758" t="s">
        <v>490</v>
      </c>
      <c r="C758" t="s">
        <v>38</v>
      </c>
      <c r="D758" t="s">
        <v>83</v>
      </c>
      <c r="E758">
        <v>43</v>
      </c>
      <c r="F758" t="s">
        <v>51</v>
      </c>
      <c r="G758" t="s">
        <v>104</v>
      </c>
      <c r="H758" t="s">
        <v>32</v>
      </c>
      <c r="I758" t="s">
        <v>33</v>
      </c>
      <c r="J758" t="s">
        <v>34</v>
      </c>
      <c r="K758">
        <v>4</v>
      </c>
      <c r="L758">
        <v>36400</v>
      </c>
      <c r="M758">
        <v>15</v>
      </c>
      <c r="N758">
        <v>123760</v>
      </c>
      <c r="O758" t="s">
        <v>73</v>
      </c>
      <c r="P758">
        <v>5</v>
      </c>
      <c r="Q758" t="s">
        <v>26</v>
      </c>
    </row>
    <row r="759" spans="1:17" x14ac:dyDescent="0.3">
      <c r="A759" t="s">
        <v>1489</v>
      </c>
      <c r="B759" t="s">
        <v>1248</v>
      </c>
      <c r="C759" t="s">
        <v>29</v>
      </c>
      <c r="D759" t="s">
        <v>83</v>
      </c>
      <c r="E759">
        <v>42</v>
      </c>
      <c r="F759" t="s">
        <v>44</v>
      </c>
      <c r="G759" t="s">
        <v>100</v>
      </c>
      <c r="H759" t="s">
        <v>22</v>
      </c>
      <c r="I759" t="s">
        <v>23</v>
      </c>
      <c r="J759" t="s">
        <v>64</v>
      </c>
      <c r="K759">
        <v>4</v>
      </c>
      <c r="L759">
        <v>47200</v>
      </c>
      <c r="M759">
        <v>5</v>
      </c>
      <c r="N759">
        <v>179360</v>
      </c>
      <c r="O759" t="s">
        <v>35</v>
      </c>
      <c r="P759">
        <v>1</v>
      </c>
      <c r="Q759" t="s">
        <v>74</v>
      </c>
    </row>
    <row r="760" spans="1:17" x14ac:dyDescent="0.3">
      <c r="A760" t="s">
        <v>1490</v>
      </c>
      <c r="B760" t="s">
        <v>1491</v>
      </c>
      <c r="C760" t="s">
        <v>94</v>
      </c>
      <c r="D760" t="s">
        <v>103</v>
      </c>
      <c r="E760">
        <v>40</v>
      </c>
      <c r="F760" t="s">
        <v>77</v>
      </c>
      <c r="G760" t="s">
        <v>78</v>
      </c>
      <c r="H760" t="s">
        <v>22</v>
      </c>
      <c r="I760" t="s">
        <v>23</v>
      </c>
      <c r="J760" t="s">
        <v>89</v>
      </c>
      <c r="K760">
        <v>2</v>
      </c>
      <c r="L760">
        <v>39400</v>
      </c>
      <c r="M760">
        <v>25</v>
      </c>
      <c r="N760">
        <v>59100</v>
      </c>
      <c r="O760" t="s">
        <v>85</v>
      </c>
      <c r="P760">
        <v>2</v>
      </c>
      <c r="Q760" t="s">
        <v>41</v>
      </c>
    </row>
    <row r="761" spans="1:17" x14ac:dyDescent="0.3">
      <c r="A761" t="s">
        <v>1492</v>
      </c>
      <c r="B761" t="s">
        <v>1493</v>
      </c>
      <c r="C761" t="s">
        <v>19</v>
      </c>
      <c r="D761" t="s">
        <v>83</v>
      </c>
      <c r="E761">
        <v>30</v>
      </c>
      <c r="F761" t="s">
        <v>61</v>
      </c>
      <c r="G761" t="s">
        <v>61</v>
      </c>
      <c r="H761" t="s">
        <v>46</v>
      </c>
      <c r="I761" t="s">
        <v>47</v>
      </c>
      <c r="J761" t="s">
        <v>89</v>
      </c>
      <c r="K761">
        <v>2</v>
      </c>
      <c r="L761">
        <v>13700</v>
      </c>
      <c r="M761">
        <v>0</v>
      </c>
      <c r="N761">
        <v>27400</v>
      </c>
      <c r="O761" t="s">
        <v>35</v>
      </c>
      <c r="P761">
        <v>4</v>
      </c>
      <c r="Q761" t="s">
        <v>41</v>
      </c>
    </row>
    <row r="762" spans="1:17" x14ac:dyDescent="0.3">
      <c r="A762" t="s">
        <v>1494</v>
      </c>
      <c r="B762" t="s">
        <v>1495</v>
      </c>
      <c r="C762" t="s">
        <v>19</v>
      </c>
      <c r="D762" t="s">
        <v>83</v>
      </c>
      <c r="E762">
        <v>-3</v>
      </c>
      <c r="F762" t="s">
        <v>30</v>
      </c>
      <c r="G762" t="s">
        <v>57</v>
      </c>
      <c r="H762" t="s">
        <v>62</v>
      </c>
      <c r="I762" t="s">
        <v>140</v>
      </c>
      <c r="J762" t="s">
        <v>64</v>
      </c>
      <c r="K762">
        <v>8</v>
      </c>
      <c r="L762">
        <v>25500</v>
      </c>
      <c r="M762">
        <v>15</v>
      </c>
      <c r="N762">
        <v>173400</v>
      </c>
      <c r="O762" t="s">
        <v>35</v>
      </c>
      <c r="P762">
        <v>5</v>
      </c>
      <c r="Q762" t="s">
        <v>26</v>
      </c>
    </row>
    <row r="763" spans="1:17" x14ac:dyDescent="0.3">
      <c r="A763" t="s">
        <v>1496</v>
      </c>
      <c r="B763" t="s">
        <v>1497</v>
      </c>
      <c r="C763" t="s">
        <v>94</v>
      </c>
      <c r="D763" t="s">
        <v>20</v>
      </c>
      <c r="E763">
        <v>35</v>
      </c>
      <c r="F763" t="s">
        <v>61</v>
      </c>
      <c r="G763" t="s">
        <v>61</v>
      </c>
      <c r="H763" t="s">
        <v>32</v>
      </c>
      <c r="I763" t="s">
        <v>33</v>
      </c>
      <c r="J763" t="s">
        <v>34</v>
      </c>
      <c r="K763" t="s">
        <v>165</v>
      </c>
      <c r="L763">
        <v>25400</v>
      </c>
      <c r="M763">
        <v>0</v>
      </c>
      <c r="N763">
        <v>25400</v>
      </c>
      <c r="O763" t="s">
        <v>25</v>
      </c>
      <c r="P763">
        <v>2</v>
      </c>
      <c r="Q763" t="s">
        <v>26</v>
      </c>
    </row>
    <row r="764" spans="1:17" x14ac:dyDescent="0.3">
      <c r="A764" t="s">
        <v>1498</v>
      </c>
      <c r="B764" t="s">
        <v>1499</v>
      </c>
      <c r="C764" t="s">
        <v>94</v>
      </c>
      <c r="D764" t="s">
        <v>83</v>
      </c>
      <c r="E764">
        <v>25</v>
      </c>
      <c r="F764" t="s">
        <v>77</v>
      </c>
      <c r="G764" t="s">
        <v>78</v>
      </c>
      <c r="H764" t="s">
        <v>32</v>
      </c>
      <c r="I764" t="s">
        <v>33</v>
      </c>
      <c r="J764" t="s">
        <v>24</v>
      </c>
      <c r="K764">
        <v>9</v>
      </c>
      <c r="L764">
        <v>43900</v>
      </c>
      <c r="M764">
        <v>5</v>
      </c>
      <c r="N764">
        <v>375345</v>
      </c>
      <c r="O764" t="s">
        <v>73</v>
      </c>
      <c r="P764">
        <v>5</v>
      </c>
      <c r="Q764" t="s">
        <v>74</v>
      </c>
    </row>
    <row r="765" spans="1:17" x14ac:dyDescent="0.3">
      <c r="A765" t="s">
        <v>1500</v>
      </c>
      <c r="B765" t="s">
        <v>1108</v>
      </c>
      <c r="C765" t="s">
        <v>88</v>
      </c>
      <c r="D765" t="s">
        <v>83</v>
      </c>
      <c r="E765">
        <v>39</v>
      </c>
      <c r="F765" t="s">
        <v>61</v>
      </c>
      <c r="G765" t="s">
        <v>61</v>
      </c>
      <c r="H765" t="s">
        <v>46</v>
      </c>
      <c r="I765" t="s">
        <v>47</v>
      </c>
      <c r="J765" t="s">
        <v>89</v>
      </c>
      <c r="K765">
        <v>3</v>
      </c>
      <c r="L765">
        <v>7900</v>
      </c>
      <c r="M765">
        <v>20</v>
      </c>
      <c r="N765">
        <v>18960</v>
      </c>
      <c r="O765" t="s">
        <v>105</v>
      </c>
      <c r="P765">
        <v>1</v>
      </c>
      <c r="Q765" t="s">
        <v>65</v>
      </c>
    </row>
    <row r="766" spans="1:17" x14ac:dyDescent="0.3">
      <c r="A766" t="s">
        <v>1501</v>
      </c>
      <c r="B766" t="s">
        <v>1502</v>
      </c>
      <c r="C766" t="s">
        <v>68</v>
      </c>
      <c r="D766" t="s">
        <v>20</v>
      </c>
      <c r="E766">
        <v>42</v>
      </c>
      <c r="F766" t="s">
        <v>77</v>
      </c>
      <c r="G766" t="s">
        <v>95</v>
      </c>
      <c r="H766" t="s">
        <v>32</v>
      </c>
      <c r="I766" t="s">
        <v>33</v>
      </c>
      <c r="J766" t="s">
        <v>64</v>
      </c>
      <c r="K766">
        <v>7</v>
      </c>
      <c r="L766">
        <v>11200</v>
      </c>
      <c r="M766">
        <v>20</v>
      </c>
      <c r="N766">
        <v>62720</v>
      </c>
      <c r="O766" t="s">
        <v>40</v>
      </c>
      <c r="P766">
        <v>5</v>
      </c>
      <c r="Q766" t="s">
        <v>41</v>
      </c>
    </row>
    <row r="767" spans="1:17" x14ac:dyDescent="0.3">
      <c r="A767" t="s">
        <v>1503</v>
      </c>
      <c r="B767" t="s">
        <v>1296</v>
      </c>
      <c r="C767" t="s">
        <v>94</v>
      </c>
      <c r="D767" t="s">
        <v>103</v>
      </c>
      <c r="E767">
        <v>25</v>
      </c>
      <c r="F767" t="s">
        <v>21</v>
      </c>
      <c r="G767" t="s">
        <v>21</v>
      </c>
      <c r="H767" t="s">
        <v>22</v>
      </c>
      <c r="I767" t="s">
        <v>23</v>
      </c>
      <c r="J767" t="s">
        <v>80</v>
      </c>
      <c r="K767">
        <v>10</v>
      </c>
      <c r="L767">
        <v>16900</v>
      </c>
      <c r="M767">
        <v>25</v>
      </c>
      <c r="N767">
        <v>126750</v>
      </c>
      <c r="O767" t="s">
        <v>48</v>
      </c>
      <c r="P767">
        <v>2</v>
      </c>
      <c r="Q767" t="s">
        <v>26</v>
      </c>
    </row>
    <row r="768" spans="1:17" x14ac:dyDescent="0.3">
      <c r="A768" t="s">
        <v>1504</v>
      </c>
      <c r="B768" t="s">
        <v>1505</v>
      </c>
      <c r="C768" t="s">
        <v>71</v>
      </c>
      <c r="D768" t="s">
        <v>103</v>
      </c>
      <c r="E768">
        <v>54</v>
      </c>
      <c r="F768" t="s">
        <v>51</v>
      </c>
      <c r="G768" t="s">
        <v>104</v>
      </c>
      <c r="H768" t="s">
        <v>62</v>
      </c>
      <c r="I768" t="s">
        <v>63</v>
      </c>
      <c r="J768" t="s">
        <v>80</v>
      </c>
      <c r="K768">
        <v>3</v>
      </c>
      <c r="L768">
        <v>44600</v>
      </c>
      <c r="M768">
        <v>15</v>
      </c>
      <c r="N768">
        <v>113730</v>
      </c>
      <c r="O768" t="s">
        <v>48</v>
      </c>
      <c r="Q768" t="s">
        <v>41</v>
      </c>
    </row>
    <row r="769" spans="1:17" x14ac:dyDescent="0.3">
      <c r="A769" t="s">
        <v>1506</v>
      </c>
      <c r="B769" t="s">
        <v>1507</v>
      </c>
      <c r="C769" t="s">
        <v>94</v>
      </c>
      <c r="E769">
        <v>48</v>
      </c>
      <c r="F769" t="s">
        <v>51</v>
      </c>
      <c r="G769" t="s">
        <v>104</v>
      </c>
      <c r="H769" t="s">
        <v>22</v>
      </c>
      <c r="I769" t="s">
        <v>23</v>
      </c>
      <c r="J769" t="s">
        <v>64</v>
      </c>
      <c r="K769">
        <v>4</v>
      </c>
      <c r="L769">
        <v>14800</v>
      </c>
      <c r="M769">
        <v>20</v>
      </c>
      <c r="N769">
        <v>47360</v>
      </c>
      <c r="O769" t="s">
        <v>40</v>
      </c>
      <c r="Q769" t="s">
        <v>65</v>
      </c>
    </row>
    <row r="770" spans="1:17" x14ac:dyDescent="0.3">
      <c r="A770" t="s">
        <v>1508</v>
      </c>
      <c r="B770" t="s">
        <v>1139</v>
      </c>
      <c r="C770" t="s">
        <v>29</v>
      </c>
      <c r="E770">
        <v>64</v>
      </c>
      <c r="F770" t="s">
        <v>390</v>
      </c>
      <c r="G770" t="s">
        <v>61</v>
      </c>
      <c r="H770" t="s">
        <v>46</v>
      </c>
      <c r="I770" t="s">
        <v>47</v>
      </c>
      <c r="J770" t="s">
        <v>72</v>
      </c>
      <c r="K770">
        <v>3</v>
      </c>
      <c r="L770">
        <v>31000</v>
      </c>
      <c r="M770">
        <v>10</v>
      </c>
      <c r="N770">
        <v>83700</v>
      </c>
      <c r="O770" t="s">
        <v>105</v>
      </c>
      <c r="P770">
        <v>2</v>
      </c>
      <c r="Q770" t="s">
        <v>65</v>
      </c>
    </row>
    <row r="771" spans="1:17" x14ac:dyDescent="0.3">
      <c r="A771" t="s">
        <v>1509</v>
      </c>
      <c r="B771" t="s">
        <v>1371</v>
      </c>
      <c r="C771" t="s">
        <v>88</v>
      </c>
      <c r="E771">
        <v>40</v>
      </c>
      <c r="F771" t="s">
        <v>61</v>
      </c>
      <c r="G771" t="s">
        <v>61</v>
      </c>
      <c r="H771" t="s">
        <v>62</v>
      </c>
      <c r="I771" t="s">
        <v>140</v>
      </c>
      <c r="J771" t="s">
        <v>34</v>
      </c>
      <c r="K771">
        <v>5</v>
      </c>
      <c r="L771">
        <v>23300</v>
      </c>
      <c r="M771">
        <v>25</v>
      </c>
      <c r="N771">
        <v>87375</v>
      </c>
      <c r="O771" t="s">
        <v>35</v>
      </c>
      <c r="P771">
        <v>2</v>
      </c>
      <c r="Q771" t="s">
        <v>26</v>
      </c>
    </row>
    <row r="772" spans="1:17" x14ac:dyDescent="0.3">
      <c r="A772" t="s">
        <v>1510</v>
      </c>
      <c r="B772" t="s">
        <v>1511</v>
      </c>
      <c r="C772" t="s">
        <v>113</v>
      </c>
      <c r="D772" t="s">
        <v>83</v>
      </c>
      <c r="E772">
        <v>54</v>
      </c>
      <c r="F772" t="s">
        <v>21</v>
      </c>
      <c r="G772" t="s">
        <v>21</v>
      </c>
      <c r="H772" t="s">
        <v>62</v>
      </c>
      <c r="I772" t="s">
        <v>140</v>
      </c>
      <c r="J772" t="s">
        <v>89</v>
      </c>
      <c r="K772">
        <v>3</v>
      </c>
      <c r="L772">
        <v>23100</v>
      </c>
      <c r="M772">
        <v>25</v>
      </c>
      <c r="N772">
        <v>51975</v>
      </c>
      <c r="O772" t="s">
        <v>73</v>
      </c>
      <c r="P772">
        <v>1</v>
      </c>
      <c r="Q772" t="s">
        <v>41</v>
      </c>
    </row>
    <row r="773" spans="1:17" x14ac:dyDescent="0.3">
      <c r="A773" t="s">
        <v>1512</v>
      </c>
      <c r="B773" t="s">
        <v>1513</v>
      </c>
      <c r="C773" t="s">
        <v>68</v>
      </c>
      <c r="D773" t="s">
        <v>103</v>
      </c>
      <c r="E773">
        <v>48</v>
      </c>
      <c r="F773" t="s">
        <v>21</v>
      </c>
      <c r="G773" t="s">
        <v>21</v>
      </c>
      <c r="H773" t="s">
        <v>32</v>
      </c>
      <c r="I773" t="s">
        <v>53</v>
      </c>
      <c r="J773" t="s">
        <v>80</v>
      </c>
      <c r="K773">
        <v>10</v>
      </c>
      <c r="L773">
        <v>42200</v>
      </c>
      <c r="M773">
        <v>5</v>
      </c>
      <c r="N773">
        <v>400900</v>
      </c>
      <c r="O773" t="s">
        <v>40</v>
      </c>
      <c r="P773">
        <v>1</v>
      </c>
      <c r="Q773" t="s">
        <v>26</v>
      </c>
    </row>
    <row r="774" spans="1:17" x14ac:dyDescent="0.3">
      <c r="A774" t="s">
        <v>1514</v>
      </c>
      <c r="B774" t="s">
        <v>139</v>
      </c>
      <c r="C774" t="s">
        <v>60</v>
      </c>
      <c r="E774">
        <v>30</v>
      </c>
      <c r="F774" t="s">
        <v>51</v>
      </c>
      <c r="G774" t="s">
        <v>104</v>
      </c>
      <c r="H774" t="s">
        <v>22</v>
      </c>
      <c r="I774" t="s">
        <v>84</v>
      </c>
      <c r="J774" t="s">
        <v>89</v>
      </c>
      <c r="K774">
        <v>8</v>
      </c>
      <c r="L774">
        <v>18200</v>
      </c>
      <c r="M774">
        <v>15</v>
      </c>
      <c r="N774">
        <v>123760</v>
      </c>
      <c r="O774" t="s">
        <v>35</v>
      </c>
      <c r="Q774" t="s">
        <v>41</v>
      </c>
    </row>
    <row r="775" spans="1:17" x14ac:dyDescent="0.3">
      <c r="A775" t="s">
        <v>1515</v>
      </c>
      <c r="B775" t="s">
        <v>1516</v>
      </c>
      <c r="C775" t="s">
        <v>60</v>
      </c>
      <c r="D775" t="s">
        <v>20</v>
      </c>
      <c r="E775">
        <v>56</v>
      </c>
      <c r="F775" t="s">
        <v>21</v>
      </c>
      <c r="G775" t="s">
        <v>21</v>
      </c>
      <c r="H775" t="s">
        <v>62</v>
      </c>
      <c r="I775" t="s">
        <v>140</v>
      </c>
      <c r="J775" t="s">
        <v>72</v>
      </c>
      <c r="K775">
        <v>8</v>
      </c>
      <c r="L775">
        <v>19000</v>
      </c>
      <c r="M775">
        <v>20</v>
      </c>
      <c r="N775">
        <v>121600</v>
      </c>
      <c r="O775" t="s">
        <v>85</v>
      </c>
      <c r="P775">
        <v>5</v>
      </c>
      <c r="Q775" t="s">
        <v>65</v>
      </c>
    </row>
    <row r="776" spans="1:17" x14ac:dyDescent="0.3">
      <c r="A776" t="s">
        <v>1517</v>
      </c>
      <c r="B776" t="s">
        <v>1518</v>
      </c>
      <c r="C776" t="s">
        <v>29</v>
      </c>
      <c r="E776">
        <v>50</v>
      </c>
      <c r="F776" t="s">
        <v>61</v>
      </c>
      <c r="G776" t="s">
        <v>61</v>
      </c>
      <c r="H776" t="s">
        <v>32</v>
      </c>
      <c r="I776" t="s">
        <v>33</v>
      </c>
      <c r="J776" t="s">
        <v>89</v>
      </c>
      <c r="K776">
        <v>1</v>
      </c>
      <c r="L776">
        <v>33200</v>
      </c>
      <c r="M776">
        <v>0</v>
      </c>
      <c r="N776">
        <v>33200</v>
      </c>
      <c r="O776" t="s">
        <v>85</v>
      </c>
      <c r="Q776" t="s">
        <v>41</v>
      </c>
    </row>
    <row r="777" spans="1:17" x14ac:dyDescent="0.3">
      <c r="A777" t="s">
        <v>1519</v>
      </c>
      <c r="B777" t="s">
        <v>1520</v>
      </c>
      <c r="C777" t="s">
        <v>29</v>
      </c>
      <c r="D777" t="s">
        <v>83</v>
      </c>
      <c r="E777">
        <v>48</v>
      </c>
      <c r="F777" t="s">
        <v>51</v>
      </c>
      <c r="G777" t="s">
        <v>52</v>
      </c>
      <c r="H777" t="s">
        <v>22</v>
      </c>
      <c r="I777" t="s">
        <v>23</v>
      </c>
      <c r="J777" t="s">
        <v>72</v>
      </c>
      <c r="K777">
        <v>8</v>
      </c>
      <c r="L777">
        <v>47400</v>
      </c>
      <c r="M777">
        <v>5</v>
      </c>
      <c r="N777">
        <v>360240</v>
      </c>
      <c r="O777" t="s">
        <v>40</v>
      </c>
      <c r="P777">
        <v>1</v>
      </c>
      <c r="Q777" t="s">
        <v>41</v>
      </c>
    </row>
    <row r="778" spans="1:17" x14ac:dyDescent="0.3">
      <c r="A778" t="s">
        <v>1521</v>
      </c>
      <c r="B778" t="s">
        <v>1522</v>
      </c>
      <c r="C778" t="s">
        <v>29</v>
      </c>
      <c r="E778">
        <v>25</v>
      </c>
      <c r="F778" t="s">
        <v>51</v>
      </c>
      <c r="G778" t="s">
        <v>104</v>
      </c>
      <c r="H778" t="s">
        <v>46</v>
      </c>
      <c r="I778" t="s">
        <v>79</v>
      </c>
      <c r="J778" t="s">
        <v>24</v>
      </c>
      <c r="K778">
        <v>3</v>
      </c>
      <c r="L778">
        <v>21700</v>
      </c>
      <c r="M778">
        <v>0</v>
      </c>
      <c r="N778">
        <v>65100</v>
      </c>
      <c r="O778" t="s">
        <v>105</v>
      </c>
      <c r="Q778" t="s">
        <v>74</v>
      </c>
    </row>
    <row r="779" spans="1:17" x14ac:dyDescent="0.3">
      <c r="A779" t="s">
        <v>1523</v>
      </c>
      <c r="B779" t="s">
        <v>133</v>
      </c>
      <c r="C779" t="s">
        <v>113</v>
      </c>
      <c r="E779">
        <v>25</v>
      </c>
      <c r="F779" t="s">
        <v>51</v>
      </c>
      <c r="G779" t="s">
        <v>104</v>
      </c>
      <c r="H779" t="s">
        <v>22</v>
      </c>
      <c r="I779" t="s">
        <v>84</v>
      </c>
      <c r="J779" t="s">
        <v>80</v>
      </c>
      <c r="K779">
        <v>8</v>
      </c>
      <c r="L779">
        <v>40100</v>
      </c>
      <c r="M779">
        <v>10</v>
      </c>
      <c r="N779">
        <v>288720</v>
      </c>
      <c r="O779" t="s">
        <v>40</v>
      </c>
      <c r="P779">
        <v>5</v>
      </c>
      <c r="Q779" t="s">
        <v>26</v>
      </c>
    </row>
    <row r="780" spans="1:17" x14ac:dyDescent="0.3">
      <c r="A780" t="s">
        <v>1524</v>
      </c>
      <c r="B780" t="s">
        <v>1525</v>
      </c>
      <c r="C780" t="s">
        <v>68</v>
      </c>
      <c r="D780" t="s">
        <v>103</v>
      </c>
      <c r="E780">
        <v>49</v>
      </c>
      <c r="F780" t="s">
        <v>30</v>
      </c>
      <c r="G780" t="s">
        <v>57</v>
      </c>
      <c r="H780" t="s">
        <v>46</v>
      </c>
      <c r="I780" t="s">
        <v>79</v>
      </c>
      <c r="J780" t="s">
        <v>89</v>
      </c>
      <c r="K780">
        <v>2</v>
      </c>
      <c r="L780">
        <v>36100</v>
      </c>
      <c r="M780">
        <v>25</v>
      </c>
      <c r="N780">
        <v>54150</v>
      </c>
      <c r="O780" t="s">
        <v>35</v>
      </c>
      <c r="Q780" t="s">
        <v>74</v>
      </c>
    </row>
    <row r="781" spans="1:17" x14ac:dyDescent="0.3">
      <c r="A781" t="s">
        <v>1526</v>
      </c>
      <c r="B781" t="s">
        <v>1527</v>
      </c>
      <c r="C781" t="s">
        <v>19</v>
      </c>
      <c r="E781">
        <v>35</v>
      </c>
      <c r="F781" t="s">
        <v>21</v>
      </c>
      <c r="G781" t="s">
        <v>21</v>
      </c>
      <c r="H781" t="s">
        <v>62</v>
      </c>
      <c r="I781" t="s">
        <v>140</v>
      </c>
      <c r="J781" t="s">
        <v>64</v>
      </c>
      <c r="K781">
        <v>3</v>
      </c>
      <c r="L781">
        <v>39000</v>
      </c>
      <c r="M781">
        <v>25</v>
      </c>
      <c r="N781">
        <v>87750</v>
      </c>
      <c r="O781" t="s">
        <v>105</v>
      </c>
      <c r="P781">
        <v>1</v>
      </c>
      <c r="Q781" t="s">
        <v>41</v>
      </c>
    </row>
    <row r="782" spans="1:17" x14ac:dyDescent="0.3">
      <c r="A782" t="s">
        <v>1528</v>
      </c>
      <c r="B782" t="s">
        <v>1529</v>
      </c>
      <c r="C782" t="s">
        <v>60</v>
      </c>
      <c r="E782">
        <v>29</v>
      </c>
      <c r="F782" t="s">
        <v>44</v>
      </c>
      <c r="G782" t="s">
        <v>45</v>
      </c>
      <c r="H782" t="s">
        <v>62</v>
      </c>
      <c r="I782" t="s">
        <v>140</v>
      </c>
      <c r="J782" t="s">
        <v>64</v>
      </c>
      <c r="K782">
        <v>6</v>
      </c>
      <c r="L782">
        <v>34600</v>
      </c>
      <c r="M782">
        <v>20</v>
      </c>
      <c r="N782">
        <v>166080</v>
      </c>
      <c r="O782" t="s">
        <v>25</v>
      </c>
      <c r="P782">
        <v>2</v>
      </c>
      <c r="Q782" t="s">
        <v>65</v>
      </c>
    </row>
    <row r="783" spans="1:17" x14ac:dyDescent="0.3">
      <c r="A783" t="s">
        <v>1530</v>
      </c>
      <c r="B783" t="s">
        <v>575</v>
      </c>
      <c r="C783" t="s">
        <v>71</v>
      </c>
      <c r="D783" t="s">
        <v>39</v>
      </c>
      <c r="E783">
        <v>64</v>
      </c>
      <c r="F783" t="s">
        <v>21</v>
      </c>
      <c r="G783" t="s">
        <v>21</v>
      </c>
      <c r="H783" t="s">
        <v>32</v>
      </c>
      <c r="I783" t="s">
        <v>33</v>
      </c>
      <c r="J783" t="s">
        <v>89</v>
      </c>
      <c r="K783" t="s">
        <v>1072</v>
      </c>
      <c r="L783">
        <v>8000</v>
      </c>
      <c r="M783">
        <v>0</v>
      </c>
      <c r="N783">
        <v>64000</v>
      </c>
      <c r="O783" t="s">
        <v>73</v>
      </c>
      <c r="P783">
        <v>1</v>
      </c>
      <c r="Q783" t="s">
        <v>65</v>
      </c>
    </row>
    <row r="784" spans="1:17" x14ac:dyDescent="0.3">
      <c r="A784" t="s">
        <v>1531</v>
      </c>
      <c r="B784" t="s">
        <v>1532</v>
      </c>
      <c r="C784" t="s">
        <v>113</v>
      </c>
      <c r="D784" t="s">
        <v>83</v>
      </c>
      <c r="E784">
        <v>65</v>
      </c>
      <c r="F784" t="s">
        <v>211</v>
      </c>
      <c r="G784" t="s">
        <v>100</v>
      </c>
      <c r="H784" t="s">
        <v>46</v>
      </c>
      <c r="I784" t="s">
        <v>79</v>
      </c>
      <c r="J784" t="s">
        <v>64</v>
      </c>
      <c r="K784">
        <v>2</v>
      </c>
      <c r="L784">
        <v>4000</v>
      </c>
      <c r="M784">
        <v>25</v>
      </c>
      <c r="N784">
        <v>6000</v>
      </c>
      <c r="O784" t="s">
        <v>105</v>
      </c>
      <c r="Q784" t="s">
        <v>65</v>
      </c>
    </row>
    <row r="785" spans="1:17" x14ac:dyDescent="0.3">
      <c r="A785" t="s">
        <v>1533</v>
      </c>
      <c r="B785" t="s">
        <v>1534</v>
      </c>
      <c r="C785" t="s">
        <v>68</v>
      </c>
      <c r="D785" t="s">
        <v>83</v>
      </c>
      <c r="E785">
        <v>41</v>
      </c>
      <c r="F785" t="s">
        <v>21</v>
      </c>
      <c r="G785" t="s">
        <v>21</v>
      </c>
      <c r="H785" t="s">
        <v>32</v>
      </c>
      <c r="I785" t="s">
        <v>33</v>
      </c>
      <c r="J785" t="s">
        <v>64</v>
      </c>
      <c r="K785">
        <v>2</v>
      </c>
      <c r="L785">
        <v>43200</v>
      </c>
      <c r="M785">
        <v>20</v>
      </c>
      <c r="N785">
        <v>69120</v>
      </c>
      <c r="O785" t="s">
        <v>40</v>
      </c>
      <c r="P785">
        <v>2</v>
      </c>
      <c r="Q785" t="s">
        <v>74</v>
      </c>
    </row>
    <row r="786" spans="1:17" x14ac:dyDescent="0.3">
      <c r="A786" t="s">
        <v>1535</v>
      </c>
      <c r="B786" t="s">
        <v>1536</v>
      </c>
      <c r="C786" t="s">
        <v>38</v>
      </c>
      <c r="D786" t="s">
        <v>39</v>
      </c>
      <c r="E786">
        <v>28</v>
      </c>
      <c r="F786" t="s">
        <v>44</v>
      </c>
      <c r="G786" t="s">
        <v>45</v>
      </c>
      <c r="H786" t="s">
        <v>22</v>
      </c>
      <c r="I786" t="s">
        <v>23</v>
      </c>
      <c r="J786" t="s">
        <v>64</v>
      </c>
      <c r="K786">
        <v>10</v>
      </c>
      <c r="L786">
        <v>5400</v>
      </c>
      <c r="M786">
        <v>0</v>
      </c>
      <c r="N786">
        <v>54000</v>
      </c>
      <c r="O786" t="s">
        <v>105</v>
      </c>
      <c r="P786">
        <v>3</v>
      </c>
      <c r="Q786" t="s">
        <v>74</v>
      </c>
    </row>
    <row r="787" spans="1:17" x14ac:dyDescent="0.3">
      <c r="A787" t="s">
        <v>1537</v>
      </c>
      <c r="B787" t="s">
        <v>1538</v>
      </c>
      <c r="C787" t="s">
        <v>94</v>
      </c>
      <c r="D787" t="s">
        <v>39</v>
      </c>
      <c r="E787">
        <v>65</v>
      </c>
      <c r="F787" t="s">
        <v>77</v>
      </c>
      <c r="G787" t="s">
        <v>95</v>
      </c>
      <c r="H787" t="s">
        <v>32</v>
      </c>
      <c r="I787" t="s">
        <v>33</v>
      </c>
      <c r="J787" t="s">
        <v>24</v>
      </c>
      <c r="K787">
        <v>8</v>
      </c>
      <c r="L787">
        <v>47300</v>
      </c>
      <c r="M787">
        <v>20</v>
      </c>
      <c r="N787">
        <v>302720</v>
      </c>
      <c r="O787" t="s">
        <v>48</v>
      </c>
      <c r="Q787" t="s">
        <v>74</v>
      </c>
    </row>
    <row r="788" spans="1:17" x14ac:dyDescent="0.3">
      <c r="A788" t="s">
        <v>1539</v>
      </c>
      <c r="B788" t="s">
        <v>1540</v>
      </c>
      <c r="C788" t="s">
        <v>29</v>
      </c>
      <c r="D788" t="s">
        <v>83</v>
      </c>
      <c r="E788">
        <v>50</v>
      </c>
      <c r="F788" t="s">
        <v>21</v>
      </c>
      <c r="G788" t="s">
        <v>21</v>
      </c>
      <c r="H788" t="s">
        <v>62</v>
      </c>
      <c r="I788" t="s">
        <v>63</v>
      </c>
      <c r="J788" t="s">
        <v>80</v>
      </c>
      <c r="K788">
        <v>8</v>
      </c>
      <c r="L788">
        <v>10200</v>
      </c>
      <c r="M788">
        <v>0</v>
      </c>
      <c r="N788">
        <v>81600</v>
      </c>
      <c r="O788" t="s">
        <v>35</v>
      </c>
      <c r="P788">
        <v>5</v>
      </c>
      <c r="Q788" t="s">
        <v>74</v>
      </c>
    </row>
    <row r="789" spans="1:17" x14ac:dyDescent="0.3">
      <c r="A789" t="s">
        <v>1541</v>
      </c>
      <c r="B789" t="s">
        <v>627</v>
      </c>
      <c r="C789" t="s">
        <v>19</v>
      </c>
      <c r="D789" t="s">
        <v>20</v>
      </c>
      <c r="E789">
        <v>49</v>
      </c>
      <c r="F789" t="s">
        <v>30</v>
      </c>
      <c r="G789" t="s">
        <v>57</v>
      </c>
      <c r="H789" t="s">
        <v>62</v>
      </c>
      <c r="I789" t="s">
        <v>63</v>
      </c>
      <c r="J789" t="s">
        <v>72</v>
      </c>
      <c r="K789">
        <v>7</v>
      </c>
      <c r="L789">
        <v>28400</v>
      </c>
      <c r="M789">
        <v>20</v>
      </c>
      <c r="N789">
        <v>159040</v>
      </c>
      <c r="O789" t="s">
        <v>48</v>
      </c>
      <c r="P789">
        <v>3</v>
      </c>
      <c r="Q789" t="s">
        <v>65</v>
      </c>
    </row>
    <row r="790" spans="1:17" x14ac:dyDescent="0.3">
      <c r="A790" t="s">
        <v>1542</v>
      </c>
      <c r="B790" t="s">
        <v>1543</v>
      </c>
      <c r="C790" t="s">
        <v>60</v>
      </c>
      <c r="D790" t="s">
        <v>20</v>
      </c>
      <c r="E790">
        <v>55</v>
      </c>
      <c r="F790" t="s">
        <v>44</v>
      </c>
      <c r="G790" t="s">
        <v>100</v>
      </c>
      <c r="H790" t="s">
        <v>32</v>
      </c>
      <c r="I790" t="s">
        <v>33</v>
      </c>
      <c r="J790" t="s">
        <v>64</v>
      </c>
      <c r="K790">
        <v>6</v>
      </c>
      <c r="L790">
        <v>27000</v>
      </c>
      <c r="M790">
        <v>0</v>
      </c>
      <c r="N790">
        <v>162000</v>
      </c>
      <c r="O790" t="s">
        <v>85</v>
      </c>
      <c r="Q790" t="s">
        <v>41</v>
      </c>
    </row>
    <row r="791" spans="1:17" x14ac:dyDescent="0.3">
      <c r="A791" t="s">
        <v>1544</v>
      </c>
      <c r="B791" t="s">
        <v>1545</v>
      </c>
      <c r="C791" t="s">
        <v>94</v>
      </c>
      <c r="E791">
        <v>37</v>
      </c>
      <c r="F791" t="s">
        <v>77</v>
      </c>
      <c r="G791" t="s">
        <v>78</v>
      </c>
      <c r="H791" t="s">
        <v>22</v>
      </c>
      <c r="I791" t="s">
        <v>23</v>
      </c>
      <c r="J791" t="s">
        <v>89</v>
      </c>
      <c r="K791">
        <v>9</v>
      </c>
      <c r="L791">
        <v>26400</v>
      </c>
      <c r="M791">
        <v>15</v>
      </c>
      <c r="N791">
        <v>201960</v>
      </c>
      <c r="O791" t="s">
        <v>40</v>
      </c>
      <c r="P791">
        <v>1</v>
      </c>
      <c r="Q791" t="s">
        <v>41</v>
      </c>
    </row>
    <row r="792" spans="1:17" x14ac:dyDescent="0.3">
      <c r="A792" t="s">
        <v>1546</v>
      </c>
      <c r="B792" t="s">
        <v>1547</v>
      </c>
      <c r="C792" t="s">
        <v>113</v>
      </c>
      <c r="D792" t="s">
        <v>103</v>
      </c>
      <c r="E792">
        <v>19</v>
      </c>
      <c r="F792" t="s">
        <v>21</v>
      </c>
      <c r="G792" t="s">
        <v>21</v>
      </c>
      <c r="H792" t="s">
        <v>46</v>
      </c>
      <c r="I792" t="s">
        <v>47</v>
      </c>
      <c r="J792" t="s">
        <v>89</v>
      </c>
      <c r="K792">
        <v>10</v>
      </c>
      <c r="L792">
        <v>27500</v>
      </c>
      <c r="M792">
        <v>0</v>
      </c>
      <c r="N792">
        <v>275000</v>
      </c>
      <c r="O792" t="s">
        <v>35</v>
      </c>
      <c r="P792">
        <v>4</v>
      </c>
      <c r="Q792" t="s">
        <v>26</v>
      </c>
    </row>
    <row r="793" spans="1:17" x14ac:dyDescent="0.3">
      <c r="A793" t="s">
        <v>1548</v>
      </c>
      <c r="B793" t="s">
        <v>1549</v>
      </c>
      <c r="C793" t="s">
        <v>121</v>
      </c>
      <c r="D793" t="s">
        <v>39</v>
      </c>
      <c r="E793">
        <v>48</v>
      </c>
      <c r="F793" t="s">
        <v>21</v>
      </c>
      <c r="G793" t="s">
        <v>21</v>
      </c>
      <c r="H793" t="s">
        <v>22</v>
      </c>
      <c r="I793" t="s">
        <v>23</v>
      </c>
      <c r="J793" t="s">
        <v>34</v>
      </c>
      <c r="K793">
        <v>8</v>
      </c>
      <c r="L793">
        <v>20300</v>
      </c>
      <c r="M793">
        <v>10</v>
      </c>
      <c r="N793">
        <v>146160</v>
      </c>
      <c r="O793" t="s">
        <v>85</v>
      </c>
      <c r="P793">
        <v>3</v>
      </c>
      <c r="Q793" t="s">
        <v>74</v>
      </c>
    </row>
    <row r="794" spans="1:17" x14ac:dyDescent="0.3">
      <c r="A794" t="s">
        <v>1550</v>
      </c>
      <c r="B794" t="s">
        <v>1551</v>
      </c>
      <c r="C794" t="s">
        <v>71</v>
      </c>
      <c r="D794" t="s">
        <v>39</v>
      </c>
      <c r="E794">
        <v>58</v>
      </c>
      <c r="F794" t="s">
        <v>44</v>
      </c>
      <c r="G794" t="s">
        <v>100</v>
      </c>
      <c r="H794" t="s">
        <v>62</v>
      </c>
      <c r="I794" t="s">
        <v>63</v>
      </c>
      <c r="J794" t="s">
        <v>64</v>
      </c>
      <c r="K794">
        <v>4</v>
      </c>
      <c r="L794">
        <v>30000</v>
      </c>
      <c r="M794">
        <v>10</v>
      </c>
      <c r="N794">
        <v>108000</v>
      </c>
      <c r="O794" t="s">
        <v>48</v>
      </c>
      <c r="P794">
        <v>4</v>
      </c>
      <c r="Q794" t="s">
        <v>65</v>
      </c>
    </row>
    <row r="795" spans="1:17" x14ac:dyDescent="0.3">
      <c r="A795" t="s">
        <v>1552</v>
      </c>
      <c r="B795" t="s">
        <v>139</v>
      </c>
      <c r="C795" t="s">
        <v>71</v>
      </c>
      <c r="D795" t="s">
        <v>83</v>
      </c>
      <c r="E795">
        <v>26</v>
      </c>
      <c r="F795" t="s">
        <v>51</v>
      </c>
      <c r="G795" t="s">
        <v>52</v>
      </c>
      <c r="H795" t="s">
        <v>22</v>
      </c>
      <c r="I795" t="s">
        <v>84</v>
      </c>
      <c r="J795" t="s">
        <v>34</v>
      </c>
      <c r="K795">
        <v>9</v>
      </c>
      <c r="L795">
        <v>44300</v>
      </c>
      <c r="M795">
        <v>5</v>
      </c>
      <c r="N795">
        <v>378765</v>
      </c>
      <c r="O795" t="s">
        <v>85</v>
      </c>
      <c r="Q795" t="s">
        <v>41</v>
      </c>
    </row>
    <row r="796" spans="1:17" x14ac:dyDescent="0.3">
      <c r="A796" t="s">
        <v>1553</v>
      </c>
      <c r="B796" t="s">
        <v>1554</v>
      </c>
      <c r="C796" t="s">
        <v>94</v>
      </c>
      <c r="D796" t="s">
        <v>20</v>
      </c>
      <c r="E796">
        <v>24</v>
      </c>
      <c r="F796" t="s">
        <v>44</v>
      </c>
      <c r="G796" t="s">
        <v>45</v>
      </c>
      <c r="H796" t="s">
        <v>22</v>
      </c>
      <c r="I796" t="s">
        <v>84</v>
      </c>
      <c r="J796" t="s">
        <v>64</v>
      </c>
      <c r="K796">
        <v>7</v>
      </c>
      <c r="L796">
        <v>7200</v>
      </c>
      <c r="M796">
        <v>15</v>
      </c>
      <c r="N796">
        <v>42840</v>
      </c>
      <c r="O796" t="s">
        <v>73</v>
      </c>
      <c r="Q796" t="s">
        <v>41</v>
      </c>
    </row>
    <row r="797" spans="1:17" x14ac:dyDescent="0.3">
      <c r="A797" t="s">
        <v>1555</v>
      </c>
      <c r="B797" t="s">
        <v>1556</v>
      </c>
      <c r="C797" t="s">
        <v>19</v>
      </c>
      <c r="D797" t="s">
        <v>83</v>
      </c>
      <c r="E797">
        <v>40</v>
      </c>
      <c r="F797" t="s">
        <v>77</v>
      </c>
      <c r="G797" t="s">
        <v>95</v>
      </c>
      <c r="H797" t="s">
        <v>32</v>
      </c>
      <c r="I797" t="s">
        <v>53</v>
      </c>
      <c r="J797" t="s">
        <v>64</v>
      </c>
      <c r="K797">
        <v>9</v>
      </c>
      <c r="L797">
        <v>37300</v>
      </c>
      <c r="M797">
        <v>10</v>
      </c>
      <c r="N797">
        <v>302130</v>
      </c>
      <c r="O797" t="s">
        <v>35</v>
      </c>
      <c r="Q797" t="s">
        <v>26</v>
      </c>
    </row>
    <row r="798" spans="1:17" x14ac:dyDescent="0.3">
      <c r="A798" t="s">
        <v>1557</v>
      </c>
      <c r="B798" t="s">
        <v>1558</v>
      </c>
      <c r="C798" t="s">
        <v>71</v>
      </c>
      <c r="E798">
        <v>39</v>
      </c>
      <c r="F798" t="s">
        <v>77</v>
      </c>
      <c r="G798" t="s">
        <v>78</v>
      </c>
      <c r="H798" t="s">
        <v>22</v>
      </c>
      <c r="I798" t="s">
        <v>23</v>
      </c>
      <c r="J798" t="s">
        <v>80</v>
      </c>
      <c r="K798">
        <v>9</v>
      </c>
      <c r="L798">
        <v>44100</v>
      </c>
      <c r="M798">
        <v>20</v>
      </c>
      <c r="N798">
        <v>317520</v>
      </c>
      <c r="O798" t="s">
        <v>25</v>
      </c>
      <c r="P798">
        <v>1</v>
      </c>
      <c r="Q798" t="s">
        <v>26</v>
      </c>
    </row>
    <row r="799" spans="1:17" x14ac:dyDescent="0.3">
      <c r="A799" t="s">
        <v>1559</v>
      </c>
      <c r="B799" t="s">
        <v>912</v>
      </c>
      <c r="C799" t="s">
        <v>38</v>
      </c>
      <c r="D799" t="s">
        <v>103</v>
      </c>
      <c r="E799">
        <v>27</v>
      </c>
      <c r="F799" t="s">
        <v>51</v>
      </c>
      <c r="G799" t="s">
        <v>104</v>
      </c>
      <c r="H799" t="s">
        <v>62</v>
      </c>
      <c r="I799" t="s">
        <v>140</v>
      </c>
      <c r="J799" t="s">
        <v>80</v>
      </c>
      <c r="K799">
        <v>8</v>
      </c>
      <c r="L799">
        <v>9100</v>
      </c>
      <c r="M799">
        <v>15</v>
      </c>
      <c r="N799">
        <v>61880</v>
      </c>
      <c r="O799" t="s">
        <v>25</v>
      </c>
      <c r="P799">
        <v>1</v>
      </c>
      <c r="Q799" t="s">
        <v>26</v>
      </c>
    </row>
    <row r="800" spans="1:17" x14ac:dyDescent="0.3">
      <c r="A800" t="s">
        <v>1560</v>
      </c>
      <c r="B800" t="s">
        <v>1561</v>
      </c>
      <c r="C800" t="s">
        <v>121</v>
      </c>
      <c r="D800" t="s">
        <v>103</v>
      </c>
      <c r="E800">
        <v>150</v>
      </c>
      <c r="F800" t="s">
        <v>21</v>
      </c>
      <c r="G800" t="s">
        <v>21</v>
      </c>
      <c r="H800" t="s">
        <v>116</v>
      </c>
      <c r="I800" t="s">
        <v>84</v>
      </c>
      <c r="J800" t="s">
        <v>24</v>
      </c>
      <c r="K800">
        <v>10</v>
      </c>
      <c r="L800">
        <v>23600</v>
      </c>
      <c r="M800">
        <v>0</v>
      </c>
      <c r="N800">
        <v>236000</v>
      </c>
      <c r="O800" t="s">
        <v>48</v>
      </c>
      <c r="Q800" t="s">
        <v>41</v>
      </c>
    </row>
    <row r="801" spans="1:17" x14ac:dyDescent="0.3">
      <c r="A801" t="s">
        <v>1562</v>
      </c>
      <c r="B801" t="s">
        <v>448</v>
      </c>
      <c r="C801" t="s">
        <v>113</v>
      </c>
      <c r="D801" t="s">
        <v>39</v>
      </c>
      <c r="E801">
        <v>40</v>
      </c>
      <c r="F801" t="s">
        <v>1122</v>
      </c>
      <c r="G801" t="s">
        <v>95</v>
      </c>
      <c r="H801" t="s">
        <v>46</v>
      </c>
      <c r="I801" t="s">
        <v>79</v>
      </c>
      <c r="J801" t="s">
        <v>24</v>
      </c>
      <c r="K801">
        <v>10</v>
      </c>
      <c r="L801">
        <v>37000</v>
      </c>
      <c r="M801">
        <v>0</v>
      </c>
      <c r="N801">
        <v>370000</v>
      </c>
      <c r="O801" t="s">
        <v>162</v>
      </c>
      <c r="P801">
        <v>5</v>
      </c>
      <c r="Q801" t="s">
        <v>41</v>
      </c>
    </row>
    <row r="802" spans="1:17" x14ac:dyDescent="0.3">
      <c r="A802" t="s">
        <v>1563</v>
      </c>
      <c r="B802" t="s">
        <v>1371</v>
      </c>
      <c r="C802" t="s">
        <v>19</v>
      </c>
      <c r="D802" t="s">
        <v>103</v>
      </c>
      <c r="E802">
        <v>33</v>
      </c>
      <c r="F802" t="s">
        <v>77</v>
      </c>
      <c r="G802" t="s">
        <v>95</v>
      </c>
      <c r="H802" t="s">
        <v>32</v>
      </c>
      <c r="I802" t="s">
        <v>33</v>
      </c>
      <c r="J802" t="s">
        <v>34</v>
      </c>
      <c r="K802">
        <v>8</v>
      </c>
      <c r="L802">
        <v>30600</v>
      </c>
      <c r="M802">
        <v>25</v>
      </c>
      <c r="N802">
        <v>183600</v>
      </c>
      <c r="O802" t="s">
        <v>25</v>
      </c>
      <c r="P802">
        <v>3</v>
      </c>
      <c r="Q802" t="s">
        <v>65</v>
      </c>
    </row>
    <row r="803" spans="1:17" x14ac:dyDescent="0.3">
      <c r="A803" t="s">
        <v>1564</v>
      </c>
      <c r="B803" t="s">
        <v>763</v>
      </c>
      <c r="C803" t="s">
        <v>29</v>
      </c>
      <c r="D803" t="s">
        <v>39</v>
      </c>
      <c r="E803">
        <v>50</v>
      </c>
      <c r="F803" t="s">
        <v>44</v>
      </c>
      <c r="G803" t="s">
        <v>45</v>
      </c>
      <c r="H803" t="s">
        <v>62</v>
      </c>
      <c r="I803" t="s">
        <v>140</v>
      </c>
      <c r="J803" t="s">
        <v>24</v>
      </c>
      <c r="K803">
        <v>2</v>
      </c>
      <c r="L803">
        <v>13100</v>
      </c>
      <c r="M803">
        <v>25</v>
      </c>
      <c r="N803">
        <v>19650</v>
      </c>
      <c r="O803" t="s">
        <v>40</v>
      </c>
      <c r="P803">
        <v>1</v>
      </c>
      <c r="Q803" t="s">
        <v>41</v>
      </c>
    </row>
    <row r="804" spans="1:17" x14ac:dyDescent="0.3">
      <c r="A804" t="s">
        <v>1565</v>
      </c>
      <c r="B804" t="s">
        <v>1566</v>
      </c>
      <c r="C804" t="s">
        <v>38</v>
      </c>
      <c r="D804" t="s">
        <v>103</v>
      </c>
      <c r="E804">
        <v>25</v>
      </c>
      <c r="F804" t="s">
        <v>21</v>
      </c>
      <c r="G804" t="s">
        <v>21</v>
      </c>
      <c r="H804" t="s">
        <v>62</v>
      </c>
      <c r="I804" t="s">
        <v>140</v>
      </c>
      <c r="J804" t="s">
        <v>72</v>
      </c>
      <c r="K804">
        <v>5</v>
      </c>
      <c r="L804">
        <v>43600</v>
      </c>
      <c r="M804">
        <v>5</v>
      </c>
      <c r="N804">
        <v>207100</v>
      </c>
      <c r="O804" t="s">
        <v>25</v>
      </c>
      <c r="P804">
        <v>2</v>
      </c>
      <c r="Q804" t="s">
        <v>26</v>
      </c>
    </row>
    <row r="805" spans="1:17" x14ac:dyDescent="0.3">
      <c r="A805" t="s">
        <v>1567</v>
      </c>
      <c r="B805" t="s">
        <v>1568</v>
      </c>
      <c r="C805" t="s">
        <v>68</v>
      </c>
      <c r="D805" t="s">
        <v>83</v>
      </c>
      <c r="E805">
        <v>28</v>
      </c>
      <c r="F805" t="s">
        <v>77</v>
      </c>
      <c r="G805" t="s">
        <v>95</v>
      </c>
      <c r="H805" t="s">
        <v>46</v>
      </c>
      <c r="I805" t="s">
        <v>79</v>
      </c>
      <c r="J805" t="s">
        <v>80</v>
      </c>
      <c r="K805">
        <v>10</v>
      </c>
      <c r="L805">
        <v>37300</v>
      </c>
      <c r="M805">
        <v>10</v>
      </c>
      <c r="N805">
        <v>335700</v>
      </c>
      <c r="O805" t="s">
        <v>162</v>
      </c>
      <c r="P805">
        <v>5</v>
      </c>
      <c r="Q805" t="s">
        <v>74</v>
      </c>
    </row>
    <row r="806" spans="1:17" x14ac:dyDescent="0.3">
      <c r="A806" t="s">
        <v>1569</v>
      </c>
      <c r="B806" t="s">
        <v>422</v>
      </c>
      <c r="C806" t="s">
        <v>19</v>
      </c>
      <c r="D806" t="s">
        <v>39</v>
      </c>
      <c r="E806">
        <v>19</v>
      </c>
      <c r="F806" t="s">
        <v>390</v>
      </c>
      <c r="G806" t="s">
        <v>61</v>
      </c>
      <c r="H806" t="s">
        <v>62</v>
      </c>
      <c r="I806" t="s">
        <v>63</v>
      </c>
      <c r="J806" t="s">
        <v>24</v>
      </c>
      <c r="K806">
        <v>6</v>
      </c>
      <c r="L806">
        <v>7100</v>
      </c>
      <c r="M806">
        <v>0</v>
      </c>
      <c r="N806">
        <v>42600</v>
      </c>
      <c r="O806" t="s">
        <v>85</v>
      </c>
      <c r="P806">
        <v>3</v>
      </c>
      <c r="Q806" t="s">
        <v>65</v>
      </c>
    </row>
    <row r="807" spans="1:17" x14ac:dyDescent="0.3">
      <c r="A807" t="s">
        <v>1570</v>
      </c>
      <c r="B807" t="s">
        <v>1571</v>
      </c>
      <c r="C807" t="s">
        <v>121</v>
      </c>
      <c r="E807">
        <v>37</v>
      </c>
      <c r="F807" t="s">
        <v>30</v>
      </c>
      <c r="G807" t="s">
        <v>31</v>
      </c>
      <c r="H807" t="s">
        <v>46</v>
      </c>
      <c r="I807" t="s">
        <v>47</v>
      </c>
      <c r="J807" t="s">
        <v>24</v>
      </c>
      <c r="K807">
        <v>5</v>
      </c>
      <c r="L807">
        <v>43700</v>
      </c>
      <c r="M807">
        <v>25</v>
      </c>
      <c r="N807">
        <v>163875</v>
      </c>
      <c r="O807" t="s">
        <v>40</v>
      </c>
      <c r="P807">
        <v>5</v>
      </c>
      <c r="Q807" t="s">
        <v>41</v>
      </c>
    </row>
    <row r="808" spans="1:17" x14ac:dyDescent="0.3">
      <c r="A808" t="s">
        <v>1572</v>
      </c>
      <c r="B808" t="s">
        <v>1573</v>
      </c>
      <c r="C808" t="s">
        <v>94</v>
      </c>
      <c r="D808" t="s">
        <v>20</v>
      </c>
      <c r="E808">
        <v>38</v>
      </c>
      <c r="F808" t="s">
        <v>61</v>
      </c>
      <c r="G808" t="s">
        <v>61</v>
      </c>
      <c r="H808" t="s">
        <v>22</v>
      </c>
      <c r="I808" t="s">
        <v>23</v>
      </c>
      <c r="J808" t="s">
        <v>72</v>
      </c>
      <c r="K808">
        <v>10</v>
      </c>
      <c r="L808">
        <v>24500</v>
      </c>
      <c r="M808">
        <v>15</v>
      </c>
      <c r="N808">
        <v>208250</v>
      </c>
      <c r="O808" t="s">
        <v>48</v>
      </c>
      <c r="P808">
        <v>1</v>
      </c>
      <c r="Q808" t="s">
        <v>26</v>
      </c>
    </row>
    <row r="809" spans="1:17" x14ac:dyDescent="0.3">
      <c r="A809" t="s">
        <v>1574</v>
      </c>
      <c r="B809" t="s">
        <v>1575</v>
      </c>
      <c r="C809" t="s">
        <v>121</v>
      </c>
      <c r="D809" t="s">
        <v>103</v>
      </c>
      <c r="E809">
        <v>64</v>
      </c>
      <c r="F809" t="s">
        <v>51</v>
      </c>
      <c r="G809" t="s">
        <v>104</v>
      </c>
      <c r="H809" t="s">
        <v>46</v>
      </c>
      <c r="I809" t="s">
        <v>47</v>
      </c>
      <c r="J809" t="s">
        <v>80</v>
      </c>
      <c r="K809">
        <v>7</v>
      </c>
      <c r="L809">
        <v>49400</v>
      </c>
      <c r="M809">
        <v>20</v>
      </c>
      <c r="N809">
        <v>276640</v>
      </c>
      <c r="O809" t="s">
        <v>73</v>
      </c>
      <c r="Q809" t="s">
        <v>65</v>
      </c>
    </row>
    <row r="810" spans="1:17" x14ac:dyDescent="0.3">
      <c r="A810" t="s">
        <v>1576</v>
      </c>
      <c r="B810" t="s">
        <v>343</v>
      </c>
      <c r="C810" t="s">
        <v>38</v>
      </c>
      <c r="D810" t="s">
        <v>20</v>
      </c>
      <c r="E810">
        <v>37</v>
      </c>
      <c r="F810" t="s">
        <v>30</v>
      </c>
      <c r="G810" t="s">
        <v>31</v>
      </c>
      <c r="H810" t="s">
        <v>46</v>
      </c>
      <c r="I810" t="s">
        <v>79</v>
      </c>
      <c r="J810" t="s">
        <v>89</v>
      </c>
      <c r="K810">
        <v>1</v>
      </c>
      <c r="L810">
        <v>13100</v>
      </c>
      <c r="M810">
        <v>25</v>
      </c>
      <c r="N810">
        <v>9825</v>
      </c>
      <c r="O810" t="s">
        <v>35</v>
      </c>
      <c r="P810">
        <v>4</v>
      </c>
      <c r="Q810" t="s">
        <v>74</v>
      </c>
    </row>
    <row r="811" spans="1:17" x14ac:dyDescent="0.3">
      <c r="A811" t="s">
        <v>1577</v>
      </c>
      <c r="B811" t="s">
        <v>1578</v>
      </c>
      <c r="C811" t="s">
        <v>60</v>
      </c>
      <c r="D811" t="s">
        <v>83</v>
      </c>
      <c r="E811">
        <v>46</v>
      </c>
      <c r="F811" t="s">
        <v>51</v>
      </c>
      <c r="G811" t="s">
        <v>52</v>
      </c>
      <c r="H811" t="s">
        <v>431</v>
      </c>
      <c r="I811" t="s">
        <v>47</v>
      </c>
      <c r="J811" t="s">
        <v>72</v>
      </c>
      <c r="K811">
        <v>3</v>
      </c>
      <c r="L811">
        <v>46900</v>
      </c>
      <c r="M811">
        <v>25</v>
      </c>
      <c r="N811" t="s">
        <v>1579</v>
      </c>
      <c r="O811" t="s">
        <v>162</v>
      </c>
      <c r="P811">
        <v>5</v>
      </c>
      <c r="Q811" t="s">
        <v>74</v>
      </c>
    </row>
    <row r="812" spans="1:17" x14ac:dyDescent="0.3">
      <c r="A812" t="s">
        <v>1580</v>
      </c>
      <c r="B812" t="s">
        <v>759</v>
      </c>
      <c r="C812" t="s">
        <v>68</v>
      </c>
      <c r="D812" t="s">
        <v>39</v>
      </c>
      <c r="E812">
        <v>24</v>
      </c>
      <c r="F812" t="s">
        <v>51</v>
      </c>
      <c r="G812" t="s">
        <v>52</v>
      </c>
      <c r="H812" t="s">
        <v>22</v>
      </c>
      <c r="I812" t="s">
        <v>84</v>
      </c>
      <c r="J812" t="s">
        <v>24</v>
      </c>
      <c r="K812">
        <v>6</v>
      </c>
      <c r="L812">
        <v>47700</v>
      </c>
      <c r="M812">
        <v>0</v>
      </c>
      <c r="N812">
        <v>286200</v>
      </c>
      <c r="O812" t="s">
        <v>48</v>
      </c>
      <c r="P812">
        <v>5</v>
      </c>
      <c r="Q812" t="s">
        <v>41</v>
      </c>
    </row>
    <row r="813" spans="1:17" x14ac:dyDescent="0.3">
      <c r="A813" t="s">
        <v>1581</v>
      </c>
      <c r="B813" t="s">
        <v>1582</v>
      </c>
      <c r="C813" t="s">
        <v>38</v>
      </c>
      <c r="E813">
        <v>45</v>
      </c>
      <c r="F813" t="s">
        <v>77</v>
      </c>
      <c r="G813" t="s">
        <v>78</v>
      </c>
      <c r="H813" t="s">
        <v>46</v>
      </c>
      <c r="I813" t="s">
        <v>47</v>
      </c>
      <c r="J813" t="s">
        <v>72</v>
      </c>
      <c r="K813">
        <v>7</v>
      </c>
      <c r="L813">
        <v>20600</v>
      </c>
      <c r="M813">
        <v>15</v>
      </c>
      <c r="N813">
        <v>122570</v>
      </c>
      <c r="O813" t="s">
        <v>35</v>
      </c>
      <c r="P813">
        <v>3</v>
      </c>
      <c r="Q813" t="s">
        <v>65</v>
      </c>
    </row>
    <row r="814" spans="1:17" x14ac:dyDescent="0.3">
      <c r="A814" t="s">
        <v>1583</v>
      </c>
      <c r="B814" t="s">
        <v>1366</v>
      </c>
      <c r="C814" t="s">
        <v>121</v>
      </c>
      <c r="D814" t="s">
        <v>20</v>
      </c>
      <c r="E814">
        <v>32</v>
      </c>
      <c r="F814" t="s">
        <v>61</v>
      </c>
      <c r="G814" t="s">
        <v>61</v>
      </c>
      <c r="H814" t="s">
        <v>32</v>
      </c>
      <c r="I814" t="s">
        <v>53</v>
      </c>
      <c r="J814" t="s">
        <v>80</v>
      </c>
      <c r="K814">
        <v>10</v>
      </c>
      <c r="L814">
        <v>20200</v>
      </c>
      <c r="M814">
        <v>20</v>
      </c>
      <c r="N814">
        <v>161600</v>
      </c>
      <c r="O814" t="s">
        <v>25</v>
      </c>
      <c r="P814">
        <v>1</v>
      </c>
      <c r="Q814" t="s">
        <v>26</v>
      </c>
    </row>
    <row r="815" spans="1:17" x14ac:dyDescent="0.3">
      <c r="A815" t="s">
        <v>1584</v>
      </c>
      <c r="B815" t="s">
        <v>1585</v>
      </c>
      <c r="C815" t="s">
        <v>60</v>
      </c>
      <c r="D815" t="s">
        <v>83</v>
      </c>
      <c r="E815">
        <v>60</v>
      </c>
      <c r="F815" t="s">
        <v>77</v>
      </c>
      <c r="G815" t="s">
        <v>78</v>
      </c>
      <c r="H815" t="s">
        <v>46</v>
      </c>
      <c r="I815" t="s">
        <v>47</v>
      </c>
      <c r="J815" t="s">
        <v>80</v>
      </c>
      <c r="K815">
        <v>7</v>
      </c>
      <c r="L815">
        <v>48900</v>
      </c>
      <c r="M815">
        <v>20</v>
      </c>
      <c r="N815">
        <v>273840</v>
      </c>
      <c r="O815" t="s">
        <v>73</v>
      </c>
      <c r="Q815" t="s">
        <v>26</v>
      </c>
    </row>
    <row r="816" spans="1:17" x14ac:dyDescent="0.3">
      <c r="A816" t="s">
        <v>1586</v>
      </c>
      <c r="B816" t="s">
        <v>1587</v>
      </c>
      <c r="C816" t="s">
        <v>68</v>
      </c>
      <c r="D816" t="s">
        <v>39</v>
      </c>
      <c r="E816">
        <v>55</v>
      </c>
      <c r="F816" t="s">
        <v>61</v>
      </c>
      <c r="G816" t="s">
        <v>61</v>
      </c>
      <c r="H816" t="s">
        <v>62</v>
      </c>
      <c r="I816" t="s">
        <v>140</v>
      </c>
      <c r="J816" t="s">
        <v>89</v>
      </c>
      <c r="K816">
        <v>5</v>
      </c>
      <c r="L816">
        <v>45600</v>
      </c>
      <c r="M816">
        <v>25</v>
      </c>
      <c r="N816">
        <v>171000</v>
      </c>
      <c r="O816" t="s">
        <v>35</v>
      </c>
      <c r="P816">
        <v>1</v>
      </c>
      <c r="Q816" t="s">
        <v>65</v>
      </c>
    </row>
    <row r="817" spans="1:17" x14ac:dyDescent="0.3">
      <c r="A817" t="s">
        <v>1588</v>
      </c>
      <c r="B817" t="s">
        <v>1589</v>
      </c>
      <c r="C817" t="s">
        <v>113</v>
      </c>
      <c r="D817" t="s">
        <v>20</v>
      </c>
      <c r="E817">
        <v>20</v>
      </c>
      <c r="F817" t="s">
        <v>61</v>
      </c>
      <c r="G817" t="s">
        <v>61</v>
      </c>
      <c r="H817" t="s">
        <v>32</v>
      </c>
      <c r="I817" t="s">
        <v>33</v>
      </c>
      <c r="J817" t="s">
        <v>80</v>
      </c>
      <c r="K817">
        <v>9</v>
      </c>
      <c r="L817">
        <v>7700</v>
      </c>
      <c r="M817">
        <v>10</v>
      </c>
      <c r="N817">
        <v>62370</v>
      </c>
      <c r="O817" t="s">
        <v>48</v>
      </c>
      <c r="P817">
        <v>5</v>
      </c>
      <c r="Q817" t="s">
        <v>74</v>
      </c>
    </row>
    <row r="818" spans="1:17" x14ac:dyDescent="0.3">
      <c r="A818" t="s">
        <v>1590</v>
      </c>
      <c r="B818" t="s">
        <v>1591</v>
      </c>
      <c r="C818" t="s">
        <v>68</v>
      </c>
      <c r="D818" t="s">
        <v>20</v>
      </c>
      <c r="E818">
        <v>27</v>
      </c>
      <c r="F818" t="s">
        <v>1193</v>
      </c>
      <c r="G818" t="s">
        <v>57</v>
      </c>
      <c r="H818" t="s">
        <v>22</v>
      </c>
      <c r="I818" t="s">
        <v>23</v>
      </c>
      <c r="J818" t="s">
        <v>72</v>
      </c>
      <c r="K818">
        <v>6</v>
      </c>
      <c r="L818">
        <v>26400</v>
      </c>
      <c r="M818">
        <v>5</v>
      </c>
      <c r="N818">
        <v>150480</v>
      </c>
      <c r="O818" t="s">
        <v>105</v>
      </c>
      <c r="Q818" t="s">
        <v>74</v>
      </c>
    </row>
    <row r="819" spans="1:17" x14ac:dyDescent="0.3">
      <c r="A819" t="s">
        <v>1592</v>
      </c>
      <c r="B819" t="s">
        <v>1196</v>
      </c>
      <c r="C819" t="s">
        <v>38</v>
      </c>
      <c r="D819" t="s">
        <v>20</v>
      </c>
      <c r="E819">
        <v>44</v>
      </c>
      <c r="F819" t="s">
        <v>30</v>
      </c>
      <c r="G819" t="s">
        <v>57</v>
      </c>
      <c r="H819" t="s">
        <v>22</v>
      </c>
      <c r="I819" t="s">
        <v>23</v>
      </c>
      <c r="J819" t="s">
        <v>72</v>
      </c>
      <c r="K819">
        <v>3</v>
      </c>
      <c r="L819">
        <v>23500</v>
      </c>
      <c r="M819">
        <v>15</v>
      </c>
      <c r="N819">
        <v>59925</v>
      </c>
      <c r="O819" t="s">
        <v>48</v>
      </c>
      <c r="P819">
        <v>2</v>
      </c>
      <c r="Q819" t="s">
        <v>41</v>
      </c>
    </row>
    <row r="820" spans="1:17" x14ac:dyDescent="0.3">
      <c r="A820" t="s">
        <v>1593</v>
      </c>
      <c r="B820" t="s">
        <v>1594</v>
      </c>
      <c r="C820" t="s">
        <v>121</v>
      </c>
      <c r="D820" t="s">
        <v>20</v>
      </c>
      <c r="E820">
        <v>46</v>
      </c>
      <c r="F820" t="s">
        <v>61</v>
      </c>
      <c r="G820" t="s">
        <v>61</v>
      </c>
      <c r="H820" t="s">
        <v>32</v>
      </c>
      <c r="I820" t="s">
        <v>33</v>
      </c>
      <c r="J820" t="s">
        <v>34</v>
      </c>
      <c r="K820">
        <v>10</v>
      </c>
      <c r="L820">
        <v>22300</v>
      </c>
      <c r="M820">
        <v>20</v>
      </c>
      <c r="N820">
        <v>178400</v>
      </c>
      <c r="O820" t="s">
        <v>40</v>
      </c>
      <c r="Q820" t="s">
        <v>74</v>
      </c>
    </row>
    <row r="821" spans="1:17" x14ac:dyDescent="0.3">
      <c r="A821" t="s">
        <v>1595</v>
      </c>
      <c r="B821" t="s">
        <v>422</v>
      </c>
      <c r="C821" t="s">
        <v>88</v>
      </c>
      <c r="E821">
        <v>53</v>
      </c>
      <c r="F821" t="s">
        <v>44</v>
      </c>
      <c r="G821" t="s">
        <v>45</v>
      </c>
      <c r="H821" t="s">
        <v>46</v>
      </c>
      <c r="I821" t="s">
        <v>47</v>
      </c>
      <c r="J821" t="s">
        <v>80</v>
      </c>
      <c r="K821">
        <v>6</v>
      </c>
      <c r="L821">
        <v>7900</v>
      </c>
      <c r="M821">
        <v>5</v>
      </c>
      <c r="N821">
        <v>45030</v>
      </c>
      <c r="O821" t="s">
        <v>85</v>
      </c>
      <c r="P821">
        <v>1</v>
      </c>
      <c r="Q821" t="s">
        <v>65</v>
      </c>
    </row>
    <row r="822" spans="1:17" x14ac:dyDescent="0.3">
      <c r="A822" t="s">
        <v>1596</v>
      </c>
      <c r="B822" t="s">
        <v>757</v>
      </c>
      <c r="C822" t="s">
        <v>60</v>
      </c>
      <c r="D822" t="s">
        <v>20</v>
      </c>
      <c r="E822">
        <v>50</v>
      </c>
      <c r="F822" t="s">
        <v>44</v>
      </c>
      <c r="G822" t="s">
        <v>45</v>
      </c>
      <c r="H822" t="s">
        <v>22</v>
      </c>
      <c r="I822" t="s">
        <v>84</v>
      </c>
      <c r="J822" t="s">
        <v>34</v>
      </c>
      <c r="K822">
        <v>4</v>
      </c>
      <c r="L822">
        <v>48000</v>
      </c>
      <c r="M822">
        <v>10</v>
      </c>
      <c r="N822">
        <v>172800</v>
      </c>
      <c r="O822" t="s">
        <v>73</v>
      </c>
      <c r="P822">
        <v>3</v>
      </c>
      <c r="Q822" t="s">
        <v>41</v>
      </c>
    </row>
    <row r="823" spans="1:17" x14ac:dyDescent="0.3">
      <c r="A823" t="s">
        <v>1597</v>
      </c>
      <c r="B823" t="s">
        <v>1598</v>
      </c>
      <c r="C823" t="s">
        <v>68</v>
      </c>
      <c r="D823" t="s">
        <v>39</v>
      </c>
      <c r="E823">
        <v>54</v>
      </c>
      <c r="F823" t="s">
        <v>77</v>
      </c>
      <c r="G823" t="s">
        <v>95</v>
      </c>
      <c r="H823" t="s">
        <v>62</v>
      </c>
      <c r="I823" t="s">
        <v>63</v>
      </c>
      <c r="J823" t="s">
        <v>24</v>
      </c>
      <c r="K823">
        <v>5</v>
      </c>
      <c r="L823">
        <v>22200</v>
      </c>
      <c r="M823">
        <v>10</v>
      </c>
      <c r="N823">
        <v>99900</v>
      </c>
      <c r="O823" t="s">
        <v>85</v>
      </c>
      <c r="P823">
        <v>1</v>
      </c>
      <c r="Q823" t="s">
        <v>65</v>
      </c>
    </row>
    <row r="824" spans="1:17" x14ac:dyDescent="0.3">
      <c r="A824" t="s">
        <v>1599</v>
      </c>
      <c r="B824" t="s">
        <v>1600</v>
      </c>
      <c r="C824" t="s">
        <v>29</v>
      </c>
      <c r="D824" t="s">
        <v>20</v>
      </c>
      <c r="E824">
        <v>43</v>
      </c>
      <c r="F824" t="s">
        <v>44</v>
      </c>
      <c r="G824" t="s">
        <v>100</v>
      </c>
      <c r="H824" t="s">
        <v>46</v>
      </c>
      <c r="I824" t="s">
        <v>79</v>
      </c>
      <c r="J824" t="s">
        <v>72</v>
      </c>
      <c r="K824">
        <v>7</v>
      </c>
      <c r="L824">
        <v>5600</v>
      </c>
      <c r="M824">
        <v>5</v>
      </c>
      <c r="N824">
        <v>37240</v>
      </c>
      <c r="O824" t="s">
        <v>25</v>
      </c>
      <c r="P824">
        <v>2</v>
      </c>
      <c r="Q824" t="s">
        <v>65</v>
      </c>
    </row>
    <row r="825" spans="1:17" x14ac:dyDescent="0.3">
      <c r="A825" t="s">
        <v>1601</v>
      </c>
      <c r="B825" t="s">
        <v>1602</v>
      </c>
      <c r="C825" t="s">
        <v>121</v>
      </c>
      <c r="E825">
        <v>31</v>
      </c>
      <c r="F825" t="s">
        <v>21</v>
      </c>
      <c r="G825" t="s">
        <v>21</v>
      </c>
      <c r="H825" t="s">
        <v>62</v>
      </c>
      <c r="I825" t="s">
        <v>140</v>
      </c>
      <c r="J825" t="s">
        <v>72</v>
      </c>
      <c r="K825">
        <v>8</v>
      </c>
      <c r="L825">
        <v>12500</v>
      </c>
      <c r="M825">
        <v>15</v>
      </c>
      <c r="N825">
        <v>85000</v>
      </c>
      <c r="O825" t="s">
        <v>105</v>
      </c>
      <c r="P825">
        <v>3</v>
      </c>
      <c r="Q825" t="s">
        <v>41</v>
      </c>
    </row>
    <row r="826" spans="1:17" x14ac:dyDescent="0.3">
      <c r="A826" t="s">
        <v>1603</v>
      </c>
      <c r="B826" t="s">
        <v>1604</v>
      </c>
      <c r="C826" t="s">
        <v>19</v>
      </c>
      <c r="D826" t="s">
        <v>83</v>
      </c>
      <c r="E826">
        <v>47</v>
      </c>
      <c r="F826" t="s">
        <v>56</v>
      </c>
      <c r="G826" t="s">
        <v>57</v>
      </c>
      <c r="H826" t="s">
        <v>46</v>
      </c>
      <c r="I826" t="s">
        <v>47</v>
      </c>
      <c r="J826" t="s">
        <v>89</v>
      </c>
      <c r="K826">
        <v>9</v>
      </c>
      <c r="L826">
        <v>45300</v>
      </c>
      <c r="M826">
        <v>0</v>
      </c>
      <c r="N826">
        <v>407700</v>
      </c>
      <c r="O826" t="s">
        <v>35</v>
      </c>
      <c r="P826">
        <v>4</v>
      </c>
      <c r="Q826" t="s">
        <v>26</v>
      </c>
    </row>
    <row r="827" spans="1:17" x14ac:dyDescent="0.3">
      <c r="A827" t="s">
        <v>1605</v>
      </c>
      <c r="B827" t="s">
        <v>1606</v>
      </c>
      <c r="C827" t="s">
        <v>29</v>
      </c>
      <c r="D827" t="s">
        <v>103</v>
      </c>
      <c r="E827">
        <v>31</v>
      </c>
      <c r="F827" t="s">
        <v>44</v>
      </c>
      <c r="G827" t="s">
        <v>100</v>
      </c>
      <c r="H827" t="s">
        <v>110</v>
      </c>
      <c r="I827" t="s">
        <v>53</v>
      </c>
      <c r="J827" t="s">
        <v>64</v>
      </c>
      <c r="K827">
        <v>7</v>
      </c>
      <c r="L827">
        <v>8900</v>
      </c>
      <c r="M827">
        <v>20</v>
      </c>
      <c r="N827">
        <v>49840</v>
      </c>
      <c r="O827" t="s">
        <v>73</v>
      </c>
      <c r="P827">
        <v>4</v>
      </c>
      <c r="Q827" t="s">
        <v>74</v>
      </c>
    </row>
    <row r="828" spans="1:17" x14ac:dyDescent="0.3">
      <c r="A828" t="s">
        <v>1607</v>
      </c>
      <c r="B828" t="s">
        <v>374</v>
      </c>
      <c r="C828" t="s">
        <v>94</v>
      </c>
      <c r="D828" t="s">
        <v>20</v>
      </c>
      <c r="E828">
        <v>-3</v>
      </c>
      <c r="F828" t="s">
        <v>77</v>
      </c>
      <c r="G828" t="s">
        <v>78</v>
      </c>
      <c r="H828" t="s">
        <v>22</v>
      </c>
      <c r="I828" t="s">
        <v>23</v>
      </c>
      <c r="J828" t="s">
        <v>89</v>
      </c>
      <c r="K828">
        <v>5</v>
      </c>
      <c r="L828">
        <v>35300</v>
      </c>
      <c r="M828">
        <v>10</v>
      </c>
      <c r="N828">
        <v>158850</v>
      </c>
      <c r="O828" t="s">
        <v>105</v>
      </c>
      <c r="P828">
        <v>5</v>
      </c>
      <c r="Q828" t="s">
        <v>65</v>
      </c>
    </row>
    <row r="829" spans="1:17" x14ac:dyDescent="0.3">
      <c r="A829" t="s">
        <v>1608</v>
      </c>
      <c r="B829" t="s">
        <v>137</v>
      </c>
      <c r="C829" t="s">
        <v>29</v>
      </c>
      <c r="D829" t="s">
        <v>83</v>
      </c>
      <c r="E829">
        <v>27</v>
      </c>
      <c r="F829" t="s">
        <v>30</v>
      </c>
      <c r="G829" t="s">
        <v>31</v>
      </c>
      <c r="H829" t="s">
        <v>116</v>
      </c>
      <c r="I829" t="s">
        <v>23</v>
      </c>
      <c r="J829" t="s">
        <v>24</v>
      </c>
      <c r="K829">
        <v>7</v>
      </c>
      <c r="L829">
        <v>11000</v>
      </c>
      <c r="M829">
        <v>0</v>
      </c>
      <c r="N829">
        <v>77000</v>
      </c>
      <c r="O829" t="s">
        <v>85</v>
      </c>
      <c r="P829">
        <v>4</v>
      </c>
      <c r="Q829" t="s">
        <v>74</v>
      </c>
    </row>
    <row r="830" spans="1:17" x14ac:dyDescent="0.3">
      <c r="A830" t="s">
        <v>1609</v>
      </c>
      <c r="B830" t="s">
        <v>1610</v>
      </c>
      <c r="C830" t="s">
        <v>121</v>
      </c>
      <c r="D830" t="s">
        <v>20</v>
      </c>
      <c r="E830">
        <v>19</v>
      </c>
      <c r="F830" t="s">
        <v>77</v>
      </c>
      <c r="G830" t="s">
        <v>95</v>
      </c>
      <c r="H830" t="s">
        <v>22</v>
      </c>
      <c r="I830" t="s">
        <v>23</v>
      </c>
      <c r="J830" t="s">
        <v>24</v>
      </c>
      <c r="K830">
        <v>10</v>
      </c>
      <c r="L830">
        <v>5700</v>
      </c>
      <c r="M830">
        <v>10</v>
      </c>
      <c r="N830">
        <v>51300</v>
      </c>
      <c r="O830" t="s">
        <v>35</v>
      </c>
      <c r="P830">
        <v>3</v>
      </c>
      <c r="Q830" t="s">
        <v>26</v>
      </c>
    </row>
    <row r="831" spans="1:17" x14ac:dyDescent="0.3">
      <c r="A831" t="s">
        <v>1611</v>
      </c>
      <c r="B831" t="s">
        <v>1612</v>
      </c>
      <c r="C831" t="s">
        <v>88</v>
      </c>
      <c r="D831" t="s">
        <v>103</v>
      </c>
      <c r="E831">
        <v>64</v>
      </c>
      <c r="F831" t="s">
        <v>1046</v>
      </c>
      <c r="G831" t="s">
        <v>21</v>
      </c>
      <c r="H831" t="s">
        <v>62</v>
      </c>
      <c r="I831" t="s">
        <v>140</v>
      </c>
      <c r="J831" t="s">
        <v>72</v>
      </c>
      <c r="K831">
        <v>9</v>
      </c>
      <c r="L831">
        <v>39300</v>
      </c>
      <c r="M831">
        <v>25</v>
      </c>
      <c r="N831" t="s">
        <v>1613</v>
      </c>
      <c r="O831" t="s">
        <v>48</v>
      </c>
      <c r="P831">
        <v>3</v>
      </c>
      <c r="Q831" t="s">
        <v>41</v>
      </c>
    </row>
    <row r="832" spans="1:17" x14ac:dyDescent="0.3">
      <c r="A832" t="s">
        <v>1614</v>
      </c>
      <c r="B832" t="s">
        <v>1615</v>
      </c>
      <c r="C832" t="s">
        <v>68</v>
      </c>
      <c r="D832" t="s">
        <v>83</v>
      </c>
      <c r="E832">
        <v>49</v>
      </c>
      <c r="F832" t="s">
        <v>61</v>
      </c>
      <c r="G832" t="s">
        <v>61</v>
      </c>
      <c r="H832" t="s">
        <v>62</v>
      </c>
      <c r="I832" t="s">
        <v>63</v>
      </c>
      <c r="J832" t="s">
        <v>72</v>
      </c>
      <c r="K832">
        <v>9</v>
      </c>
      <c r="L832">
        <v>17700</v>
      </c>
      <c r="M832">
        <v>5</v>
      </c>
      <c r="N832">
        <v>151335</v>
      </c>
      <c r="O832" t="s">
        <v>25</v>
      </c>
      <c r="Q832" t="s">
        <v>41</v>
      </c>
    </row>
    <row r="833" spans="1:17" x14ac:dyDescent="0.3">
      <c r="A833" t="s">
        <v>1616</v>
      </c>
      <c r="B833" t="s">
        <v>575</v>
      </c>
      <c r="C833" t="s">
        <v>29</v>
      </c>
      <c r="D833" t="s">
        <v>103</v>
      </c>
      <c r="E833">
        <v>43</v>
      </c>
      <c r="F833" t="s">
        <v>427</v>
      </c>
      <c r="G833" t="s">
        <v>95</v>
      </c>
      <c r="H833" t="s">
        <v>22</v>
      </c>
      <c r="I833" t="s">
        <v>84</v>
      </c>
      <c r="J833" t="s">
        <v>72</v>
      </c>
      <c r="K833">
        <v>9</v>
      </c>
      <c r="L833">
        <v>26400</v>
      </c>
      <c r="M833">
        <v>0</v>
      </c>
      <c r="N833">
        <v>237600</v>
      </c>
      <c r="O833" t="s">
        <v>73</v>
      </c>
      <c r="P833">
        <v>4</v>
      </c>
      <c r="Q833" t="s">
        <v>65</v>
      </c>
    </row>
    <row r="834" spans="1:17" x14ac:dyDescent="0.3">
      <c r="A834" t="s">
        <v>1617</v>
      </c>
      <c r="B834" t="s">
        <v>1129</v>
      </c>
      <c r="C834" t="s">
        <v>71</v>
      </c>
      <c r="D834" t="s">
        <v>20</v>
      </c>
      <c r="E834">
        <v>36</v>
      </c>
      <c r="F834" t="s">
        <v>21</v>
      </c>
      <c r="G834" t="s">
        <v>21</v>
      </c>
      <c r="H834" t="s">
        <v>22</v>
      </c>
      <c r="I834" t="s">
        <v>84</v>
      </c>
      <c r="J834" t="s">
        <v>80</v>
      </c>
      <c r="K834">
        <v>2</v>
      </c>
      <c r="L834">
        <v>43000</v>
      </c>
      <c r="M834">
        <v>0</v>
      </c>
      <c r="N834">
        <v>86000</v>
      </c>
      <c r="O834" t="s">
        <v>105</v>
      </c>
      <c r="Q834" t="s">
        <v>74</v>
      </c>
    </row>
    <row r="835" spans="1:17" x14ac:dyDescent="0.3">
      <c r="A835" t="s">
        <v>1618</v>
      </c>
      <c r="B835" t="s">
        <v>1619</v>
      </c>
      <c r="C835" t="s">
        <v>38</v>
      </c>
      <c r="D835" t="s">
        <v>39</v>
      </c>
      <c r="E835">
        <v>58</v>
      </c>
      <c r="F835" t="s">
        <v>61</v>
      </c>
      <c r="G835" t="s">
        <v>61</v>
      </c>
      <c r="H835" t="s">
        <v>32</v>
      </c>
      <c r="I835" t="s">
        <v>33</v>
      </c>
      <c r="J835" t="s">
        <v>64</v>
      </c>
      <c r="K835">
        <v>2</v>
      </c>
      <c r="L835">
        <v>31100</v>
      </c>
      <c r="M835">
        <v>5</v>
      </c>
      <c r="N835">
        <v>59090</v>
      </c>
      <c r="O835" t="s">
        <v>35</v>
      </c>
      <c r="Q835" t="s">
        <v>74</v>
      </c>
    </row>
    <row r="836" spans="1:17" x14ac:dyDescent="0.3">
      <c r="A836" t="s">
        <v>1620</v>
      </c>
      <c r="B836" t="s">
        <v>1024</v>
      </c>
      <c r="C836" t="s">
        <v>29</v>
      </c>
      <c r="E836">
        <v>26</v>
      </c>
      <c r="F836" t="s">
        <v>77</v>
      </c>
      <c r="G836" t="s">
        <v>95</v>
      </c>
      <c r="H836" t="s">
        <v>22</v>
      </c>
      <c r="I836" t="s">
        <v>84</v>
      </c>
      <c r="J836" t="s">
        <v>89</v>
      </c>
      <c r="K836">
        <v>4</v>
      </c>
      <c r="L836">
        <v>31900</v>
      </c>
      <c r="M836">
        <v>20</v>
      </c>
      <c r="N836">
        <v>102080</v>
      </c>
      <c r="O836" t="s">
        <v>85</v>
      </c>
      <c r="P836">
        <v>4</v>
      </c>
      <c r="Q836" t="s">
        <v>65</v>
      </c>
    </row>
    <row r="837" spans="1:17" x14ac:dyDescent="0.3">
      <c r="A837" t="s">
        <v>1621</v>
      </c>
      <c r="B837" t="s">
        <v>1622</v>
      </c>
      <c r="C837" t="s">
        <v>88</v>
      </c>
      <c r="D837" t="s">
        <v>103</v>
      </c>
      <c r="E837">
        <v>59</v>
      </c>
      <c r="F837" t="s">
        <v>44</v>
      </c>
      <c r="G837" t="s">
        <v>45</v>
      </c>
      <c r="H837" t="s">
        <v>62</v>
      </c>
      <c r="I837" t="s">
        <v>140</v>
      </c>
      <c r="J837" t="s">
        <v>34</v>
      </c>
      <c r="K837">
        <v>10</v>
      </c>
      <c r="L837">
        <v>29800</v>
      </c>
      <c r="M837">
        <v>10</v>
      </c>
      <c r="N837">
        <v>268200</v>
      </c>
      <c r="O837" t="s">
        <v>85</v>
      </c>
      <c r="P837">
        <v>5</v>
      </c>
      <c r="Q837" t="s">
        <v>74</v>
      </c>
    </row>
    <row r="838" spans="1:17" x14ac:dyDescent="0.3">
      <c r="A838" t="s">
        <v>1623</v>
      </c>
      <c r="B838" t="s">
        <v>1624</v>
      </c>
      <c r="C838" t="s">
        <v>71</v>
      </c>
      <c r="E838">
        <v>45</v>
      </c>
      <c r="F838" t="s">
        <v>77</v>
      </c>
      <c r="G838" t="s">
        <v>95</v>
      </c>
      <c r="H838" t="s">
        <v>32</v>
      </c>
      <c r="I838" t="s">
        <v>33</v>
      </c>
      <c r="J838" t="s">
        <v>72</v>
      </c>
      <c r="K838" t="s">
        <v>562</v>
      </c>
      <c r="L838">
        <v>13300</v>
      </c>
      <c r="M838">
        <v>15</v>
      </c>
      <c r="N838">
        <v>45220</v>
      </c>
      <c r="O838" t="s">
        <v>35</v>
      </c>
      <c r="Q838" t="s">
        <v>65</v>
      </c>
    </row>
    <row r="839" spans="1:17" x14ac:dyDescent="0.3">
      <c r="A839" t="s">
        <v>1625</v>
      </c>
      <c r="B839" t="s">
        <v>1626</v>
      </c>
      <c r="C839" t="s">
        <v>71</v>
      </c>
      <c r="D839" t="s">
        <v>39</v>
      </c>
      <c r="E839">
        <v>22</v>
      </c>
      <c r="F839" t="s">
        <v>77</v>
      </c>
      <c r="G839" t="s">
        <v>78</v>
      </c>
      <c r="H839" t="s">
        <v>22</v>
      </c>
      <c r="I839" t="s">
        <v>84</v>
      </c>
      <c r="J839" t="s">
        <v>24</v>
      </c>
      <c r="K839">
        <v>1</v>
      </c>
      <c r="L839">
        <v>32300</v>
      </c>
      <c r="M839">
        <v>25</v>
      </c>
      <c r="N839">
        <v>24225</v>
      </c>
      <c r="O839" t="s">
        <v>25</v>
      </c>
      <c r="Q839" t="s">
        <v>26</v>
      </c>
    </row>
    <row r="840" spans="1:17" x14ac:dyDescent="0.3">
      <c r="A840" t="s">
        <v>1627</v>
      </c>
      <c r="B840" t="s">
        <v>1628</v>
      </c>
      <c r="C840" t="s">
        <v>38</v>
      </c>
      <c r="E840">
        <v>55</v>
      </c>
      <c r="F840" t="s">
        <v>61</v>
      </c>
      <c r="G840" t="s">
        <v>61</v>
      </c>
      <c r="H840" t="s">
        <v>62</v>
      </c>
      <c r="I840" t="s">
        <v>140</v>
      </c>
      <c r="J840" t="s">
        <v>80</v>
      </c>
      <c r="K840">
        <v>8</v>
      </c>
      <c r="L840">
        <v>35400</v>
      </c>
      <c r="M840">
        <v>15</v>
      </c>
      <c r="N840">
        <v>240720</v>
      </c>
      <c r="O840" t="s">
        <v>105</v>
      </c>
      <c r="P840">
        <v>4</v>
      </c>
      <c r="Q840" t="s">
        <v>74</v>
      </c>
    </row>
    <row r="841" spans="1:17" x14ac:dyDescent="0.3">
      <c r="A841" t="s">
        <v>1629</v>
      </c>
      <c r="B841" t="s">
        <v>1630</v>
      </c>
      <c r="C841" t="s">
        <v>71</v>
      </c>
      <c r="D841" t="s">
        <v>20</v>
      </c>
      <c r="E841">
        <v>23</v>
      </c>
      <c r="F841" t="s">
        <v>61</v>
      </c>
      <c r="G841" t="s">
        <v>61</v>
      </c>
      <c r="H841" t="s">
        <v>431</v>
      </c>
      <c r="I841" t="s">
        <v>47</v>
      </c>
      <c r="J841" t="s">
        <v>72</v>
      </c>
      <c r="K841">
        <v>7</v>
      </c>
      <c r="L841">
        <v>27200</v>
      </c>
      <c r="M841">
        <v>25</v>
      </c>
      <c r="N841">
        <v>142800</v>
      </c>
      <c r="O841" t="s">
        <v>105</v>
      </c>
      <c r="P841">
        <v>3</v>
      </c>
      <c r="Q841" t="s">
        <v>26</v>
      </c>
    </row>
    <row r="842" spans="1:17" x14ac:dyDescent="0.3">
      <c r="A842" t="s">
        <v>1631</v>
      </c>
      <c r="B842" t="s">
        <v>744</v>
      </c>
      <c r="C842" t="s">
        <v>19</v>
      </c>
      <c r="D842" t="s">
        <v>103</v>
      </c>
      <c r="E842">
        <v>49</v>
      </c>
      <c r="F842" t="s">
        <v>44</v>
      </c>
      <c r="G842" t="s">
        <v>100</v>
      </c>
      <c r="H842" t="s">
        <v>46</v>
      </c>
      <c r="I842" t="s">
        <v>79</v>
      </c>
      <c r="J842" t="s">
        <v>89</v>
      </c>
      <c r="K842">
        <v>9</v>
      </c>
      <c r="L842">
        <v>42500</v>
      </c>
      <c r="M842">
        <v>15</v>
      </c>
      <c r="N842">
        <v>325125</v>
      </c>
      <c r="O842" t="s">
        <v>105</v>
      </c>
      <c r="P842">
        <v>3</v>
      </c>
      <c r="Q842" t="s">
        <v>26</v>
      </c>
    </row>
    <row r="843" spans="1:17" x14ac:dyDescent="0.3">
      <c r="A843" t="s">
        <v>1632</v>
      </c>
      <c r="B843" t="s">
        <v>983</v>
      </c>
      <c r="C843" t="s">
        <v>38</v>
      </c>
      <c r="D843" t="s">
        <v>83</v>
      </c>
      <c r="E843">
        <v>22</v>
      </c>
      <c r="F843" t="s">
        <v>51</v>
      </c>
      <c r="G843" t="s">
        <v>52</v>
      </c>
      <c r="H843" t="s">
        <v>22</v>
      </c>
      <c r="I843" t="s">
        <v>23</v>
      </c>
      <c r="J843" t="s">
        <v>64</v>
      </c>
      <c r="K843">
        <v>2</v>
      </c>
      <c r="L843">
        <v>6300</v>
      </c>
      <c r="M843">
        <v>0</v>
      </c>
      <c r="N843">
        <v>12600</v>
      </c>
      <c r="O843" t="s">
        <v>162</v>
      </c>
      <c r="Q843" t="s">
        <v>65</v>
      </c>
    </row>
    <row r="844" spans="1:17" x14ac:dyDescent="0.3">
      <c r="A844" t="s">
        <v>1633</v>
      </c>
      <c r="B844" t="s">
        <v>552</v>
      </c>
      <c r="C844" t="s">
        <v>38</v>
      </c>
      <c r="D844" t="s">
        <v>39</v>
      </c>
      <c r="E844">
        <v>26</v>
      </c>
      <c r="F844" t="s">
        <v>51</v>
      </c>
      <c r="G844" t="s">
        <v>104</v>
      </c>
      <c r="H844" t="s">
        <v>22</v>
      </c>
      <c r="I844" t="s">
        <v>84</v>
      </c>
      <c r="J844" t="s">
        <v>80</v>
      </c>
      <c r="K844">
        <v>5</v>
      </c>
      <c r="L844">
        <v>50000</v>
      </c>
      <c r="M844">
        <v>25</v>
      </c>
      <c r="N844">
        <v>187500</v>
      </c>
      <c r="O844" t="s">
        <v>35</v>
      </c>
      <c r="P844">
        <v>1</v>
      </c>
      <c r="Q844" t="s">
        <v>26</v>
      </c>
    </row>
    <row r="845" spans="1:17" x14ac:dyDescent="0.3">
      <c r="A845" t="s">
        <v>1634</v>
      </c>
      <c r="B845" t="s">
        <v>1635</v>
      </c>
      <c r="C845" t="s">
        <v>19</v>
      </c>
      <c r="D845" t="s">
        <v>103</v>
      </c>
      <c r="E845">
        <v>35</v>
      </c>
      <c r="F845" t="s">
        <v>21</v>
      </c>
      <c r="G845" t="s">
        <v>21</v>
      </c>
      <c r="H845" t="s">
        <v>22</v>
      </c>
      <c r="I845" t="s">
        <v>23</v>
      </c>
      <c r="J845" t="s">
        <v>24</v>
      </c>
      <c r="K845">
        <v>10</v>
      </c>
      <c r="L845">
        <v>42900</v>
      </c>
      <c r="M845">
        <v>20</v>
      </c>
      <c r="N845">
        <v>343200</v>
      </c>
      <c r="O845" t="s">
        <v>40</v>
      </c>
      <c r="P845">
        <v>2</v>
      </c>
      <c r="Q845" t="s">
        <v>65</v>
      </c>
    </row>
    <row r="846" spans="1:17" x14ac:dyDescent="0.3">
      <c r="A846" t="s">
        <v>1636</v>
      </c>
      <c r="B846" t="s">
        <v>139</v>
      </c>
      <c r="C846" t="s">
        <v>121</v>
      </c>
      <c r="D846" t="s">
        <v>39</v>
      </c>
      <c r="E846">
        <v>48</v>
      </c>
      <c r="F846" t="s">
        <v>30</v>
      </c>
      <c r="G846" t="s">
        <v>57</v>
      </c>
      <c r="H846" t="s">
        <v>22</v>
      </c>
      <c r="I846" t="s">
        <v>23</v>
      </c>
      <c r="J846" t="s">
        <v>80</v>
      </c>
      <c r="K846">
        <v>4</v>
      </c>
      <c r="L846">
        <v>2100</v>
      </c>
      <c r="M846">
        <v>15</v>
      </c>
      <c r="N846">
        <v>7140</v>
      </c>
      <c r="O846" t="s">
        <v>25</v>
      </c>
      <c r="P846">
        <v>5</v>
      </c>
      <c r="Q846" t="s">
        <v>41</v>
      </c>
    </row>
    <row r="847" spans="1:17" x14ac:dyDescent="0.3">
      <c r="A847" t="s">
        <v>1637</v>
      </c>
      <c r="B847" t="s">
        <v>1110</v>
      </c>
      <c r="C847" t="s">
        <v>113</v>
      </c>
      <c r="D847" t="s">
        <v>83</v>
      </c>
      <c r="E847">
        <v>43</v>
      </c>
      <c r="F847" t="s">
        <v>77</v>
      </c>
      <c r="G847" t="s">
        <v>78</v>
      </c>
      <c r="H847" t="s">
        <v>32</v>
      </c>
      <c r="I847" t="s">
        <v>53</v>
      </c>
      <c r="J847" t="s">
        <v>89</v>
      </c>
      <c r="K847">
        <v>10</v>
      </c>
      <c r="L847">
        <v>41000</v>
      </c>
      <c r="M847">
        <v>20</v>
      </c>
      <c r="N847">
        <v>328000</v>
      </c>
      <c r="O847" t="s">
        <v>73</v>
      </c>
      <c r="Q847" t="s">
        <v>74</v>
      </c>
    </row>
    <row r="848" spans="1:17" x14ac:dyDescent="0.3">
      <c r="A848" t="s">
        <v>1638</v>
      </c>
      <c r="B848" t="s">
        <v>1639</v>
      </c>
      <c r="C848" t="s">
        <v>121</v>
      </c>
      <c r="D848" t="s">
        <v>20</v>
      </c>
      <c r="E848">
        <v>51</v>
      </c>
      <c r="F848" t="s">
        <v>77</v>
      </c>
      <c r="G848" t="s">
        <v>95</v>
      </c>
      <c r="H848" t="s">
        <v>22</v>
      </c>
      <c r="I848" t="s">
        <v>23</v>
      </c>
      <c r="J848" t="s">
        <v>72</v>
      </c>
      <c r="K848">
        <v>6</v>
      </c>
      <c r="L848">
        <v>15400</v>
      </c>
      <c r="M848">
        <v>20</v>
      </c>
      <c r="N848">
        <v>73920</v>
      </c>
      <c r="O848" t="s">
        <v>25</v>
      </c>
      <c r="P848">
        <v>2</v>
      </c>
      <c r="Q848" t="s">
        <v>26</v>
      </c>
    </row>
    <row r="849" spans="1:17" x14ac:dyDescent="0.3">
      <c r="A849" t="s">
        <v>1640</v>
      </c>
      <c r="B849" t="s">
        <v>1525</v>
      </c>
      <c r="C849" t="s">
        <v>38</v>
      </c>
      <c r="D849" t="s">
        <v>83</v>
      </c>
      <c r="E849">
        <v>61</v>
      </c>
      <c r="F849" t="s">
        <v>77</v>
      </c>
      <c r="G849" t="s">
        <v>78</v>
      </c>
      <c r="H849" t="s">
        <v>46</v>
      </c>
      <c r="I849" t="s">
        <v>79</v>
      </c>
      <c r="J849" t="s">
        <v>80</v>
      </c>
      <c r="K849" t="s">
        <v>1072</v>
      </c>
      <c r="L849">
        <v>39500</v>
      </c>
      <c r="M849">
        <v>25</v>
      </c>
      <c r="N849">
        <v>237000</v>
      </c>
      <c r="O849" t="s">
        <v>73</v>
      </c>
      <c r="Q849" t="s">
        <v>41</v>
      </c>
    </row>
    <row r="850" spans="1:17" x14ac:dyDescent="0.3">
      <c r="A850" t="s">
        <v>1641</v>
      </c>
      <c r="B850" t="s">
        <v>1642</v>
      </c>
      <c r="C850" t="s">
        <v>38</v>
      </c>
      <c r="D850" t="s">
        <v>20</v>
      </c>
      <c r="E850">
        <v>-3</v>
      </c>
      <c r="F850" t="s">
        <v>51</v>
      </c>
      <c r="G850" t="s">
        <v>104</v>
      </c>
      <c r="H850" t="s">
        <v>46</v>
      </c>
      <c r="I850" t="s">
        <v>79</v>
      </c>
      <c r="J850" t="s">
        <v>80</v>
      </c>
      <c r="K850">
        <v>9</v>
      </c>
      <c r="L850">
        <v>15500</v>
      </c>
      <c r="M850">
        <v>10</v>
      </c>
      <c r="N850">
        <v>125550</v>
      </c>
      <c r="O850" t="s">
        <v>25</v>
      </c>
      <c r="P850">
        <v>3</v>
      </c>
      <c r="Q850" t="s">
        <v>65</v>
      </c>
    </row>
    <row r="851" spans="1:17" x14ac:dyDescent="0.3">
      <c r="A851" t="s">
        <v>1643</v>
      </c>
      <c r="B851" t="s">
        <v>1097</v>
      </c>
      <c r="C851" t="s">
        <v>38</v>
      </c>
      <c r="D851" t="s">
        <v>83</v>
      </c>
      <c r="E851">
        <v>37</v>
      </c>
      <c r="F851" t="s">
        <v>44</v>
      </c>
      <c r="G851" t="s">
        <v>45</v>
      </c>
      <c r="H851" t="s">
        <v>62</v>
      </c>
      <c r="I851" t="s">
        <v>140</v>
      </c>
      <c r="J851" t="s">
        <v>24</v>
      </c>
      <c r="K851">
        <v>2</v>
      </c>
      <c r="L851">
        <v>44100</v>
      </c>
      <c r="M851">
        <v>5</v>
      </c>
      <c r="N851">
        <v>83790</v>
      </c>
      <c r="O851" t="s">
        <v>48</v>
      </c>
      <c r="P851">
        <v>1</v>
      </c>
      <c r="Q851" t="s">
        <v>41</v>
      </c>
    </row>
    <row r="852" spans="1:17" x14ac:dyDescent="0.3">
      <c r="A852" t="s">
        <v>1644</v>
      </c>
      <c r="B852" t="s">
        <v>210</v>
      </c>
      <c r="C852" t="s">
        <v>68</v>
      </c>
      <c r="E852">
        <v>55</v>
      </c>
      <c r="F852" t="s">
        <v>77</v>
      </c>
      <c r="G852" t="s">
        <v>78</v>
      </c>
      <c r="H852" t="s">
        <v>32</v>
      </c>
      <c r="I852" t="s">
        <v>33</v>
      </c>
      <c r="J852" t="s">
        <v>24</v>
      </c>
      <c r="K852">
        <v>3</v>
      </c>
      <c r="L852">
        <v>20600</v>
      </c>
      <c r="M852">
        <v>5</v>
      </c>
      <c r="N852">
        <v>58710</v>
      </c>
      <c r="O852" t="s">
        <v>25</v>
      </c>
      <c r="P852">
        <v>4</v>
      </c>
      <c r="Q852" t="s">
        <v>65</v>
      </c>
    </row>
    <row r="853" spans="1:17" x14ac:dyDescent="0.3">
      <c r="A853" t="s">
        <v>1645</v>
      </c>
      <c r="B853" t="s">
        <v>1558</v>
      </c>
      <c r="C853" t="s">
        <v>88</v>
      </c>
      <c r="D853" t="s">
        <v>103</v>
      </c>
      <c r="E853">
        <v>57</v>
      </c>
      <c r="F853" t="s">
        <v>44</v>
      </c>
      <c r="G853" t="s">
        <v>100</v>
      </c>
      <c r="H853" t="s">
        <v>62</v>
      </c>
      <c r="I853" t="s">
        <v>140</v>
      </c>
      <c r="J853" t="s">
        <v>89</v>
      </c>
      <c r="K853">
        <v>1</v>
      </c>
      <c r="L853">
        <v>43700</v>
      </c>
      <c r="M853">
        <v>15</v>
      </c>
      <c r="N853">
        <v>37145</v>
      </c>
      <c r="O853" t="s">
        <v>85</v>
      </c>
      <c r="P853">
        <v>3</v>
      </c>
      <c r="Q853" t="s">
        <v>41</v>
      </c>
    </row>
    <row r="854" spans="1:17" x14ac:dyDescent="0.3">
      <c r="A854" t="s">
        <v>1646</v>
      </c>
      <c r="B854" t="s">
        <v>1647</v>
      </c>
      <c r="C854" t="s">
        <v>68</v>
      </c>
      <c r="D854" t="s">
        <v>83</v>
      </c>
      <c r="E854">
        <v>43</v>
      </c>
      <c r="F854" t="s">
        <v>21</v>
      </c>
      <c r="G854" t="s">
        <v>21</v>
      </c>
      <c r="H854" t="s">
        <v>46</v>
      </c>
      <c r="I854" t="s">
        <v>79</v>
      </c>
      <c r="J854" t="s">
        <v>24</v>
      </c>
      <c r="K854">
        <v>5</v>
      </c>
      <c r="L854">
        <v>45900</v>
      </c>
      <c r="M854">
        <v>15</v>
      </c>
      <c r="N854">
        <v>195075</v>
      </c>
      <c r="O854" t="s">
        <v>85</v>
      </c>
      <c r="P854">
        <v>4</v>
      </c>
      <c r="Q854" t="s">
        <v>65</v>
      </c>
    </row>
    <row r="855" spans="1:17" x14ac:dyDescent="0.3">
      <c r="A855" t="s">
        <v>1648</v>
      </c>
      <c r="B855" t="s">
        <v>1649</v>
      </c>
      <c r="C855" t="s">
        <v>68</v>
      </c>
      <c r="D855" t="s">
        <v>20</v>
      </c>
      <c r="E855">
        <v>36</v>
      </c>
      <c r="F855" t="s">
        <v>21</v>
      </c>
      <c r="G855" t="s">
        <v>21</v>
      </c>
      <c r="H855" t="s">
        <v>46</v>
      </c>
      <c r="I855" t="s">
        <v>79</v>
      </c>
      <c r="J855" t="s">
        <v>72</v>
      </c>
      <c r="K855">
        <v>3</v>
      </c>
      <c r="L855">
        <v>30900</v>
      </c>
      <c r="M855">
        <v>15</v>
      </c>
      <c r="N855">
        <v>78795</v>
      </c>
      <c r="O855" t="s">
        <v>85</v>
      </c>
      <c r="Q855" t="s">
        <v>26</v>
      </c>
    </row>
    <row r="856" spans="1:17" x14ac:dyDescent="0.3">
      <c r="A856" t="s">
        <v>1650</v>
      </c>
      <c r="B856" t="s">
        <v>1651</v>
      </c>
      <c r="C856" t="s">
        <v>38</v>
      </c>
      <c r="D856" t="s">
        <v>39</v>
      </c>
      <c r="E856">
        <v>44</v>
      </c>
      <c r="F856" t="s">
        <v>30</v>
      </c>
      <c r="G856" t="s">
        <v>57</v>
      </c>
      <c r="H856" t="s">
        <v>22</v>
      </c>
      <c r="I856" t="s">
        <v>23</v>
      </c>
      <c r="J856" t="s">
        <v>72</v>
      </c>
      <c r="K856">
        <v>9</v>
      </c>
      <c r="L856">
        <v>30300</v>
      </c>
      <c r="M856">
        <v>25</v>
      </c>
      <c r="N856">
        <v>204525</v>
      </c>
      <c r="O856" t="s">
        <v>40</v>
      </c>
      <c r="Q856" t="s">
        <v>26</v>
      </c>
    </row>
    <row r="857" spans="1:17" x14ac:dyDescent="0.3">
      <c r="A857" t="s">
        <v>1652</v>
      </c>
      <c r="B857" t="s">
        <v>1653</v>
      </c>
      <c r="C857" t="s">
        <v>68</v>
      </c>
      <c r="D857" t="s">
        <v>20</v>
      </c>
      <c r="E857">
        <v>53</v>
      </c>
      <c r="F857" t="s">
        <v>30</v>
      </c>
      <c r="G857" t="s">
        <v>31</v>
      </c>
      <c r="H857" t="s">
        <v>46</v>
      </c>
      <c r="I857" t="s">
        <v>79</v>
      </c>
      <c r="J857" t="s">
        <v>64</v>
      </c>
      <c r="K857">
        <v>7</v>
      </c>
      <c r="L857">
        <v>16500</v>
      </c>
      <c r="M857">
        <v>20</v>
      </c>
      <c r="N857">
        <v>92400</v>
      </c>
      <c r="O857" t="s">
        <v>85</v>
      </c>
      <c r="P857">
        <v>5</v>
      </c>
      <c r="Q857" t="s">
        <v>74</v>
      </c>
    </row>
    <row r="858" spans="1:17" x14ac:dyDescent="0.3">
      <c r="A858" t="s">
        <v>1654</v>
      </c>
      <c r="B858" t="s">
        <v>1655</v>
      </c>
      <c r="C858" t="s">
        <v>60</v>
      </c>
      <c r="D858" t="s">
        <v>83</v>
      </c>
      <c r="E858">
        <v>61</v>
      </c>
      <c r="F858" t="s">
        <v>61</v>
      </c>
      <c r="G858" t="s">
        <v>61</v>
      </c>
      <c r="H858" t="s">
        <v>32</v>
      </c>
      <c r="I858" t="s">
        <v>33</v>
      </c>
      <c r="J858" t="s">
        <v>72</v>
      </c>
      <c r="K858">
        <v>5</v>
      </c>
      <c r="L858">
        <v>2100</v>
      </c>
      <c r="M858">
        <v>25</v>
      </c>
      <c r="N858">
        <v>7875</v>
      </c>
      <c r="O858" t="s">
        <v>73</v>
      </c>
      <c r="Q858" t="s">
        <v>26</v>
      </c>
    </row>
    <row r="859" spans="1:17" x14ac:dyDescent="0.3">
      <c r="A859" t="s">
        <v>1656</v>
      </c>
      <c r="B859" t="s">
        <v>1657</v>
      </c>
      <c r="C859" t="s">
        <v>88</v>
      </c>
      <c r="D859" t="s">
        <v>103</v>
      </c>
      <c r="E859">
        <v>46</v>
      </c>
      <c r="F859" t="s">
        <v>61</v>
      </c>
      <c r="G859" t="s">
        <v>61</v>
      </c>
      <c r="H859" t="s">
        <v>46</v>
      </c>
      <c r="I859" t="s">
        <v>47</v>
      </c>
      <c r="J859" t="s">
        <v>24</v>
      </c>
      <c r="K859">
        <v>6</v>
      </c>
      <c r="L859">
        <v>6000</v>
      </c>
      <c r="M859">
        <v>5</v>
      </c>
      <c r="N859">
        <v>34200</v>
      </c>
      <c r="O859" t="s">
        <v>35</v>
      </c>
      <c r="P859">
        <v>2</v>
      </c>
      <c r="Q859" t="s">
        <v>65</v>
      </c>
    </row>
    <row r="860" spans="1:17" x14ac:dyDescent="0.3">
      <c r="A860" t="s">
        <v>1658</v>
      </c>
      <c r="B860" t="s">
        <v>234</v>
      </c>
      <c r="C860" t="s">
        <v>68</v>
      </c>
      <c r="E860">
        <v>31</v>
      </c>
      <c r="F860" t="s">
        <v>30</v>
      </c>
      <c r="G860" t="s">
        <v>57</v>
      </c>
      <c r="H860" t="s">
        <v>62</v>
      </c>
      <c r="I860" t="s">
        <v>140</v>
      </c>
      <c r="J860" t="s">
        <v>34</v>
      </c>
      <c r="K860">
        <v>3</v>
      </c>
      <c r="L860">
        <v>20600</v>
      </c>
      <c r="M860">
        <v>5</v>
      </c>
      <c r="N860">
        <v>58710</v>
      </c>
      <c r="O860" t="s">
        <v>40</v>
      </c>
      <c r="P860">
        <v>3</v>
      </c>
      <c r="Q860" t="s">
        <v>26</v>
      </c>
    </row>
    <row r="861" spans="1:17" x14ac:dyDescent="0.3">
      <c r="A861" t="s">
        <v>1659</v>
      </c>
      <c r="B861" t="s">
        <v>1660</v>
      </c>
      <c r="C861" t="s">
        <v>121</v>
      </c>
      <c r="D861" t="s">
        <v>103</v>
      </c>
      <c r="E861">
        <v>20</v>
      </c>
      <c r="F861" t="s">
        <v>61</v>
      </c>
      <c r="G861" t="s">
        <v>61</v>
      </c>
      <c r="H861" t="s">
        <v>22</v>
      </c>
      <c r="I861" t="s">
        <v>84</v>
      </c>
      <c r="J861" t="s">
        <v>24</v>
      </c>
      <c r="K861">
        <v>8</v>
      </c>
      <c r="L861">
        <v>23200</v>
      </c>
      <c r="M861">
        <v>10</v>
      </c>
      <c r="N861">
        <v>167040</v>
      </c>
      <c r="O861" t="s">
        <v>85</v>
      </c>
      <c r="P861">
        <v>3</v>
      </c>
      <c r="Q861" t="s">
        <v>65</v>
      </c>
    </row>
    <row r="862" spans="1:17" x14ac:dyDescent="0.3">
      <c r="A862" t="s">
        <v>1661</v>
      </c>
      <c r="B862" t="s">
        <v>737</v>
      </c>
      <c r="C862" t="s">
        <v>68</v>
      </c>
      <c r="D862" t="s">
        <v>39</v>
      </c>
      <c r="E862">
        <v>34</v>
      </c>
      <c r="F862" t="s">
        <v>44</v>
      </c>
      <c r="G862" t="s">
        <v>100</v>
      </c>
      <c r="H862" t="s">
        <v>22</v>
      </c>
      <c r="I862" t="s">
        <v>23</v>
      </c>
      <c r="J862" t="s">
        <v>89</v>
      </c>
      <c r="K862">
        <v>7</v>
      </c>
      <c r="L862">
        <v>16600</v>
      </c>
      <c r="M862">
        <v>0</v>
      </c>
      <c r="N862">
        <v>116200</v>
      </c>
      <c r="O862" t="s">
        <v>25</v>
      </c>
      <c r="Q862" t="s">
        <v>26</v>
      </c>
    </row>
    <row r="863" spans="1:17" x14ac:dyDescent="0.3">
      <c r="A863" t="s">
        <v>1662</v>
      </c>
      <c r="B863" t="s">
        <v>774</v>
      </c>
      <c r="C863" t="s">
        <v>113</v>
      </c>
      <c r="E863">
        <v>63</v>
      </c>
      <c r="F863" t="s">
        <v>30</v>
      </c>
      <c r="G863" t="s">
        <v>31</v>
      </c>
      <c r="H863" t="s">
        <v>22</v>
      </c>
      <c r="I863" t="s">
        <v>84</v>
      </c>
      <c r="J863" t="s">
        <v>72</v>
      </c>
      <c r="K863">
        <v>1</v>
      </c>
      <c r="L863">
        <v>7400</v>
      </c>
      <c r="M863">
        <v>10</v>
      </c>
      <c r="N863">
        <v>6660</v>
      </c>
      <c r="O863" t="s">
        <v>25</v>
      </c>
      <c r="P863">
        <v>3</v>
      </c>
      <c r="Q863" t="s">
        <v>74</v>
      </c>
    </row>
    <row r="864" spans="1:17" x14ac:dyDescent="0.3">
      <c r="A864" t="s">
        <v>1663</v>
      </c>
      <c r="B864" t="s">
        <v>246</v>
      </c>
      <c r="C864" t="s">
        <v>113</v>
      </c>
      <c r="D864" t="s">
        <v>20</v>
      </c>
      <c r="E864">
        <v>47</v>
      </c>
      <c r="F864" t="s">
        <v>77</v>
      </c>
      <c r="G864" t="s">
        <v>95</v>
      </c>
      <c r="H864" t="s">
        <v>46</v>
      </c>
      <c r="I864" t="s">
        <v>47</v>
      </c>
      <c r="J864" t="s">
        <v>72</v>
      </c>
      <c r="K864">
        <v>2</v>
      </c>
      <c r="L864">
        <v>50000</v>
      </c>
      <c r="M864">
        <v>10</v>
      </c>
      <c r="N864">
        <v>90000</v>
      </c>
      <c r="O864" t="s">
        <v>85</v>
      </c>
      <c r="P864">
        <v>5</v>
      </c>
      <c r="Q864" t="s">
        <v>74</v>
      </c>
    </row>
    <row r="865" spans="1:17" x14ac:dyDescent="0.3">
      <c r="A865" t="s">
        <v>1664</v>
      </c>
      <c r="B865" t="s">
        <v>1665</v>
      </c>
      <c r="C865" t="s">
        <v>88</v>
      </c>
      <c r="D865" t="s">
        <v>39</v>
      </c>
      <c r="E865">
        <v>54</v>
      </c>
      <c r="F865" t="s">
        <v>61</v>
      </c>
      <c r="G865" t="s">
        <v>61</v>
      </c>
      <c r="H865" t="s">
        <v>62</v>
      </c>
      <c r="I865" t="s">
        <v>140</v>
      </c>
      <c r="J865" t="s">
        <v>89</v>
      </c>
      <c r="K865">
        <v>5</v>
      </c>
      <c r="L865">
        <v>48300</v>
      </c>
      <c r="M865">
        <v>5</v>
      </c>
      <c r="N865">
        <v>229425</v>
      </c>
      <c r="O865" t="s">
        <v>25</v>
      </c>
      <c r="P865">
        <v>2</v>
      </c>
      <c r="Q865" t="s">
        <v>41</v>
      </c>
    </row>
    <row r="866" spans="1:17" x14ac:dyDescent="0.3">
      <c r="A866" t="s">
        <v>1666</v>
      </c>
      <c r="B866" t="s">
        <v>1667</v>
      </c>
      <c r="C866" t="s">
        <v>38</v>
      </c>
      <c r="D866" t="s">
        <v>39</v>
      </c>
      <c r="E866">
        <v>63</v>
      </c>
      <c r="F866" t="s">
        <v>461</v>
      </c>
      <c r="G866" t="s">
        <v>21</v>
      </c>
      <c r="H866" t="s">
        <v>431</v>
      </c>
      <c r="I866" t="s">
        <v>47</v>
      </c>
      <c r="J866" t="s">
        <v>24</v>
      </c>
      <c r="K866">
        <v>9</v>
      </c>
      <c r="L866">
        <v>17400</v>
      </c>
      <c r="M866">
        <v>10</v>
      </c>
      <c r="N866">
        <v>140940</v>
      </c>
      <c r="O866" t="s">
        <v>48</v>
      </c>
      <c r="Q866" t="s">
        <v>26</v>
      </c>
    </row>
    <row r="867" spans="1:17" x14ac:dyDescent="0.3">
      <c r="A867" t="s">
        <v>1668</v>
      </c>
      <c r="B867" t="s">
        <v>639</v>
      </c>
      <c r="C867" t="s">
        <v>68</v>
      </c>
      <c r="E867">
        <v>43</v>
      </c>
      <c r="F867" t="s">
        <v>51</v>
      </c>
      <c r="G867" t="s">
        <v>52</v>
      </c>
      <c r="H867" t="s">
        <v>22</v>
      </c>
      <c r="I867" t="s">
        <v>84</v>
      </c>
      <c r="J867" t="s">
        <v>72</v>
      </c>
      <c r="K867">
        <v>10</v>
      </c>
      <c r="L867">
        <v>10100</v>
      </c>
      <c r="M867">
        <v>5</v>
      </c>
      <c r="N867">
        <v>95950</v>
      </c>
      <c r="O867" t="s">
        <v>40</v>
      </c>
      <c r="P867">
        <v>1</v>
      </c>
      <c r="Q867" t="s">
        <v>74</v>
      </c>
    </row>
    <row r="868" spans="1:17" x14ac:dyDescent="0.3">
      <c r="A868" t="s">
        <v>1669</v>
      </c>
      <c r="B868" t="s">
        <v>494</v>
      </c>
      <c r="C868" t="s">
        <v>60</v>
      </c>
      <c r="D868" t="s">
        <v>83</v>
      </c>
      <c r="E868">
        <v>52</v>
      </c>
      <c r="F868" t="s">
        <v>61</v>
      </c>
      <c r="G868" t="s">
        <v>61</v>
      </c>
      <c r="H868" t="s">
        <v>46</v>
      </c>
      <c r="I868" t="s">
        <v>47</v>
      </c>
      <c r="J868" t="s">
        <v>80</v>
      </c>
      <c r="K868">
        <v>7</v>
      </c>
      <c r="L868">
        <v>2700</v>
      </c>
      <c r="M868">
        <v>5</v>
      </c>
      <c r="N868">
        <v>17955</v>
      </c>
      <c r="O868" t="s">
        <v>25</v>
      </c>
      <c r="P868">
        <v>1</v>
      </c>
      <c r="Q868" t="s">
        <v>41</v>
      </c>
    </row>
    <row r="869" spans="1:17" x14ac:dyDescent="0.3">
      <c r="A869" t="s">
        <v>1670</v>
      </c>
      <c r="B869" t="s">
        <v>250</v>
      </c>
      <c r="C869" t="s">
        <v>60</v>
      </c>
      <c r="D869" t="s">
        <v>103</v>
      </c>
      <c r="E869">
        <v>43</v>
      </c>
      <c r="F869" t="s">
        <v>77</v>
      </c>
      <c r="G869" t="s">
        <v>78</v>
      </c>
      <c r="H869" t="s">
        <v>46</v>
      </c>
      <c r="I869" t="s">
        <v>47</v>
      </c>
      <c r="J869" t="s">
        <v>24</v>
      </c>
      <c r="K869">
        <v>2</v>
      </c>
      <c r="L869">
        <v>10700</v>
      </c>
      <c r="M869">
        <v>15</v>
      </c>
      <c r="N869">
        <v>18190</v>
      </c>
      <c r="O869" t="s">
        <v>73</v>
      </c>
      <c r="P869">
        <v>5</v>
      </c>
      <c r="Q869" t="s">
        <v>74</v>
      </c>
    </row>
    <row r="870" spans="1:17" x14ac:dyDescent="0.3">
      <c r="A870" t="s">
        <v>1671</v>
      </c>
      <c r="B870" t="s">
        <v>1095</v>
      </c>
      <c r="C870" t="s">
        <v>19</v>
      </c>
      <c r="D870" t="s">
        <v>103</v>
      </c>
      <c r="E870">
        <v>64</v>
      </c>
      <c r="F870" t="s">
        <v>61</v>
      </c>
      <c r="G870" t="s">
        <v>61</v>
      </c>
      <c r="H870" t="s">
        <v>46</v>
      </c>
      <c r="I870" t="s">
        <v>79</v>
      </c>
      <c r="J870" t="s">
        <v>64</v>
      </c>
      <c r="K870">
        <v>7</v>
      </c>
      <c r="L870">
        <v>26500</v>
      </c>
      <c r="M870">
        <v>10</v>
      </c>
      <c r="N870">
        <v>166950</v>
      </c>
      <c r="O870" t="s">
        <v>73</v>
      </c>
      <c r="P870">
        <v>1</v>
      </c>
      <c r="Q870" t="s">
        <v>74</v>
      </c>
    </row>
    <row r="871" spans="1:17" x14ac:dyDescent="0.3">
      <c r="A871" t="s">
        <v>1672</v>
      </c>
      <c r="B871" t="s">
        <v>1673</v>
      </c>
      <c r="C871" t="s">
        <v>94</v>
      </c>
      <c r="D871" t="s">
        <v>39</v>
      </c>
      <c r="E871">
        <v>28</v>
      </c>
      <c r="F871" t="s">
        <v>21</v>
      </c>
      <c r="G871" t="s">
        <v>21</v>
      </c>
      <c r="H871" t="s">
        <v>32</v>
      </c>
      <c r="I871" t="s">
        <v>53</v>
      </c>
      <c r="J871" t="s">
        <v>64</v>
      </c>
      <c r="K871">
        <v>8</v>
      </c>
      <c r="L871">
        <v>41000</v>
      </c>
      <c r="M871">
        <v>15</v>
      </c>
      <c r="N871">
        <v>278800</v>
      </c>
      <c r="O871" t="s">
        <v>85</v>
      </c>
      <c r="Q871" t="s">
        <v>26</v>
      </c>
    </row>
    <row r="872" spans="1:17" x14ac:dyDescent="0.3">
      <c r="A872" t="s">
        <v>1674</v>
      </c>
      <c r="B872" t="s">
        <v>208</v>
      </c>
      <c r="C872" t="s">
        <v>29</v>
      </c>
      <c r="D872" t="s">
        <v>83</v>
      </c>
      <c r="E872">
        <v>28</v>
      </c>
      <c r="F872" t="s">
        <v>51</v>
      </c>
      <c r="G872" t="s">
        <v>52</v>
      </c>
      <c r="H872" t="s">
        <v>62</v>
      </c>
      <c r="I872" t="s">
        <v>63</v>
      </c>
      <c r="J872" t="s">
        <v>24</v>
      </c>
      <c r="K872">
        <v>9</v>
      </c>
      <c r="L872">
        <v>27000</v>
      </c>
      <c r="M872">
        <v>20</v>
      </c>
      <c r="N872">
        <v>194400</v>
      </c>
      <c r="O872" t="s">
        <v>35</v>
      </c>
      <c r="P872">
        <v>2</v>
      </c>
      <c r="Q872" t="s">
        <v>26</v>
      </c>
    </row>
    <row r="873" spans="1:17" x14ac:dyDescent="0.3">
      <c r="A873" t="s">
        <v>1675</v>
      </c>
      <c r="B873" t="s">
        <v>139</v>
      </c>
      <c r="C873" t="s">
        <v>60</v>
      </c>
      <c r="D873" t="s">
        <v>39</v>
      </c>
      <c r="E873">
        <v>-3</v>
      </c>
      <c r="F873" t="s">
        <v>51</v>
      </c>
      <c r="G873" t="s">
        <v>104</v>
      </c>
      <c r="H873" t="s">
        <v>62</v>
      </c>
      <c r="I873" t="s">
        <v>140</v>
      </c>
      <c r="J873" t="s">
        <v>72</v>
      </c>
      <c r="K873">
        <v>5</v>
      </c>
      <c r="L873">
        <v>28200</v>
      </c>
      <c r="M873">
        <v>5</v>
      </c>
      <c r="N873">
        <v>133950</v>
      </c>
      <c r="O873" t="s">
        <v>25</v>
      </c>
      <c r="P873">
        <v>2</v>
      </c>
      <c r="Q873" t="s">
        <v>26</v>
      </c>
    </row>
    <row r="874" spans="1:17" x14ac:dyDescent="0.3">
      <c r="A874" t="s">
        <v>1676</v>
      </c>
      <c r="B874" t="s">
        <v>139</v>
      </c>
      <c r="C874" t="s">
        <v>68</v>
      </c>
      <c r="D874" t="s">
        <v>83</v>
      </c>
      <c r="E874">
        <v>52</v>
      </c>
      <c r="F874" t="s">
        <v>61</v>
      </c>
      <c r="G874" t="s">
        <v>61</v>
      </c>
      <c r="H874" t="s">
        <v>62</v>
      </c>
      <c r="I874" t="s">
        <v>140</v>
      </c>
      <c r="J874" t="s">
        <v>72</v>
      </c>
      <c r="K874">
        <v>9</v>
      </c>
      <c r="L874">
        <v>43300</v>
      </c>
      <c r="M874">
        <v>5</v>
      </c>
      <c r="N874">
        <v>370215</v>
      </c>
      <c r="O874" t="s">
        <v>73</v>
      </c>
      <c r="Q874" t="s">
        <v>26</v>
      </c>
    </row>
    <row r="875" spans="1:17" x14ac:dyDescent="0.3">
      <c r="A875" t="s">
        <v>1677</v>
      </c>
      <c r="B875" t="s">
        <v>611</v>
      </c>
      <c r="C875" t="s">
        <v>121</v>
      </c>
      <c r="D875" t="s">
        <v>103</v>
      </c>
      <c r="E875">
        <v>29</v>
      </c>
      <c r="F875" t="s">
        <v>51</v>
      </c>
      <c r="G875" t="s">
        <v>104</v>
      </c>
      <c r="H875" t="s">
        <v>46</v>
      </c>
      <c r="I875" t="s">
        <v>79</v>
      </c>
      <c r="J875" t="s">
        <v>64</v>
      </c>
      <c r="K875">
        <v>9</v>
      </c>
      <c r="L875">
        <v>23100</v>
      </c>
      <c r="M875">
        <v>20</v>
      </c>
      <c r="N875">
        <v>166320</v>
      </c>
      <c r="O875" t="s">
        <v>40</v>
      </c>
      <c r="P875">
        <v>4</v>
      </c>
      <c r="Q875" t="s">
        <v>26</v>
      </c>
    </row>
    <row r="876" spans="1:17" x14ac:dyDescent="0.3">
      <c r="A876" t="s">
        <v>1678</v>
      </c>
      <c r="B876" t="s">
        <v>1679</v>
      </c>
      <c r="C876" t="s">
        <v>68</v>
      </c>
      <c r="E876">
        <v>57</v>
      </c>
      <c r="F876" t="s">
        <v>61</v>
      </c>
      <c r="G876" t="s">
        <v>61</v>
      </c>
      <c r="H876" t="s">
        <v>22</v>
      </c>
      <c r="I876" t="s">
        <v>84</v>
      </c>
      <c r="J876" t="s">
        <v>72</v>
      </c>
      <c r="K876" t="s">
        <v>562</v>
      </c>
      <c r="L876">
        <v>37000</v>
      </c>
      <c r="M876">
        <v>0</v>
      </c>
      <c r="N876">
        <v>148000</v>
      </c>
      <c r="O876" t="s">
        <v>35</v>
      </c>
      <c r="P876">
        <v>2</v>
      </c>
      <c r="Q876" t="s">
        <v>26</v>
      </c>
    </row>
    <row r="877" spans="1:17" x14ac:dyDescent="0.3">
      <c r="A877" t="s">
        <v>1680</v>
      </c>
      <c r="B877" t="s">
        <v>1681</v>
      </c>
      <c r="C877" t="s">
        <v>38</v>
      </c>
      <c r="D877" t="s">
        <v>39</v>
      </c>
      <c r="E877">
        <v>18</v>
      </c>
      <c r="F877" t="s">
        <v>21</v>
      </c>
      <c r="G877" t="s">
        <v>21</v>
      </c>
      <c r="H877" t="s">
        <v>32</v>
      </c>
      <c r="I877" t="s">
        <v>33</v>
      </c>
      <c r="J877" t="s">
        <v>89</v>
      </c>
      <c r="K877">
        <v>4</v>
      </c>
      <c r="L877">
        <v>28200</v>
      </c>
      <c r="M877">
        <v>10</v>
      </c>
      <c r="N877">
        <v>101520</v>
      </c>
      <c r="O877" t="s">
        <v>48</v>
      </c>
      <c r="Q877" t="s">
        <v>65</v>
      </c>
    </row>
    <row r="878" spans="1:17" x14ac:dyDescent="0.3">
      <c r="A878" t="s">
        <v>1682</v>
      </c>
      <c r="B878" t="s">
        <v>581</v>
      </c>
      <c r="C878" t="s">
        <v>29</v>
      </c>
      <c r="E878">
        <v>40</v>
      </c>
      <c r="F878" t="s">
        <v>77</v>
      </c>
      <c r="G878" t="s">
        <v>95</v>
      </c>
      <c r="H878" t="s">
        <v>22</v>
      </c>
      <c r="I878" t="s">
        <v>23</v>
      </c>
      <c r="J878" t="s">
        <v>34</v>
      </c>
      <c r="K878">
        <v>9</v>
      </c>
      <c r="L878">
        <v>32400</v>
      </c>
      <c r="M878">
        <v>5</v>
      </c>
      <c r="N878">
        <v>277020</v>
      </c>
      <c r="O878" t="s">
        <v>40</v>
      </c>
      <c r="P878">
        <v>2</v>
      </c>
      <c r="Q878" t="s">
        <v>26</v>
      </c>
    </row>
    <row r="879" spans="1:17" x14ac:dyDescent="0.3">
      <c r="A879" t="s">
        <v>1683</v>
      </c>
      <c r="B879" t="s">
        <v>1561</v>
      </c>
      <c r="C879" t="s">
        <v>29</v>
      </c>
      <c r="D879" t="s">
        <v>103</v>
      </c>
      <c r="E879">
        <v>39</v>
      </c>
      <c r="F879" t="s">
        <v>77</v>
      </c>
      <c r="G879" t="s">
        <v>95</v>
      </c>
      <c r="H879" t="s">
        <v>32</v>
      </c>
      <c r="I879" t="s">
        <v>53</v>
      </c>
      <c r="J879" t="s">
        <v>89</v>
      </c>
      <c r="K879">
        <v>4</v>
      </c>
      <c r="L879">
        <v>22700</v>
      </c>
      <c r="M879">
        <v>5</v>
      </c>
      <c r="N879">
        <v>86260</v>
      </c>
      <c r="O879" t="s">
        <v>85</v>
      </c>
      <c r="P879">
        <v>5</v>
      </c>
      <c r="Q879" t="s">
        <v>41</v>
      </c>
    </row>
    <row r="880" spans="1:17" x14ac:dyDescent="0.3">
      <c r="A880" t="s">
        <v>1684</v>
      </c>
      <c r="B880" t="s">
        <v>1685</v>
      </c>
      <c r="C880" t="s">
        <v>71</v>
      </c>
      <c r="D880" t="s">
        <v>103</v>
      </c>
      <c r="E880">
        <v>-3</v>
      </c>
      <c r="F880" t="s">
        <v>51</v>
      </c>
      <c r="G880" t="s">
        <v>52</v>
      </c>
      <c r="H880" t="s">
        <v>22</v>
      </c>
      <c r="I880" t="s">
        <v>23</v>
      </c>
      <c r="J880" t="s">
        <v>34</v>
      </c>
      <c r="K880">
        <v>1</v>
      </c>
      <c r="L880">
        <v>12200</v>
      </c>
      <c r="M880">
        <v>20</v>
      </c>
      <c r="N880">
        <v>9760</v>
      </c>
      <c r="O880" t="s">
        <v>73</v>
      </c>
      <c r="Q880" t="s">
        <v>74</v>
      </c>
    </row>
    <row r="881" spans="1:17" x14ac:dyDescent="0.3">
      <c r="A881" t="s">
        <v>1686</v>
      </c>
      <c r="B881" t="s">
        <v>1687</v>
      </c>
      <c r="C881" t="s">
        <v>19</v>
      </c>
      <c r="D881" t="s">
        <v>103</v>
      </c>
      <c r="E881">
        <v>44</v>
      </c>
      <c r="F881" t="s">
        <v>61</v>
      </c>
      <c r="G881" t="s">
        <v>61</v>
      </c>
      <c r="H881" t="s">
        <v>62</v>
      </c>
      <c r="I881" t="s">
        <v>63</v>
      </c>
      <c r="J881" t="s">
        <v>80</v>
      </c>
      <c r="K881">
        <v>9</v>
      </c>
      <c r="L881">
        <v>37300</v>
      </c>
      <c r="M881">
        <v>25</v>
      </c>
      <c r="N881">
        <v>251775</v>
      </c>
      <c r="O881" t="s">
        <v>35</v>
      </c>
      <c r="Q881" t="s">
        <v>65</v>
      </c>
    </row>
    <row r="882" spans="1:17" x14ac:dyDescent="0.3">
      <c r="A882" t="s">
        <v>1688</v>
      </c>
      <c r="B882" t="s">
        <v>1689</v>
      </c>
      <c r="C882" t="s">
        <v>121</v>
      </c>
      <c r="D882" t="s">
        <v>103</v>
      </c>
      <c r="E882">
        <v>55</v>
      </c>
      <c r="F882" t="s">
        <v>77</v>
      </c>
      <c r="G882" t="s">
        <v>95</v>
      </c>
      <c r="H882" t="s">
        <v>46</v>
      </c>
      <c r="I882" t="s">
        <v>79</v>
      </c>
      <c r="J882" t="s">
        <v>80</v>
      </c>
      <c r="K882">
        <v>2</v>
      </c>
      <c r="L882">
        <v>7600</v>
      </c>
      <c r="M882">
        <v>15</v>
      </c>
      <c r="N882">
        <v>12920</v>
      </c>
      <c r="O882" t="s">
        <v>40</v>
      </c>
      <c r="P882">
        <v>4</v>
      </c>
      <c r="Q882" t="s">
        <v>65</v>
      </c>
    </row>
    <row r="883" spans="1:17" x14ac:dyDescent="0.3">
      <c r="A883" t="s">
        <v>1690</v>
      </c>
      <c r="B883" t="s">
        <v>498</v>
      </c>
      <c r="C883" t="s">
        <v>88</v>
      </c>
      <c r="D883" t="s">
        <v>20</v>
      </c>
      <c r="E883">
        <v>37</v>
      </c>
      <c r="F883" t="s">
        <v>51</v>
      </c>
      <c r="G883" t="s">
        <v>104</v>
      </c>
      <c r="H883" t="s">
        <v>46</v>
      </c>
      <c r="I883" t="s">
        <v>47</v>
      </c>
      <c r="J883" t="s">
        <v>64</v>
      </c>
      <c r="K883">
        <v>9</v>
      </c>
      <c r="L883">
        <v>12500</v>
      </c>
      <c r="M883">
        <v>10</v>
      </c>
      <c r="N883">
        <v>101250</v>
      </c>
      <c r="O883" t="s">
        <v>40</v>
      </c>
      <c r="P883">
        <v>4</v>
      </c>
      <c r="Q883" t="s">
        <v>65</v>
      </c>
    </row>
    <row r="884" spans="1:17" x14ac:dyDescent="0.3">
      <c r="A884" t="s">
        <v>1691</v>
      </c>
      <c r="B884" t="s">
        <v>1591</v>
      </c>
      <c r="C884" t="s">
        <v>29</v>
      </c>
      <c r="D884" t="s">
        <v>83</v>
      </c>
      <c r="E884">
        <v>36</v>
      </c>
      <c r="F884" t="s">
        <v>30</v>
      </c>
      <c r="G884" t="s">
        <v>57</v>
      </c>
      <c r="H884" t="s">
        <v>46</v>
      </c>
      <c r="I884" t="s">
        <v>47</v>
      </c>
      <c r="J884" t="s">
        <v>80</v>
      </c>
      <c r="K884">
        <v>9</v>
      </c>
      <c r="L884">
        <v>46200</v>
      </c>
      <c r="M884">
        <v>25</v>
      </c>
      <c r="N884">
        <v>311850</v>
      </c>
      <c r="O884" t="s">
        <v>48</v>
      </c>
      <c r="Q884" t="s">
        <v>65</v>
      </c>
    </row>
    <row r="885" spans="1:17" x14ac:dyDescent="0.3">
      <c r="A885" t="s">
        <v>1692</v>
      </c>
      <c r="B885" t="s">
        <v>890</v>
      </c>
      <c r="C885" t="s">
        <v>71</v>
      </c>
      <c r="D885" t="s">
        <v>83</v>
      </c>
      <c r="E885">
        <v>54</v>
      </c>
      <c r="F885" t="s">
        <v>77</v>
      </c>
      <c r="G885" t="s">
        <v>95</v>
      </c>
      <c r="H885" t="s">
        <v>32</v>
      </c>
      <c r="I885" t="s">
        <v>53</v>
      </c>
      <c r="J885" t="s">
        <v>80</v>
      </c>
      <c r="K885">
        <v>4</v>
      </c>
      <c r="L885">
        <v>38600</v>
      </c>
      <c r="M885">
        <v>0</v>
      </c>
      <c r="N885">
        <v>154400</v>
      </c>
      <c r="O885" t="s">
        <v>48</v>
      </c>
      <c r="Q885" t="s">
        <v>26</v>
      </c>
    </row>
    <row r="886" spans="1:17" x14ac:dyDescent="0.3">
      <c r="A886" t="s">
        <v>1693</v>
      </c>
      <c r="B886" t="s">
        <v>1694</v>
      </c>
      <c r="C886" t="s">
        <v>19</v>
      </c>
      <c r="D886" t="s">
        <v>39</v>
      </c>
      <c r="E886">
        <v>64</v>
      </c>
      <c r="F886" t="s">
        <v>77</v>
      </c>
      <c r="G886" t="s">
        <v>78</v>
      </c>
      <c r="H886" t="s">
        <v>116</v>
      </c>
      <c r="I886" t="s">
        <v>84</v>
      </c>
      <c r="J886" t="s">
        <v>24</v>
      </c>
      <c r="K886">
        <v>9</v>
      </c>
      <c r="L886">
        <v>16700</v>
      </c>
      <c r="M886">
        <v>25</v>
      </c>
      <c r="N886">
        <v>112725</v>
      </c>
      <c r="O886" t="s">
        <v>73</v>
      </c>
      <c r="P886">
        <v>5</v>
      </c>
      <c r="Q886" t="s">
        <v>26</v>
      </c>
    </row>
    <row r="887" spans="1:17" x14ac:dyDescent="0.3">
      <c r="A887" t="s">
        <v>1695</v>
      </c>
      <c r="B887" t="s">
        <v>1387</v>
      </c>
      <c r="C887" t="s">
        <v>113</v>
      </c>
      <c r="D887" t="s">
        <v>39</v>
      </c>
      <c r="E887">
        <v>34</v>
      </c>
      <c r="F887" t="s">
        <v>51</v>
      </c>
      <c r="G887" t="s">
        <v>104</v>
      </c>
      <c r="H887" t="s">
        <v>62</v>
      </c>
      <c r="I887" t="s">
        <v>63</v>
      </c>
      <c r="J887" t="s">
        <v>80</v>
      </c>
      <c r="K887">
        <v>7</v>
      </c>
      <c r="L887">
        <v>45800</v>
      </c>
      <c r="M887">
        <v>20</v>
      </c>
      <c r="N887">
        <v>256480</v>
      </c>
      <c r="O887" t="s">
        <v>48</v>
      </c>
      <c r="Q887" t="s">
        <v>26</v>
      </c>
    </row>
    <row r="888" spans="1:17" x14ac:dyDescent="0.3">
      <c r="A888" t="s">
        <v>1696</v>
      </c>
      <c r="B888" t="s">
        <v>1697</v>
      </c>
      <c r="C888" t="s">
        <v>71</v>
      </c>
      <c r="D888" t="s">
        <v>83</v>
      </c>
      <c r="E888">
        <v>39</v>
      </c>
      <c r="F888" t="s">
        <v>61</v>
      </c>
      <c r="G888" t="s">
        <v>61</v>
      </c>
      <c r="H888" t="s">
        <v>431</v>
      </c>
      <c r="I888" t="s">
        <v>79</v>
      </c>
      <c r="J888" t="s">
        <v>72</v>
      </c>
      <c r="K888">
        <v>7</v>
      </c>
      <c r="L888">
        <v>30600</v>
      </c>
      <c r="M888">
        <v>0</v>
      </c>
      <c r="N888">
        <v>214200</v>
      </c>
      <c r="O888" t="s">
        <v>73</v>
      </c>
      <c r="P888">
        <v>3</v>
      </c>
      <c r="Q888" t="s">
        <v>26</v>
      </c>
    </row>
    <row r="889" spans="1:17" x14ac:dyDescent="0.3">
      <c r="A889" t="s">
        <v>1698</v>
      </c>
      <c r="B889" t="s">
        <v>1429</v>
      </c>
      <c r="C889" t="s">
        <v>113</v>
      </c>
      <c r="D889" t="s">
        <v>103</v>
      </c>
      <c r="E889">
        <v>150</v>
      </c>
      <c r="F889" t="s">
        <v>44</v>
      </c>
      <c r="G889" t="s">
        <v>45</v>
      </c>
      <c r="H889" t="s">
        <v>32</v>
      </c>
      <c r="I889" t="s">
        <v>33</v>
      </c>
      <c r="J889" t="s">
        <v>24</v>
      </c>
      <c r="K889">
        <v>9</v>
      </c>
      <c r="L889">
        <v>25900</v>
      </c>
      <c r="M889">
        <v>0</v>
      </c>
      <c r="N889">
        <v>233100</v>
      </c>
      <c r="O889" t="s">
        <v>48</v>
      </c>
      <c r="P889">
        <v>1</v>
      </c>
      <c r="Q889" t="s">
        <v>41</v>
      </c>
    </row>
    <row r="890" spans="1:17" x14ac:dyDescent="0.3">
      <c r="A890" t="s">
        <v>1699</v>
      </c>
      <c r="B890" t="s">
        <v>1700</v>
      </c>
      <c r="C890" t="s">
        <v>121</v>
      </c>
      <c r="D890" t="s">
        <v>103</v>
      </c>
      <c r="E890">
        <v>54</v>
      </c>
      <c r="F890" t="s">
        <v>30</v>
      </c>
      <c r="G890" t="s">
        <v>57</v>
      </c>
      <c r="H890" t="s">
        <v>62</v>
      </c>
      <c r="I890" t="s">
        <v>63</v>
      </c>
      <c r="J890" t="s">
        <v>89</v>
      </c>
      <c r="K890">
        <v>8</v>
      </c>
      <c r="L890">
        <v>6400</v>
      </c>
      <c r="M890">
        <v>5</v>
      </c>
      <c r="N890">
        <v>48640</v>
      </c>
      <c r="O890" t="s">
        <v>25</v>
      </c>
      <c r="P890">
        <v>3</v>
      </c>
      <c r="Q890" t="s">
        <v>26</v>
      </c>
    </row>
    <row r="891" spans="1:17" x14ac:dyDescent="0.3">
      <c r="A891" t="s">
        <v>1701</v>
      </c>
      <c r="B891" t="s">
        <v>1048</v>
      </c>
      <c r="C891" t="s">
        <v>19</v>
      </c>
      <c r="D891" t="s">
        <v>20</v>
      </c>
      <c r="E891">
        <v>36</v>
      </c>
      <c r="F891" t="s">
        <v>277</v>
      </c>
      <c r="G891" t="s">
        <v>100</v>
      </c>
      <c r="H891" t="s">
        <v>32</v>
      </c>
      <c r="I891" t="s">
        <v>33</v>
      </c>
      <c r="J891" t="s">
        <v>72</v>
      </c>
      <c r="K891">
        <v>3</v>
      </c>
      <c r="L891">
        <v>37700</v>
      </c>
      <c r="M891">
        <v>5</v>
      </c>
      <c r="N891">
        <v>107445</v>
      </c>
      <c r="O891" t="s">
        <v>85</v>
      </c>
      <c r="P891">
        <v>2</v>
      </c>
      <c r="Q891" t="s">
        <v>26</v>
      </c>
    </row>
    <row r="892" spans="1:17" x14ac:dyDescent="0.3">
      <c r="A892" t="s">
        <v>1702</v>
      </c>
      <c r="B892" t="s">
        <v>1703</v>
      </c>
      <c r="C892" t="s">
        <v>94</v>
      </c>
      <c r="D892" t="s">
        <v>39</v>
      </c>
      <c r="E892">
        <v>33</v>
      </c>
      <c r="F892" t="s">
        <v>77</v>
      </c>
      <c r="G892" t="s">
        <v>78</v>
      </c>
      <c r="H892" t="s">
        <v>32</v>
      </c>
      <c r="I892" t="s">
        <v>33</v>
      </c>
      <c r="J892" t="s">
        <v>34</v>
      </c>
      <c r="K892">
        <v>4</v>
      </c>
      <c r="L892">
        <v>6800</v>
      </c>
      <c r="M892">
        <v>20</v>
      </c>
      <c r="N892">
        <v>21760</v>
      </c>
      <c r="O892" t="s">
        <v>48</v>
      </c>
      <c r="P892">
        <v>5</v>
      </c>
      <c r="Q892" t="s">
        <v>65</v>
      </c>
    </row>
    <row r="893" spans="1:17" x14ac:dyDescent="0.3">
      <c r="A893" t="s">
        <v>1704</v>
      </c>
      <c r="B893" t="s">
        <v>248</v>
      </c>
      <c r="C893" t="s">
        <v>38</v>
      </c>
      <c r="D893" t="s">
        <v>83</v>
      </c>
      <c r="E893">
        <v>30</v>
      </c>
      <c r="F893" t="s">
        <v>44</v>
      </c>
      <c r="G893" t="s">
        <v>100</v>
      </c>
      <c r="H893" t="s">
        <v>62</v>
      </c>
      <c r="I893" t="s">
        <v>63</v>
      </c>
      <c r="J893" t="s">
        <v>72</v>
      </c>
      <c r="K893">
        <v>2</v>
      </c>
      <c r="L893">
        <v>49700</v>
      </c>
      <c r="M893">
        <v>5</v>
      </c>
      <c r="N893">
        <v>94430</v>
      </c>
      <c r="O893" t="s">
        <v>73</v>
      </c>
      <c r="P893">
        <v>4</v>
      </c>
      <c r="Q893" t="s">
        <v>26</v>
      </c>
    </row>
    <row r="894" spans="1:17" x14ac:dyDescent="0.3">
      <c r="A894" t="s">
        <v>1705</v>
      </c>
      <c r="B894" t="s">
        <v>1706</v>
      </c>
      <c r="C894" t="s">
        <v>19</v>
      </c>
      <c r="D894" t="s">
        <v>103</v>
      </c>
      <c r="E894">
        <v>55</v>
      </c>
      <c r="F894" t="s">
        <v>77</v>
      </c>
      <c r="G894" t="s">
        <v>78</v>
      </c>
      <c r="H894" t="s">
        <v>32</v>
      </c>
      <c r="I894" t="s">
        <v>33</v>
      </c>
      <c r="J894" t="s">
        <v>34</v>
      </c>
      <c r="K894">
        <v>4</v>
      </c>
      <c r="L894">
        <v>26200</v>
      </c>
      <c r="M894">
        <v>0</v>
      </c>
      <c r="N894">
        <v>104800</v>
      </c>
      <c r="O894" t="s">
        <v>48</v>
      </c>
      <c r="P894">
        <v>1</v>
      </c>
      <c r="Q894" t="s">
        <v>26</v>
      </c>
    </row>
    <row r="895" spans="1:17" x14ac:dyDescent="0.3">
      <c r="A895" t="s">
        <v>1707</v>
      </c>
      <c r="B895" t="s">
        <v>1491</v>
      </c>
      <c r="C895" t="s">
        <v>94</v>
      </c>
      <c r="E895">
        <v>35</v>
      </c>
      <c r="F895" t="s">
        <v>21</v>
      </c>
      <c r="G895" t="s">
        <v>21</v>
      </c>
      <c r="H895" t="s">
        <v>22</v>
      </c>
      <c r="I895" t="s">
        <v>23</v>
      </c>
      <c r="J895" t="s">
        <v>72</v>
      </c>
      <c r="K895">
        <v>5</v>
      </c>
      <c r="L895">
        <v>42200</v>
      </c>
      <c r="M895">
        <v>20</v>
      </c>
      <c r="N895">
        <v>168800</v>
      </c>
      <c r="O895" t="s">
        <v>40</v>
      </c>
      <c r="P895">
        <v>1</v>
      </c>
      <c r="Q895" t="s">
        <v>41</v>
      </c>
    </row>
    <row r="896" spans="1:17" x14ac:dyDescent="0.3">
      <c r="A896" t="s">
        <v>1708</v>
      </c>
      <c r="B896" t="s">
        <v>1709</v>
      </c>
      <c r="C896" t="s">
        <v>113</v>
      </c>
      <c r="D896" t="s">
        <v>83</v>
      </c>
      <c r="E896">
        <v>65</v>
      </c>
      <c r="F896" t="s">
        <v>61</v>
      </c>
      <c r="G896" t="s">
        <v>61</v>
      </c>
      <c r="H896" t="s">
        <v>22</v>
      </c>
      <c r="I896" t="s">
        <v>84</v>
      </c>
      <c r="J896" t="s">
        <v>89</v>
      </c>
      <c r="K896">
        <v>5</v>
      </c>
      <c r="L896">
        <v>7900</v>
      </c>
      <c r="M896">
        <v>20</v>
      </c>
      <c r="N896">
        <v>31600</v>
      </c>
      <c r="O896" t="s">
        <v>73</v>
      </c>
      <c r="P896">
        <v>5</v>
      </c>
      <c r="Q896" t="s">
        <v>26</v>
      </c>
    </row>
    <row r="897" spans="1:17" x14ac:dyDescent="0.3">
      <c r="A897" t="s">
        <v>1710</v>
      </c>
      <c r="B897" t="s">
        <v>1422</v>
      </c>
      <c r="C897" t="s">
        <v>88</v>
      </c>
      <c r="D897" t="s">
        <v>20</v>
      </c>
      <c r="E897">
        <v>21</v>
      </c>
      <c r="F897" t="s">
        <v>21</v>
      </c>
      <c r="G897" t="s">
        <v>21</v>
      </c>
      <c r="H897" t="s">
        <v>110</v>
      </c>
      <c r="I897" t="s">
        <v>33</v>
      </c>
      <c r="J897" t="s">
        <v>64</v>
      </c>
      <c r="K897">
        <v>4</v>
      </c>
      <c r="L897">
        <v>29800</v>
      </c>
      <c r="M897">
        <v>5</v>
      </c>
      <c r="N897">
        <v>113240</v>
      </c>
      <c r="O897" t="s">
        <v>48</v>
      </c>
      <c r="P897">
        <v>3</v>
      </c>
      <c r="Q897" t="s">
        <v>41</v>
      </c>
    </row>
    <row r="898" spans="1:17" x14ac:dyDescent="0.3">
      <c r="A898" t="s">
        <v>1711</v>
      </c>
      <c r="B898" t="s">
        <v>879</v>
      </c>
      <c r="C898" t="s">
        <v>60</v>
      </c>
      <c r="D898" t="s">
        <v>103</v>
      </c>
      <c r="E898">
        <v>22</v>
      </c>
      <c r="F898" t="s">
        <v>30</v>
      </c>
      <c r="G898" t="s">
        <v>57</v>
      </c>
      <c r="H898" t="s">
        <v>32</v>
      </c>
      <c r="I898" t="s">
        <v>53</v>
      </c>
      <c r="J898" t="s">
        <v>24</v>
      </c>
      <c r="K898">
        <v>4</v>
      </c>
      <c r="L898">
        <v>3700</v>
      </c>
      <c r="M898">
        <v>15</v>
      </c>
      <c r="N898">
        <v>12580</v>
      </c>
      <c r="O898" t="s">
        <v>48</v>
      </c>
      <c r="P898">
        <v>2</v>
      </c>
      <c r="Q898" t="s">
        <v>26</v>
      </c>
    </row>
    <row r="899" spans="1:17" x14ac:dyDescent="0.3">
      <c r="A899" t="s">
        <v>1712</v>
      </c>
      <c r="B899" t="s">
        <v>297</v>
      </c>
      <c r="C899" t="s">
        <v>88</v>
      </c>
      <c r="E899">
        <v>36</v>
      </c>
      <c r="F899" t="s">
        <v>44</v>
      </c>
      <c r="G899" t="s">
        <v>45</v>
      </c>
      <c r="H899" t="s">
        <v>62</v>
      </c>
      <c r="I899" t="s">
        <v>63</v>
      </c>
      <c r="J899" t="s">
        <v>34</v>
      </c>
      <c r="K899">
        <v>1</v>
      </c>
      <c r="L899">
        <v>41100</v>
      </c>
      <c r="M899">
        <v>0</v>
      </c>
      <c r="N899">
        <v>41100</v>
      </c>
      <c r="O899" t="s">
        <v>73</v>
      </c>
      <c r="P899">
        <v>5</v>
      </c>
      <c r="Q899" t="s">
        <v>41</v>
      </c>
    </row>
    <row r="900" spans="1:17" x14ac:dyDescent="0.3">
      <c r="A900" t="s">
        <v>1713</v>
      </c>
      <c r="B900" t="s">
        <v>1714</v>
      </c>
      <c r="C900" t="s">
        <v>38</v>
      </c>
      <c r="D900" t="s">
        <v>83</v>
      </c>
      <c r="E900">
        <v>22</v>
      </c>
      <c r="F900" t="s">
        <v>51</v>
      </c>
      <c r="G900" t="s">
        <v>104</v>
      </c>
      <c r="H900" t="s">
        <v>32</v>
      </c>
      <c r="I900" t="s">
        <v>33</v>
      </c>
      <c r="J900" t="s">
        <v>34</v>
      </c>
      <c r="K900">
        <v>9</v>
      </c>
      <c r="L900">
        <v>32700</v>
      </c>
      <c r="M900">
        <v>20</v>
      </c>
      <c r="N900">
        <v>235440</v>
      </c>
      <c r="O900" t="s">
        <v>85</v>
      </c>
      <c r="P900">
        <v>5</v>
      </c>
      <c r="Q900" t="s">
        <v>26</v>
      </c>
    </row>
    <row r="901" spans="1:17" x14ac:dyDescent="0.3">
      <c r="A901" t="s">
        <v>1715</v>
      </c>
      <c r="B901" t="s">
        <v>1716</v>
      </c>
      <c r="C901" t="s">
        <v>60</v>
      </c>
      <c r="E901">
        <v>37</v>
      </c>
      <c r="F901" t="s">
        <v>427</v>
      </c>
      <c r="G901" t="s">
        <v>78</v>
      </c>
      <c r="H901" t="s">
        <v>46</v>
      </c>
      <c r="I901" t="s">
        <v>79</v>
      </c>
      <c r="J901" t="s">
        <v>34</v>
      </c>
      <c r="K901">
        <v>1</v>
      </c>
      <c r="L901">
        <v>44400</v>
      </c>
      <c r="M901">
        <v>10</v>
      </c>
      <c r="N901">
        <v>39960</v>
      </c>
      <c r="O901" t="s">
        <v>162</v>
      </c>
      <c r="P901">
        <v>3</v>
      </c>
      <c r="Q901" t="s">
        <v>41</v>
      </c>
    </row>
    <row r="902" spans="1:17" x14ac:dyDescent="0.3">
      <c r="A902" t="s">
        <v>1717</v>
      </c>
      <c r="B902" t="s">
        <v>1312</v>
      </c>
      <c r="C902" t="s">
        <v>88</v>
      </c>
      <c r="E902">
        <v>52</v>
      </c>
      <c r="F902" t="s">
        <v>30</v>
      </c>
      <c r="G902" t="s">
        <v>57</v>
      </c>
      <c r="H902" t="s">
        <v>116</v>
      </c>
      <c r="I902" t="s">
        <v>84</v>
      </c>
      <c r="J902" t="s">
        <v>72</v>
      </c>
      <c r="K902">
        <v>1</v>
      </c>
      <c r="L902">
        <v>30600</v>
      </c>
      <c r="M902">
        <v>25</v>
      </c>
      <c r="N902">
        <v>22950</v>
      </c>
      <c r="O902" t="s">
        <v>35</v>
      </c>
      <c r="P902">
        <v>5</v>
      </c>
      <c r="Q902" t="s">
        <v>65</v>
      </c>
    </row>
    <row r="903" spans="1:17" x14ac:dyDescent="0.3">
      <c r="A903" t="s">
        <v>1718</v>
      </c>
      <c r="B903" t="s">
        <v>1468</v>
      </c>
      <c r="C903" t="s">
        <v>113</v>
      </c>
      <c r="E903">
        <v>28</v>
      </c>
      <c r="F903" t="s">
        <v>44</v>
      </c>
      <c r="G903" t="s">
        <v>45</v>
      </c>
      <c r="H903" t="s">
        <v>62</v>
      </c>
      <c r="I903" t="s">
        <v>140</v>
      </c>
      <c r="J903" t="s">
        <v>72</v>
      </c>
      <c r="K903">
        <v>1</v>
      </c>
      <c r="L903">
        <v>22800</v>
      </c>
      <c r="M903">
        <v>5</v>
      </c>
      <c r="N903">
        <v>21660</v>
      </c>
      <c r="O903" t="s">
        <v>105</v>
      </c>
      <c r="P903">
        <v>2</v>
      </c>
      <c r="Q903" t="s">
        <v>41</v>
      </c>
    </row>
    <row r="904" spans="1:17" x14ac:dyDescent="0.3">
      <c r="A904" t="s">
        <v>1719</v>
      </c>
      <c r="B904" t="s">
        <v>1426</v>
      </c>
      <c r="C904" t="s">
        <v>113</v>
      </c>
      <c r="E904">
        <v>43</v>
      </c>
      <c r="F904" t="s">
        <v>61</v>
      </c>
      <c r="G904" t="s">
        <v>61</v>
      </c>
      <c r="H904" t="s">
        <v>32</v>
      </c>
      <c r="I904" t="s">
        <v>53</v>
      </c>
      <c r="J904" t="s">
        <v>24</v>
      </c>
      <c r="K904">
        <v>8</v>
      </c>
      <c r="L904">
        <v>29200</v>
      </c>
      <c r="M904">
        <v>5</v>
      </c>
      <c r="N904">
        <v>221920</v>
      </c>
      <c r="O904" t="s">
        <v>73</v>
      </c>
      <c r="Q904" t="s">
        <v>74</v>
      </c>
    </row>
    <row r="905" spans="1:17" x14ac:dyDescent="0.3">
      <c r="A905" t="s">
        <v>1720</v>
      </c>
      <c r="B905" t="s">
        <v>463</v>
      </c>
      <c r="C905" t="s">
        <v>94</v>
      </c>
      <c r="D905" t="s">
        <v>20</v>
      </c>
      <c r="E905">
        <v>39</v>
      </c>
      <c r="F905" t="s">
        <v>77</v>
      </c>
      <c r="G905" t="s">
        <v>95</v>
      </c>
      <c r="H905" t="s">
        <v>46</v>
      </c>
      <c r="I905" t="s">
        <v>47</v>
      </c>
      <c r="J905" t="s">
        <v>89</v>
      </c>
      <c r="K905">
        <v>10</v>
      </c>
      <c r="L905">
        <v>6300</v>
      </c>
      <c r="M905">
        <v>0</v>
      </c>
      <c r="N905">
        <v>63000</v>
      </c>
      <c r="O905" t="s">
        <v>85</v>
      </c>
      <c r="P905">
        <v>5</v>
      </c>
      <c r="Q905" t="s">
        <v>26</v>
      </c>
    </row>
    <row r="906" spans="1:17" x14ac:dyDescent="0.3">
      <c r="A906" t="s">
        <v>1721</v>
      </c>
      <c r="B906" t="s">
        <v>1722</v>
      </c>
      <c r="C906" t="s">
        <v>68</v>
      </c>
      <c r="E906">
        <v>57</v>
      </c>
      <c r="F906" t="s">
        <v>61</v>
      </c>
      <c r="G906" t="s">
        <v>61</v>
      </c>
      <c r="H906" t="s">
        <v>32</v>
      </c>
      <c r="I906" t="s">
        <v>33</v>
      </c>
      <c r="J906" t="s">
        <v>89</v>
      </c>
      <c r="K906">
        <v>6</v>
      </c>
      <c r="L906">
        <v>25400</v>
      </c>
      <c r="M906">
        <v>10</v>
      </c>
      <c r="N906">
        <v>137160</v>
      </c>
      <c r="O906" t="s">
        <v>73</v>
      </c>
      <c r="Q906" t="s">
        <v>41</v>
      </c>
    </row>
    <row r="907" spans="1:17" x14ac:dyDescent="0.3">
      <c r="A907" t="s">
        <v>1723</v>
      </c>
      <c r="B907" t="s">
        <v>1350</v>
      </c>
      <c r="C907" t="s">
        <v>94</v>
      </c>
      <c r="D907" t="s">
        <v>20</v>
      </c>
      <c r="E907">
        <v>59</v>
      </c>
      <c r="F907" t="s">
        <v>1122</v>
      </c>
      <c r="G907" t="s">
        <v>78</v>
      </c>
      <c r="H907" t="s">
        <v>46</v>
      </c>
      <c r="I907" t="s">
        <v>79</v>
      </c>
      <c r="J907" t="s">
        <v>34</v>
      </c>
      <c r="K907">
        <v>7</v>
      </c>
      <c r="L907">
        <v>26700</v>
      </c>
      <c r="M907">
        <v>25</v>
      </c>
      <c r="N907">
        <v>140175</v>
      </c>
      <c r="O907" t="s">
        <v>35</v>
      </c>
      <c r="Q907" t="s">
        <v>41</v>
      </c>
    </row>
    <row r="908" spans="1:17" x14ac:dyDescent="0.3">
      <c r="A908" t="s">
        <v>1724</v>
      </c>
      <c r="B908" t="s">
        <v>1725</v>
      </c>
      <c r="C908" t="s">
        <v>29</v>
      </c>
      <c r="D908" t="s">
        <v>83</v>
      </c>
      <c r="E908">
        <v>46</v>
      </c>
      <c r="F908" t="s">
        <v>21</v>
      </c>
      <c r="G908" t="s">
        <v>21</v>
      </c>
      <c r="H908" t="s">
        <v>32</v>
      </c>
      <c r="I908" t="s">
        <v>53</v>
      </c>
      <c r="J908" t="s">
        <v>34</v>
      </c>
      <c r="K908">
        <v>10</v>
      </c>
      <c r="L908">
        <v>12800</v>
      </c>
      <c r="M908">
        <v>15</v>
      </c>
      <c r="N908">
        <v>108800</v>
      </c>
      <c r="O908" t="s">
        <v>25</v>
      </c>
      <c r="P908">
        <v>5</v>
      </c>
      <c r="Q908" t="s">
        <v>41</v>
      </c>
    </row>
    <row r="909" spans="1:17" x14ac:dyDescent="0.3">
      <c r="A909" t="s">
        <v>1726</v>
      </c>
      <c r="B909" t="s">
        <v>469</v>
      </c>
      <c r="C909" t="s">
        <v>19</v>
      </c>
      <c r="D909" t="s">
        <v>83</v>
      </c>
      <c r="E909">
        <v>57</v>
      </c>
      <c r="F909" t="s">
        <v>51</v>
      </c>
      <c r="G909" t="s">
        <v>104</v>
      </c>
      <c r="H909" t="s">
        <v>62</v>
      </c>
      <c r="I909" t="s">
        <v>140</v>
      </c>
      <c r="J909" t="s">
        <v>89</v>
      </c>
      <c r="K909">
        <v>10</v>
      </c>
      <c r="L909">
        <v>10400</v>
      </c>
      <c r="M909">
        <v>20</v>
      </c>
      <c r="N909">
        <v>83200</v>
      </c>
      <c r="O909" t="s">
        <v>40</v>
      </c>
      <c r="P909">
        <v>3</v>
      </c>
      <c r="Q909" t="s">
        <v>74</v>
      </c>
    </row>
    <row r="910" spans="1:17" x14ac:dyDescent="0.3">
      <c r="A910" t="s">
        <v>1727</v>
      </c>
      <c r="B910" t="s">
        <v>1728</v>
      </c>
      <c r="C910" t="s">
        <v>38</v>
      </c>
      <c r="D910" t="s">
        <v>20</v>
      </c>
      <c r="E910">
        <v>51</v>
      </c>
      <c r="F910" t="s">
        <v>30</v>
      </c>
      <c r="G910" t="s">
        <v>31</v>
      </c>
      <c r="H910" t="s">
        <v>22</v>
      </c>
      <c r="I910" t="s">
        <v>84</v>
      </c>
      <c r="J910" t="s">
        <v>80</v>
      </c>
      <c r="K910">
        <v>4</v>
      </c>
      <c r="L910">
        <v>9200</v>
      </c>
      <c r="M910">
        <v>25</v>
      </c>
      <c r="N910">
        <v>27600</v>
      </c>
      <c r="O910" t="s">
        <v>48</v>
      </c>
      <c r="P910">
        <v>2</v>
      </c>
      <c r="Q910" t="s">
        <v>74</v>
      </c>
    </row>
    <row r="911" spans="1:17" x14ac:dyDescent="0.3">
      <c r="A911" t="s">
        <v>1729</v>
      </c>
      <c r="B911" t="s">
        <v>1291</v>
      </c>
      <c r="C911" t="s">
        <v>19</v>
      </c>
      <c r="D911" t="s">
        <v>20</v>
      </c>
      <c r="E911">
        <v>25</v>
      </c>
      <c r="F911" t="s">
        <v>1253</v>
      </c>
      <c r="G911" t="s">
        <v>52</v>
      </c>
      <c r="H911" t="s">
        <v>22</v>
      </c>
      <c r="I911" t="s">
        <v>23</v>
      </c>
      <c r="J911" t="s">
        <v>89</v>
      </c>
      <c r="K911">
        <v>2</v>
      </c>
      <c r="L911">
        <v>9900</v>
      </c>
      <c r="M911">
        <v>25</v>
      </c>
      <c r="N911">
        <v>14850</v>
      </c>
      <c r="O911" t="s">
        <v>40</v>
      </c>
      <c r="Q911" t="s">
        <v>41</v>
      </c>
    </row>
    <row r="912" spans="1:17" x14ac:dyDescent="0.3">
      <c r="A912" t="s">
        <v>1730</v>
      </c>
      <c r="B912" t="s">
        <v>1731</v>
      </c>
      <c r="C912" t="s">
        <v>113</v>
      </c>
      <c r="E912">
        <v>36</v>
      </c>
      <c r="F912" t="s">
        <v>61</v>
      </c>
      <c r="G912" t="s">
        <v>61</v>
      </c>
      <c r="H912" t="s">
        <v>46</v>
      </c>
      <c r="I912" t="s">
        <v>47</v>
      </c>
      <c r="J912" t="s">
        <v>72</v>
      </c>
      <c r="K912">
        <v>10</v>
      </c>
      <c r="L912">
        <v>21700</v>
      </c>
      <c r="M912">
        <v>20</v>
      </c>
      <c r="N912">
        <v>173600</v>
      </c>
      <c r="O912" t="s">
        <v>35</v>
      </c>
      <c r="P912">
        <v>2</v>
      </c>
      <c r="Q912" t="s">
        <v>26</v>
      </c>
    </row>
    <row r="913" spans="1:17" x14ac:dyDescent="0.3">
      <c r="A913" t="s">
        <v>1732</v>
      </c>
      <c r="B913" t="s">
        <v>1733</v>
      </c>
      <c r="C913" t="s">
        <v>113</v>
      </c>
      <c r="D913" t="s">
        <v>83</v>
      </c>
      <c r="E913">
        <v>54</v>
      </c>
      <c r="F913" t="s">
        <v>51</v>
      </c>
      <c r="G913" t="s">
        <v>104</v>
      </c>
      <c r="H913" t="s">
        <v>46</v>
      </c>
      <c r="I913" t="s">
        <v>47</v>
      </c>
      <c r="J913" t="s">
        <v>72</v>
      </c>
      <c r="K913">
        <v>4</v>
      </c>
      <c r="L913">
        <v>19600</v>
      </c>
      <c r="M913">
        <v>10</v>
      </c>
      <c r="N913">
        <v>70560</v>
      </c>
      <c r="O913" t="s">
        <v>25</v>
      </c>
      <c r="P913">
        <v>4</v>
      </c>
      <c r="Q913" t="s">
        <v>74</v>
      </c>
    </row>
    <row r="914" spans="1:17" x14ac:dyDescent="0.3">
      <c r="A914" t="s">
        <v>1734</v>
      </c>
      <c r="B914" t="s">
        <v>1735</v>
      </c>
      <c r="C914" t="s">
        <v>113</v>
      </c>
      <c r="E914">
        <v>25</v>
      </c>
      <c r="F914" t="s">
        <v>44</v>
      </c>
      <c r="G914" t="s">
        <v>45</v>
      </c>
      <c r="H914" t="s">
        <v>46</v>
      </c>
      <c r="I914" t="s">
        <v>47</v>
      </c>
      <c r="J914" t="s">
        <v>80</v>
      </c>
      <c r="K914">
        <v>7</v>
      </c>
      <c r="L914">
        <v>4700</v>
      </c>
      <c r="M914">
        <v>0</v>
      </c>
      <c r="N914">
        <v>32900</v>
      </c>
      <c r="O914" t="s">
        <v>85</v>
      </c>
      <c r="P914">
        <v>2</v>
      </c>
      <c r="Q914" t="s">
        <v>65</v>
      </c>
    </row>
    <row r="915" spans="1:17" x14ac:dyDescent="0.3">
      <c r="A915" t="s">
        <v>1736</v>
      </c>
      <c r="B915" t="s">
        <v>236</v>
      </c>
      <c r="C915" t="s">
        <v>94</v>
      </c>
      <c r="D915" t="s">
        <v>39</v>
      </c>
      <c r="E915">
        <v>20</v>
      </c>
      <c r="F915" t="s">
        <v>44</v>
      </c>
      <c r="G915" t="s">
        <v>100</v>
      </c>
      <c r="H915" t="s">
        <v>46</v>
      </c>
      <c r="I915" t="s">
        <v>79</v>
      </c>
      <c r="J915" t="s">
        <v>89</v>
      </c>
      <c r="K915">
        <v>10</v>
      </c>
      <c r="L915">
        <v>39900</v>
      </c>
      <c r="M915">
        <v>15</v>
      </c>
      <c r="N915">
        <v>339150</v>
      </c>
      <c r="O915" t="s">
        <v>48</v>
      </c>
      <c r="P915">
        <v>4</v>
      </c>
      <c r="Q915" t="s">
        <v>65</v>
      </c>
    </row>
    <row r="916" spans="1:17" x14ac:dyDescent="0.3">
      <c r="A916" t="s">
        <v>1737</v>
      </c>
      <c r="B916" t="s">
        <v>814</v>
      </c>
      <c r="C916" t="s">
        <v>71</v>
      </c>
      <c r="D916" t="s">
        <v>20</v>
      </c>
      <c r="E916">
        <v>64</v>
      </c>
      <c r="F916" t="s">
        <v>44</v>
      </c>
      <c r="G916" t="s">
        <v>45</v>
      </c>
      <c r="H916" t="s">
        <v>110</v>
      </c>
      <c r="I916" t="s">
        <v>33</v>
      </c>
      <c r="J916" t="s">
        <v>64</v>
      </c>
      <c r="K916">
        <v>6</v>
      </c>
      <c r="L916">
        <v>35200</v>
      </c>
      <c r="M916">
        <v>20</v>
      </c>
      <c r="N916">
        <v>168960</v>
      </c>
      <c r="O916" t="s">
        <v>73</v>
      </c>
      <c r="P916">
        <v>2</v>
      </c>
      <c r="Q916" t="s">
        <v>41</v>
      </c>
    </row>
    <row r="917" spans="1:17" x14ac:dyDescent="0.3">
      <c r="A917" t="s">
        <v>1738</v>
      </c>
      <c r="B917" t="s">
        <v>181</v>
      </c>
      <c r="C917" t="s">
        <v>121</v>
      </c>
      <c r="E917">
        <v>56</v>
      </c>
      <c r="F917" t="s">
        <v>21</v>
      </c>
      <c r="G917" t="s">
        <v>21</v>
      </c>
      <c r="H917" t="s">
        <v>46</v>
      </c>
      <c r="I917" t="s">
        <v>47</v>
      </c>
      <c r="J917" t="s">
        <v>80</v>
      </c>
      <c r="K917">
        <v>9</v>
      </c>
      <c r="L917">
        <v>30200</v>
      </c>
      <c r="M917">
        <v>15</v>
      </c>
      <c r="N917">
        <v>231030</v>
      </c>
      <c r="O917" t="s">
        <v>105</v>
      </c>
      <c r="P917">
        <v>4</v>
      </c>
      <c r="Q917" t="s">
        <v>65</v>
      </c>
    </row>
    <row r="918" spans="1:17" x14ac:dyDescent="0.3">
      <c r="A918" t="s">
        <v>1739</v>
      </c>
      <c r="B918" t="s">
        <v>1740</v>
      </c>
      <c r="C918" t="s">
        <v>29</v>
      </c>
      <c r="E918">
        <v>64</v>
      </c>
      <c r="F918" t="s">
        <v>427</v>
      </c>
      <c r="G918" t="s">
        <v>95</v>
      </c>
      <c r="H918" t="s">
        <v>32</v>
      </c>
      <c r="I918" t="s">
        <v>33</v>
      </c>
      <c r="J918" t="s">
        <v>64</v>
      </c>
      <c r="K918">
        <v>7</v>
      </c>
      <c r="L918">
        <v>23800</v>
      </c>
      <c r="M918">
        <v>25</v>
      </c>
      <c r="N918">
        <v>124950</v>
      </c>
      <c r="O918" t="s">
        <v>73</v>
      </c>
      <c r="P918">
        <v>1</v>
      </c>
      <c r="Q918" t="s">
        <v>74</v>
      </c>
    </row>
    <row r="919" spans="1:17" x14ac:dyDescent="0.3">
      <c r="A919" t="s">
        <v>1741</v>
      </c>
      <c r="B919" t="s">
        <v>1513</v>
      </c>
      <c r="C919" t="s">
        <v>94</v>
      </c>
      <c r="E919">
        <v>47</v>
      </c>
      <c r="F919" t="s">
        <v>440</v>
      </c>
      <c r="G919" t="s">
        <v>61</v>
      </c>
      <c r="H919" t="s">
        <v>46</v>
      </c>
      <c r="I919" t="s">
        <v>47</v>
      </c>
      <c r="J919" t="s">
        <v>24</v>
      </c>
      <c r="K919">
        <v>3</v>
      </c>
      <c r="L919">
        <v>32900</v>
      </c>
      <c r="M919">
        <v>10</v>
      </c>
      <c r="N919">
        <v>88830</v>
      </c>
      <c r="O919" t="s">
        <v>48</v>
      </c>
      <c r="P919">
        <v>1</v>
      </c>
      <c r="Q919" t="s">
        <v>65</v>
      </c>
    </row>
    <row r="920" spans="1:17" x14ac:dyDescent="0.3">
      <c r="A920" t="s">
        <v>1742</v>
      </c>
      <c r="B920" t="s">
        <v>1287</v>
      </c>
      <c r="C920" t="s">
        <v>68</v>
      </c>
      <c r="D920" t="s">
        <v>103</v>
      </c>
      <c r="E920">
        <v>62</v>
      </c>
      <c r="F920" t="s">
        <v>44</v>
      </c>
      <c r="G920" t="s">
        <v>45</v>
      </c>
      <c r="H920" t="s">
        <v>46</v>
      </c>
      <c r="I920" t="s">
        <v>79</v>
      </c>
      <c r="J920" t="s">
        <v>34</v>
      </c>
      <c r="K920">
        <v>10</v>
      </c>
      <c r="L920">
        <v>36800</v>
      </c>
      <c r="M920">
        <v>15</v>
      </c>
      <c r="N920">
        <v>312800</v>
      </c>
      <c r="O920" t="s">
        <v>40</v>
      </c>
      <c r="Q920" t="s">
        <v>65</v>
      </c>
    </row>
    <row r="921" spans="1:17" x14ac:dyDescent="0.3">
      <c r="A921" t="s">
        <v>1743</v>
      </c>
      <c r="B921" t="s">
        <v>159</v>
      </c>
      <c r="C921" t="s">
        <v>29</v>
      </c>
      <c r="D921" t="s">
        <v>83</v>
      </c>
      <c r="E921">
        <v>49</v>
      </c>
      <c r="F921" t="s">
        <v>21</v>
      </c>
      <c r="G921" t="s">
        <v>21</v>
      </c>
      <c r="H921" t="s">
        <v>32</v>
      </c>
      <c r="I921" t="s">
        <v>53</v>
      </c>
      <c r="J921" t="s">
        <v>89</v>
      </c>
      <c r="K921">
        <v>7</v>
      </c>
      <c r="L921">
        <v>38400</v>
      </c>
      <c r="M921">
        <v>25</v>
      </c>
      <c r="N921" t="s">
        <v>1744</v>
      </c>
      <c r="O921" t="s">
        <v>105</v>
      </c>
      <c r="P921">
        <v>1</v>
      </c>
      <c r="Q921" t="s">
        <v>26</v>
      </c>
    </row>
    <row r="922" spans="1:17" x14ac:dyDescent="0.3">
      <c r="A922" t="s">
        <v>1745</v>
      </c>
      <c r="B922" t="s">
        <v>809</v>
      </c>
      <c r="C922" t="s">
        <v>38</v>
      </c>
      <c r="D922" t="s">
        <v>103</v>
      </c>
      <c r="E922">
        <v>56</v>
      </c>
      <c r="F922" t="s">
        <v>21</v>
      </c>
      <c r="G922" t="s">
        <v>21</v>
      </c>
      <c r="H922" t="s">
        <v>62</v>
      </c>
      <c r="I922" t="s">
        <v>140</v>
      </c>
      <c r="J922" t="s">
        <v>64</v>
      </c>
      <c r="K922">
        <v>4</v>
      </c>
      <c r="L922">
        <v>13800</v>
      </c>
      <c r="M922">
        <v>25</v>
      </c>
      <c r="N922">
        <v>41400</v>
      </c>
      <c r="O922" t="s">
        <v>105</v>
      </c>
      <c r="Q922" t="s">
        <v>74</v>
      </c>
    </row>
    <row r="923" spans="1:17" x14ac:dyDescent="0.3">
      <c r="A923" t="s">
        <v>1746</v>
      </c>
      <c r="B923" t="s">
        <v>28</v>
      </c>
      <c r="C923" t="s">
        <v>94</v>
      </c>
      <c r="D923" t="s">
        <v>39</v>
      </c>
      <c r="E923">
        <v>26</v>
      </c>
      <c r="F923" t="s">
        <v>812</v>
      </c>
      <c r="G923" t="s">
        <v>78</v>
      </c>
      <c r="H923" t="s">
        <v>22</v>
      </c>
      <c r="I923" t="s">
        <v>84</v>
      </c>
      <c r="J923" t="s">
        <v>34</v>
      </c>
      <c r="K923">
        <v>9</v>
      </c>
      <c r="L923">
        <v>14400</v>
      </c>
      <c r="M923">
        <v>0</v>
      </c>
      <c r="N923">
        <v>129600</v>
      </c>
      <c r="O923" t="s">
        <v>73</v>
      </c>
      <c r="P923">
        <v>5</v>
      </c>
      <c r="Q923" t="s">
        <v>65</v>
      </c>
    </row>
    <row r="924" spans="1:17" x14ac:dyDescent="0.3">
      <c r="A924" t="s">
        <v>1747</v>
      </c>
      <c r="B924" t="s">
        <v>1289</v>
      </c>
      <c r="C924" t="s">
        <v>71</v>
      </c>
      <c r="D924" t="s">
        <v>103</v>
      </c>
      <c r="E924">
        <v>60</v>
      </c>
      <c r="F924" t="s">
        <v>51</v>
      </c>
      <c r="G924" t="s">
        <v>52</v>
      </c>
      <c r="H924" t="s">
        <v>32</v>
      </c>
      <c r="I924" t="s">
        <v>53</v>
      </c>
      <c r="J924" t="s">
        <v>89</v>
      </c>
      <c r="K924">
        <v>6</v>
      </c>
      <c r="L924">
        <v>16900</v>
      </c>
      <c r="M924">
        <v>10</v>
      </c>
      <c r="N924">
        <v>91260</v>
      </c>
      <c r="O924" t="s">
        <v>105</v>
      </c>
      <c r="P924">
        <v>1</v>
      </c>
      <c r="Q924" t="s">
        <v>74</v>
      </c>
    </row>
    <row r="925" spans="1:17" x14ac:dyDescent="0.3">
      <c r="A925" t="s">
        <v>1748</v>
      </c>
      <c r="B925" t="s">
        <v>1468</v>
      </c>
      <c r="C925" t="s">
        <v>68</v>
      </c>
      <c r="E925">
        <v>39</v>
      </c>
      <c r="F925" t="s">
        <v>30</v>
      </c>
      <c r="G925" t="s">
        <v>31</v>
      </c>
      <c r="H925" t="s">
        <v>62</v>
      </c>
      <c r="I925" t="s">
        <v>140</v>
      </c>
      <c r="J925" t="s">
        <v>64</v>
      </c>
      <c r="K925">
        <v>7</v>
      </c>
      <c r="L925">
        <v>34500</v>
      </c>
      <c r="M925">
        <v>15</v>
      </c>
      <c r="N925">
        <v>205275</v>
      </c>
      <c r="O925" t="s">
        <v>85</v>
      </c>
      <c r="P925">
        <v>1</v>
      </c>
      <c r="Q925" t="s">
        <v>26</v>
      </c>
    </row>
    <row r="926" spans="1:17" x14ac:dyDescent="0.3">
      <c r="A926" t="s">
        <v>1749</v>
      </c>
      <c r="B926" t="s">
        <v>1142</v>
      </c>
      <c r="C926" t="s">
        <v>60</v>
      </c>
      <c r="D926" t="s">
        <v>39</v>
      </c>
      <c r="E926">
        <v>35</v>
      </c>
      <c r="F926" t="s">
        <v>61</v>
      </c>
      <c r="G926" t="s">
        <v>61</v>
      </c>
      <c r="H926" t="s">
        <v>62</v>
      </c>
      <c r="I926" t="s">
        <v>140</v>
      </c>
      <c r="J926" t="s">
        <v>89</v>
      </c>
      <c r="K926">
        <v>3</v>
      </c>
      <c r="L926">
        <v>26300</v>
      </c>
      <c r="M926">
        <v>20</v>
      </c>
      <c r="N926">
        <v>63120</v>
      </c>
      <c r="O926" t="s">
        <v>73</v>
      </c>
      <c r="P926">
        <v>1</v>
      </c>
      <c r="Q926" t="s">
        <v>74</v>
      </c>
    </row>
    <row r="927" spans="1:17" x14ac:dyDescent="0.3">
      <c r="A927" t="s">
        <v>1750</v>
      </c>
      <c r="B927" t="s">
        <v>1437</v>
      </c>
      <c r="C927" t="s">
        <v>113</v>
      </c>
      <c r="D927" t="s">
        <v>103</v>
      </c>
      <c r="E927">
        <v>34</v>
      </c>
      <c r="F927" t="s">
        <v>51</v>
      </c>
      <c r="G927" t="s">
        <v>104</v>
      </c>
      <c r="H927" t="s">
        <v>22</v>
      </c>
      <c r="I927" t="s">
        <v>23</v>
      </c>
      <c r="J927" t="s">
        <v>64</v>
      </c>
      <c r="K927">
        <v>4</v>
      </c>
      <c r="L927">
        <v>8200</v>
      </c>
      <c r="M927">
        <v>25</v>
      </c>
      <c r="N927">
        <v>24600</v>
      </c>
      <c r="O927" t="s">
        <v>25</v>
      </c>
      <c r="P927">
        <v>2</v>
      </c>
      <c r="Q927" t="s">
        <v>74</v>
      </c>
    </row>
    <row r="928" spans="1:17" x14ac:dyDescent="0.3">
      <c r="A928" t="s">
        <v>1751</v>
      </c>
      <c r="B928" t="s">
        <v>730</v>
      </c>
      <c r="C928" t="s">
        <v>68</v>
      </c>
      <c r="D928" t="s">
        <v>39</v>
      </c>
      <c r="E928">
        <v>64</v>
      </c>
      <c r="F928" t="s">
        <v>277</v>
      </c>
      <c r="G928" t="s">
        <v>45</v>
      </c>
      <c r="H928" t="s">
        <v>22</v>
      </c>
      <c r="I928" t="s">
        <v>23</v>
      </c>
      <c r="J928" t="s">
        <v>80</v>
      </c>
      <c r="K928">
        <v>7</v>
      </c>
      <c r="L928">
        <v>17300</v>
      </c>
      <c r="M928">
        <v>0</v>
      </c>
      <c r="N928">
        <v>121100</v>
      </c>
      <c r="O928" t="s">
        <v>73</v>
      </c>
      <c r="P928">
        <v>5</v>
      </c>
      <c r="Q928" t="s">
        <v>41</v>
      </c>
    </row>
    <row r="929" spans="1:17" x14ac:dyDescent="0.3">
      <c r="A929" t="s">
        <v>1752</v>
      </c>
      <c r="B929" t="s">
        <v>548</v>
      </c>
      <c r="C929" t="s">
        <v>38</v>
      </c>
      <c r="D929" t="s">
        <v>103</v>
      </c>
      <c r="E929">
        <v>19</v>
      </c>
      <c r="F929" t="s">
        <v>202</v>
      </c>
      <c r="G929" t="s">
        <v>52</v>
      </c>
      <c r="H929" t="s">
        <v>32</v>
      </c>
      <c r="I929" t="s">
        <v>33</v>
      </c>
      <c r="J929" t="s">
        <v>24</v>
      </c>
      <c r="K929">
        <v>8</v>
      </c>
      <c r="L929">
        <v>2800</v>
      </c>
      <c r="M929">
        <v>0</v>
      </c>
      <c r="N929">
        <v>22400</v>
      </c>
      <c r="O929" t="s">
        <v>25</v>
      </c>
      <c r="P929">
        <v>3</v>
      </c>
      <c r="Q929" t="s">
        <v>74</v>
      </c>
    </row>
    <row r="930" spans="1:17" x14ac:dyDescent="0.3">
      <c r="A930" t="s">
        <v>1753</v>
      </c>
      <c r="B930" t="s">
        <v>1598</v>
      </c>
      <c r="C930" t="s">
        <v>121</v>
      </c>
      <c r="E930">
        <v>47</v>
      </c>
      <c r="F930" t="s">
        <v>21</v>
      </c>
      <c r="G930" t="s">
        <v>21</v>
      </c>
      <c r="H930" t="s">
        <v>62</v>
      </c>
      <c r="I930" t="s">
        <v>63</v>
      </c>
      <c r="J930" t="s">
        <v>72</v>
      </c>
      <c r="K930">
        <v>4</v>
      </c>
      <c r="L930">
        <v>49500</v>
      </c>
      <c r="M930">
        <v>0</v>
      </c>
      <c r="N930">
        <v>198000</v>
      </c>
      <c r="O930" t="s">
        <v>105</v>
      </c>
      <c r="Q930" t="s">
        <v>65</v>
      </c>
    </row>
    <row r="931" spans="1:17" x14ac:dyDescent="0.3">
      <c r="A931" t="s">
        <v>1754</v>
      </c>
      <c r="B931" t="s">
        <v>1755</v>
      </c>
      <c r="C931" t="s">
        <v>68</v>
      </c>
      <c r="D931" t="s">
        <v>103</v>
      </c>
      <c r="E931">
        <v>18</v>
      </c>
      <c r="F931" t="s">
        <v>77</v>
      </c>
      <c r="G931" t="s">
        <v>78</v>
      </c>
      <c r="H931" t="s">
        <v>62</v>
      </c>
      <c r="I931" t="s">
        <v>140</v>
      </c>
      <c r="J931" t="s">
        <v>24</v>
      </c>
      <c r="K931" t="s">
        <v>863</v>
      </c>
      <c r="L931">
        <v>43800</v>
      </c>
      <c r="M931">
        <v>15</v>
      </c>
      <c r="N931">
        <v>260610</v>
      </c>
      <c r="O931" t="s">
        <v>40</v>
      </c>
      <c r="P931">
        <v>4</v>
      </c>
      <c r="Q931" t="s">
        <v>41</v>
      </c>
    </row>
    <row r="932" spans="1:17" x14ac:dyDescent="0.3">
      <c r="A932" t="s">
        <v>1756</v>
      </c>
      <c r="B932" t="s">
        <v>1757</v>
      </c>
      <c r="C932" t="s">
        <v>38</v>
      </c>
      <c r="D932" t="s">
        <v>39</v>
      </c>
      <c r="E932">
        <v>18</v>
      </c>
      <c r="F932" t="s">
        <v>30</v>
      </c>
      <c r="G932" t="s">
        <v>57</v>
      </c>
      <c r="H932" t="s">
        <v>32</v>
      </c>
      <c r="I932" t="s">
        <v>33</v>
      </c>
      <c r="J932" t="s">
        <v>80</v>
      </c>
      <c r="K932">
        <v>2</v>
      </c>
      <c r="L932">
        <v>22700</v>
      </c>
      <c r="M932">
        <v>5</v>
      </c>
      <c r="N932">
        <v>43130</v>
      </c>
      <c r="O932" t="s">
        <v>73</v>
      </c>
      <c r="P932">
        <v>2</v>
      </c>
      <c r="Q932" t="s">
        <v>26</v>
      </c>
    </row>
    <row r="933" spans="1:17" x14ac:dyDescent="0.3">
      <c r="A933" t="s">
        <v>1758</v>
      </c>
      <c r="B933" t="s">
        <v>321</v>
      </c>
      <c r="C933" t="s">
        <v>88</v>
      </c>
      <c r="D933" t="s">
        <v>83</v>
      </c>
      <c r="E933">
        <v>51</v>
      </c>
      <c r="F933" t="s">
        <v>51</v>
      </c>
      <c r="G933" t="s">
        <v>104</v>
      </c>
      <c r="H933" t="s">
        <v>46</v>
      </c>
      <c r="I933" t="s">
        <v>47</v>
      </c>
      <c r="J933" t="s">
        <v>34</v>
      </c>
      <c r="K933">
        <v>1</v>
      </c>
      <c r="L933">
        <v>45900</v>
      </c>
      <c r="M933">
        <v>25</v>
      </c>
      <c r="N933">
        <v>34425</v>
      </c>
      <c r="O933" t="s">
        <v>25</v>
      </c>
      <c r="P933">
        <v>3</v>
      </c>
      <c r="Q933" t="s">
        <v>74</v>
      </c>
    </row>
    <row r="934" spans="1:17" x14ac:dyDescent="0.3">
      <c r="A934" t="s">
        <v>1759</v>
      </c>
      <c r="B934" t="s">
        <v>139</v>
      </c>
      <c r="C934" t="s">
        <v>71</v>
      </c>
      <c r="D934" t="s">
        <v>83</v>
      </c>
      <c r="E934">
        <v>60</v>
      </c>
      <c r="F934" t="s">
        <v>77</v>
      </c>
      <c r="G934" t="s">
        <v>95</v>
      </c>
      <c r="H934" t="s">
        <v>62</v>
      </c>
      <c r="I934" t="s">
        <v>140</v>
      </c>
      <c r="J934" t="s">
        <v>24</v>
      </c>
      <c r="K934">
        <v>9</v>
      </c>
      <c r="L934">
        <v>7600</v>
      </c>
      <c r="M934">
        <v>15</v>
      </c>
      <c r="N934">
        <v>58140</v>
      </c>
      <c r="O934" t="s">
        <v>48</v>
      </c>
      <c r="P934">
        <v>4</v>
      </c>
      <c r="Q934" t="s">
        <v>74</v>
      </c>
    </row>
    <row r="935" spans="1:17" x14ac:dyDescent="0.3">
      <c r="A935" t="s">
        <v>1760</v>
      </c>
      <c r="B935" t="s">
        <v>1761</v>
      </c>
      <c r="C935" t="s">
        <v>68</v>
      </c>
      <c r="D935" t="s">
        <v>20</v>
      </c>
      <c r="E935">
        <v>31</v>
      </c>
      <c r="F935" t="s">
        <v>44</v>
      </c>
      <c r="G935" t="s">
        <v>100</v>
      </c>
      <c r="H935" t="s">
        <v>22</v>
      </c>
      <c r="I935" t="s">
        <v>23</v>
      </c>
      <c r="J935" t="s">
        <v>80</v>
      </c>
      <c r="K935">
        <v>6</v>
      </c>
      <c r="L935">
        <v>9900</v>
      </c>
      <c r="M935">
        <v>15</v>
      </c>
      <c r="N935">
        <v>50490</v>
      </c>
      <c r="O935" t="s">
        <v>48</v>
      </c>
      <c r="P935">
        <v>4</v>
      </c>
      <c r="Q935" t="s">
        <v>26</v>
      </c>
    </row>
    <row r="936" spans="1:17" x14ac:dyDescent="0.3">
      <c r="A936" t="s">
        <v>1762</v>
      </c>
      <c r="B936" t="s">
        <v>1763</v>
      </c>
      <c r="C936" t="s">
        <v>38</v>
      </c>
      <c r="E936">
        <v>64</v>
      </c>
      <c r="F936" t="s">
        <v>77</v>
      </c>
      <c r="G936" t="s">
        <v>95</v>
      </c>
      <c r="H936" t="s">
        <v>32</v>
      </c>
      <c r="I936" t="s">
        <v>53</v>
      </c>
      <c r="J936" t="s">
        <v>72</v>
      </c>
      <c r="K936">
        <v>9</v>
      </c>
      <c r="L936">
        <v>7300</v>
      </c>
      <c r="M936">
        <v>25</v>
      </c>
      <c r="N936">
        <v>49275</v>
      </c>
      <c r="O936" t="s">
        <v>48</v>
      </c>
      <c r="P936">
        <v>4</v>
      </c>
      <c r="Q936" t="s">
        <v>74</v>
      </c>
    </row>
    <row r="937" spans="1:17" x14ac:dyDescent="0.3">
      <c r="A937" t="s">
        <v>1764</v>
      </c>
      <c r="B937" t="s">
        <v>139</v>
      </c>
      <c r="C937" t="s">
        <v>29</v>
      </c>
      <c r="D937" t="s">
        <v>103</v>
      </c>
      <c r="E937">
        <v>42</v>
      </c>
      <c r="F937" t="s">
        <v>51</v>
      </c>
      <c r="G937" t="s">
        <v>104</v>
      </c>
      <c r="H937" t="s">
        <v>22</v>
      </c>
      <c r="I937" t="s">
        <v>84</v>
      </c>
      <c r="J937" t="s">
        <v>64</v>
      </c>
      <c r="K937">
        <v>6</v>
      </c>
      <c r="L937">
        <v>29500</v>
      </c>
      <c r="M937">
        <v>10</v>
      </c>
      <c r="N937">
        <v>159300</v>
      </c>
      <c r="O937" t="s">
        <v>48</v>
      </c>
      <c r="Q937" t="s">
        <v>41</v>
      </c>
    </row>
    <row r="938" spans="1:17" x14ac:dyDescent="0.3">
      <c r="A938" t="s">
        <v>1765</v>
      </c>
      <c r="B938" t="s">
        <v>520</v>
      </c>
      <c r="C938" t="s">
        <v>60</v>
      </c>
      <c r="D938" t="s">
        <v>20</v>
      </c>
      <c r="E938">
        <v>23</v>
      </c>
      <c r="F938" t="s">
        <v>44</v>
      </c>
      <c r="G938" t="s">
        <v>100</v>
      </c>
      <c r="H938" t="s">
        <v>62</v>
      </c>
      <c r="I938" t="s">
        <v>63</v>
      </c>
      <c r="J938" t="s">
        <v>34</v>
      </c>
      <c r="K938">
        <v>5</v>
      </c>
      <c r="L938">
        <v>22500</v>
      </c>
      <c r="M938">
        <v>5</v>
      </c>
      <c r="N938">
        <v>106875</v>
      </c>
      <c r="O938" t="s">
        <v>105</v>
      </c>
      <c r="P938">
        <v>3</v>
      </c>
      <c r="Q938" t="s">
        <v>41</v>
      </c>
    </row>
    <row r="939" spans="1:17" x14ac:dyDescent="0.3">
      <c r="A939" t="s">
        <v>1766</v>
      </c>
      <c r="B939" t="s">
        <v>1767</v>
      </c>
      <c r="C939" t="s">
        <v>71</v>
      </c>
      <c r="D939" t="s">
        <v>20</v>
      </c>
      <c r="E939">
        <v>43</v>
      </c>
      <c r="F939" t="s">
        <v>77</v>
      </c>
      <c r="G939" t="s">
        <v>95</v>
      </c>
      <c r="H939" t="s">
        <v>32</v>
      </c>
      <c r="I939" t="s">
        <v>33</v>
      </c>
      <c r="J939" t="s">
        <v>80</v>
      </c>
      <c r="K939">
        <v>9</v>
      </c>
      <c r="L939">
        <v>7400</v>
      </c>
      <c r="M939">
        <v>5</v>
      </c>
      <c r="N939">
        <v>63270</v>
      </c>
      <c r="O939" t="s">
        <v>48</v>
      </c>
      <c r="P939">
        <v>1</v>
      </c>
      <c r="Q939" t="s">
        <v>26</v>
      </c>
    </row>
    <row r="940" spans="1:17" x14ac:dyDescent="0.3">
      <c r="A940" t="s">
        <v>1768</v>
      </c>
      <c r="B940" t="s">
        <v>1685</v>
      </c>
      <c r="C940" t="s">
        <v>38</v>
      </c>
      <c r="D940" t="s">
        <v>39</v>
      </c>
      <c r="E940">
        <v>19</v>
      </c>
      <c r="F940" t="s">
        <v>30</v>
      </c>
      <c r="G940" t="s">
        <v>57</v>
      </c>
      <c r="H940" t="s">
        <v>32</v>
      </c>
      <c r="I940" t="s">
        <v>53</v>
      </c>
      <c r="J940" t="s">
        <v>64</v>
      </c>
      <c r="K940">
        <v>3</v>
      </c>
      <c r="L940">
        <v>18700</v>
      </c>
      <c r="M940">
        <v>15</v>
      </c>
      <c r="N940">
        <v>47685</v>
      </c>
      <c r="O940" t="s">
        <v>105</v>
      </c>
      <c r="P940">
        <v>5</v>
      </c>
      <c r="Q940" t="s">
        <v>41</v>
      </c>
    </row>
    <row r="941" spans="1:17" x14ac:dyDescent="0.3">
      <c r="A941" t="s">
        <v>1769</v>
      </c>
      <c r="B941" t="s">
        <v>564</v>
      </c>
      <c r="C941" t="s">
        <v>38</v>
      </c>
      <c r="D941" t="s">
        <v>39</v>
      </c>
      <c r="E941">
        <v>40</v>
      </c>
      <c r="F941" t="s">
        <v>30</v>
      </c>
      <c r="G941" t="s">
        <v>31</v>
      </c>
      <c r="H941" t="s">
        <v>22</v>
      </c>
      <c r="I941" t="s">
        <v>84</v>
      </c>
      <c r="J941" t="s">
        <v>89</v>
      </c>
      <c r="K941">
        <v>10</v>
      </c>
      <c r="L941">
        <v>24800</v>
      </c>
      <c r="M941">
        <v>25</v>
      </c>
      <c r="N941">
        <v>186000</v>
      </c>
      <c r="O941" t="s">
        <v>48</v>
      </c>
      <c r="Q941" t="s">
        <v>65</v>
      </c>
    </row>
    <row r="942" spans="1:17" x14ac:dyDescent="0.3">
      <c r="A942" t="s">
        <v>1770</v>
      </c>
      <c r="B942" t="s">
        <v>1771</v>
      </c>
      <c r="C942" t="s">
        <v>38</v>
      </c>
      <c r="D942" t="s">
        <v>103</v>
      </c>
      <c r="E942">
        <v>52</v>
      </c>
      <c r="F942" t="s">
        <v>77</v>
      </c>
      <c r="G942" t="s">
        <v>78</v>
      </c>
      <c r="H942" t="s">
        <v>32</v>
      </c>
      <c r="I942" t="s">
        <v>33</v>
      </c>
      <c r="J942" t="s">
        <v>64</v>
      </c>
      <c r="K942">
        <v>2</v>
      </c>
      <c r="L942">
        <v>32500</v>
      </c>
      <c r="M942">
        <v>20</v>
      </c>
      <c r="N942">
        <v>52000</v>
      </c>
      <c r="O942" t="s">
        <v>35</v>
      </c>
      <c r="P942">
        <v>1</v>
      </c>
      <c r="Q942" t="s">
        <v>26</v>
      </c>
    </row>
    <row r="943" spans="1:17" x14ac:dyDescent="0.3">
      <c r="A943" t="s">
        <v>1772</v>
      </c>
      <c r="B943" t="s">
        <v>1773</v>
      </c>
      <c r="C943" t="s">
        <v>94</v>
      </c>
      <c r="D943" t="s">
        <v>20</v>
      </c>
      <c r="E943">
        <v>25</v>
      </c>
      <c r="F943" t="s">
        <v>77</v>
      </c>
      <c r="G943" t="s">
        <v>95</v>
      </c>
      <c r="H943" t="s">
        <v>32</v>
      </c>
      <c r="I943" t="s">
        <v>53</v>
      </c>
      <c r="J943" t="s">
        <v>64</v>
      </c>
      <c r="K943">
        <v>1</v>
      </c>
      <c r="L943">
        <v>16200</v>
      </c>
      <c r="M943">
        <v>5</v>
      </c>
      <c r="N943">
        <v>15390</v>
      </c>
      <c r="O943" t="s">
        <v>35</v>
      </c>
      <c r="P943">
        <v>1</v>
      </c>
      <c r="Q943" t="s">
        <v>41</v>
      </c>
    </row>
    <row r="944" spans="1:17" x14ac:dyDescent="0.3">
      <c r="A944" t="s">
        <v>1774</v>
      </c>
      <c r="B944" t="s">
        <v>152</v>
      </c>
      <c r="C944" t="s">
        <v>121</v>
      </c>
      <c r="D944" t="s">
        <v>39</v>
      </c>
      <c r="E944">
        <v>30</v>
      </c>
      <c r="F944" t="s">
        <v>44</v>
      </c>
      <c r="G944" t="s">
        <v>100</v>
      </c>
      <c r="H944" t="s">
        <v>32</v>
      </c>
      <c r="I944" t="s">
        <v>33</v>
      </c>
      <c r="J944" t="s">
        <v>34</v>
      </c>
      <c r="K944">
        <v>5</v>
      </c>
      <c r="L944">
        <v>34900</v>
      </c>
      <c r="M944">
        <v>10</v>
      </c>
      <c r="N944">
        <v>157050</v>
      </c>
      <c r="O944" t="s">
        <v>162</v>
      </c>
      <c r="P944">
        <v>1</v>
      </c>
      <c r="Q944" t="s">
        <v>74</v>
      </c>
    </row>
    <row r="945" spans="1:17" x14ac:dyDescent="0.3">
      <c r="A945" t="s">
        <v>1775</v>
      </c>
      <c r="B945" t="s">
        <v>1776</v>
      </c>
      <c r="C945" t="s">
        <v>113</v>
      </c>
      <c r="D945" t="s">
        <v>39</v>
      </c>
      <c r="E945">
        <v>29</v>
      </c>
      <c r="F945" t="s">
        <v>21</v>
      </c>
      <c r="G945" t="s">
        <v>21</v>
      </c>
      <c r="H945" t="s">
        <v>22</v>
      </c>
      <c r="I945" t="s">
        <v>23</v>
      </c>
      <c r="J945" t="s">
        <v>24</v>
      </c>
      <c r="K945">
        <v>6</v>
      </c>
      <c r="L945">
        <v>23000</v>
      </c>
      <c r="M945">
        <v>10</v>
      </c>
      <c r="N945">
        <v>124200</v>
      </c>
      <c r="O945" t="s">
        <v>25</v>
      </c>
      <c r="P945">
        <v>1</v>
      </c>
      <c r="Q945" t="s">
        <v>74</v>
      </c>
    </row>
    <row r="946" spans="1:17" x14ac:dyDescent="0.3">
      <c r="A946" t="s">
        <v>1777</v>
      </c>
      <c r="B946" t="s">
        <v>575</v>
      </c>
      <c r="C946" t="s">
        <v>94</v>
      </c>
      <c r="D946" t="s">
        <v>20</v>
      </c>
      <c r="E946">
        <v>27</v>
      </c>
      <c r="F946" t="s">
        <v>21</v>
      </c>
      <c r="G946" t="s">
        <v>21</v>
      </c>
      <c r="H946" t="s">
        <v>62</v>
      </c>
      <c r="I946" t="s">
        <v>140</v>
      </c>
      <c r="J946" t="s">
        <v>64</v>
      </c>
      <c r="K946">
        <v>3</v>
      </c>
      <c r="L946">
        <v>40300</v>
      </c>
      <c r="M946">
        <v>15</v>
      </c>
      <c r="N946">
        <v>102765</v>
      </c>
      <c r="O946" t="s">
        <v>105</v>
      </c>
      <c r="P946">
        <v>4</v>
      </c>
      <c r="Q946" t="s">
        <v>26</v>
      </c>
    </row>
    <row r="947" spans="1:17" x14ac:dyDescent="0.3">
      <c r="A947" t="s">
        <v>1778</v>
      </c>
      <c r="B947" t="s">
        <v>1779</v>
      </c>
      <c r="C947" t="s">
        <v>38</v>
      </c>
      <c r="D947" t="s">
        <v>103</v>
      </c>
      <c r="E947">
        <v>46</v>
      </c>
      <c r="F947" t="s">
        <v>61</v>
      </c>
      <c r="G947" t="s">
        <v>61</v>
      </c>
      <c r="H947" t="s">
        <v>22</v>
      </c>
      <c r="I947" t="s">
        <v>84</v>
      </c>
      <c r="J947" t="s">
        <v>89</v>
      </c>
      <c r="K947">
        <v>4</v>
      </c>
      <c r="L947">
        <v>38600</v>
      </c>
      <c r="M947">
        <v>10</v>
      </c>
      <c r="N947">
        <v>138960</v>
      </c>
      <c r="O947" t="s">
        <v>40</v>
      </c>
      <c r="P947">
        <v>2</v>
      </c>
      <c r="Q947" t="s">
        <v>65</v>
      </c>
    </row>
    <row r="948" spans="1:17" x14ac:dyDescent="0.3">
      <c r="A948" t="s">
        <v>1780</v>
      </c>
      <c r="B948" t="s">
        <v>1781</v>
      </c>
      <c r="C948" t="s">
        <v>38</v>
      </c>
      <c r="E948">
        <v>50</v>
      </c>
      <c r="F948" t="s">
        <v>51</v>
      </c>
      <c r="G948" t="s">
        <v>104</v>
      </c>
      <c r="H948" t="s">
        <v>22</v>
      </c>
      <c r="I948" t="s">
        <v>84</v>
      </c>
      <c r="J948" t="s">
        <v>34</v>
      </c>
      <c r="K948">
        <v>3</v>
      </c>
      <c r="L948">
        <v>7500</v>
      </c>
      <c r="M948">
        <v>20</v>
      </c>
      <c r="N948">
        <v>18000</v>
      </c>
      <c r="O948" t="s">
        <v>48</v>
      </c>
      <c r="P948">
        <v>1</v>
      </c>
      <c r="Q948" t="s">
        <v>65</v>
      </c>
    </row>
    <row r="949" spans="1:17" x14ac:dyDescent="0.3">
      <c r="A949" t="s">
        <v>1782</v>
      </c>
      <c r="B949" t="s">
        <v>454</v>
      </c>
      <c r="C949" t="s">
        <v>121</v>
      </c>
      <c r="E949">
        <v>-3</v>
      </c>
      <c r="F949" t="s">
        <v>1193</v>
      </c>
      <c r="G949" t="s">
        <v>31</v>
      </c>
      <c r="H949" t="s">
        <v>110</v>
      </c>
      <c r="I949" t="s">
        <v>53</v>
      </c>
      <c r="J949" t="s">
        <v>34</v>
      </c>
      <c r="K949" t="s">
        <v>173</v>
      </c>
      <c r="L949">
        <v>22000</v>
      </c>
      <c r="M949">
        <v>10</v>
      </c>
      <c r="N949">
        <v>39600</v>
      </c>
      <c r="O949" t="s">
        <v>85</v>
      </c>
      <c r="P949">
        <v>3</v>
      </c>
      <c r="Q949" t="s">
        <v>41</v>
      </c>
    </row>
    <row r="950" spans="1:17" x14ac:dyDescent="0.3">
      <c r="A950" t="s">
        <v>1783</v>
      </c>
      <c r="B950" t="s">
        <v>1784</v>
      </c>
      <c r="C950" t="s">
        <v>29</v>
      </c>
      <c r="E950">
        <v>30</v>
      </c>
      <c r="F950" t="s">
        <v>30</v>
      </c>
      <c r="G950" t="s">
        <v>31</v>
      </c>
      <c r="H950" t="s">
        <v>32</v>
      </c>
      <c r="I950" t="s">
        <v>33</v>
      </c>
      <c r="J950" t="s">
        <v>80</v>
      </c>
      <c r="K950">
        <v>2</v>
      </c>
      <c r="L950">
        <v>18400</v>
      </c>
      <c r="M950">
        <v>0</v>
      </c>
      <c r="N950">
        <v>36800</v>
      </c>
      <c r="O950" t="s">
        <v>40</v>
      </c>
      <c r="Q950" t="s">
        <v>65</v>
      </c>
    </row>
    <row r="951" spans="1:17" x14ac:dyDescent="0.3">
      <c r="A951" t="s">
        <v>1785</v>
      </c>
      <c r="B951" t="s">
        <v>1786</v>
      </c>
      <c r="C951" t="s">
        <v>71</v>
      </c>
      <c r="D951" t="s">
        <v>103</v>
      </c>
      <c r="E951">
        <v>58</v>
      </c>
      <c r="F951" t="s">
        <v>21</v>
      </c>
      <c r="G951" t="s">
        <v>21</v>
      </c>
      <c r="H951" t="s">
        <v>46</v>
      </c>
      <c r="I951" t="s">
        <v>47</v>
      </c>
      <c r="J951" t="s">
        <v>64</v>
      </c>
      <c r="K951">
        <v>2</v>
      </c>
      <c r="L951">
        <v>19900</v>
      </c>
      <c r="M951">
        <v>15</v>
      </c>
      <c r="N951">
        <v>33830</v>
      </c>
      <c r="O951" t="s">
        <v>25</v>
      </c>
      <c r="P951">
        <v>1</v>
      </c>
      <c r="Q951" t="s">
        <v>41</v>
      </c>
    </row>
    <row r="952" spans="1:17" x14ac:dyDescent="0.3">
      <c r="A952" t="s">
        <v>1787</v>
      </c>
      <c r="B952" t="s">
        <v>1788</v>
      </c>
      <c r="C952" t="s">
        <v>88</v>
      </c>
      <c r="E952">
        <v>37</v>
      </c>
      <c r="F952" t="s">
        <v>51</v>
      </c>
      <c r="G952" t="s">
        <v>52</v>
      </c>
      <c r="H952" t="s">
        <v>116</v>
      </c>
      <c r="I952" t="s">
        <v>23</v>
      </c>
      <c r="J952" t="s">
        <v>34</v>
      </c>
      <c r="K952">
        <v>5</v>
      </c>
      <c r="L952">
        <v>13600</v>
      </c>
      <c r="M952">
        <v>5</v>
      </c>
      <c r="N952">
        <v>64600</v>
      </c>
      <c r="O952" t="s">
        <v>40</v>
      </c>
      <c r="P952">
        <v>4</v>
      </c>
      <c r="Q952" t="s">
        <v>74</v>
      </c>
    </row>
    <row r="953" spans="1:17" x14ac:dyDescent="0.3">
      <c r="A953" t="s">
        <v>1789</v>
      </c>
      <c r="B953" t="s">
        <v>1790</v>
      </c>
      <c r="C953" t="s">
        <v>19</v>
      </c>
      <c r="D953" t="s">
        <v>20</v>
      </c>
      <c r="E953">
        <v>25</v>
      </c>
      <c r="F953" t="s">
        <v>61</v>
      </c>
      <c r="G953" t="s">
        <v>61</v>
      </c>
      <c r="H953" t="s">
        <v>62</v>
      </c>
      <c r="I953" t="s">
        <v>140</v>
      </c>
      <c r="J953" t="s">
        <v>72</v>
      </c>
      <c r="K953">
        <v>1</v>
      </c>
      <c r="L953">
        <v>27000</v>
      </c>
      <c r="M953">
        <v>5</v>
      </c>
      <c r="N953">
        <v>25650</v>
      </c>
      <c r="O953" t="s">
        <v>105</v>
      </c>
      <c r="Q953" t="s">
        <v>74</v>
      </c>
    </row>
    <row r="954" spans="1:17" x14ac:dyDescent="0.3">
      <c r="A954" t="s">
        <v>1791</v>
      </c>
      <c r="B954" t="s">
        <v>1792</v>
      </c>
      <c r="C954" t="s">
        <v>68</v>
      </c>
      <c r="D954" t="s">
        <v>83</v>
      </c>
      <c r="E954">
        <v>21</v>
      </c>
      <c r="F954" t="s">
        <v>77</v>
      </c>
      <c r="G954" t="s">
        <v>95</v>
      </c>
      <c r="H954" t="s">
        <v>62</v>
      </c>
      <c r="I954" t="s">
        <v>63</v>
      </c>
      <c r="J954" t="s">
        <v>64</v>
      </c>
      <c r="K954">
        <v>2</v>
      </c>
      <c r="L954">
        <v>44200</v>
      </c>
      <c r="M954">
        <v>20</v>
      </c>
      <c r="N954">
        <v>70720</v>
      </c>
      <c r="O954" t="s">
        <v>73</v>
      </c>
      <c r="Q954" t="s">
        <v>65</v>
      </c>
    </row>
    <row r="955" spans="1:17" x14ac:dyDescent="0.3">
      <c r="A955" t="s">
        <v>1793</v>
      </c>
      <c r="B955" t="s">
        <v>1628</v>
      </c>
      <c r="C955" t="s">
        <v>113</v>
      </c>
      <c r="D955" t="s">
        <v>103</v>
      </c>
      <c r="E955">
        <v>43</v>
      </c>
      <c r="F955" t="s">
        <v>44</v>
      </c>
      <c r="G955" t="s">
        <v>100</v>
      </c>
      <c r="H955" t="s">
        <v>32</v>
      </c>
      <c r="I955" t="s">
        <v>33</v>
      </c>
      <c r="J955" t="s">
        <v>80</v>
      </c>
      <c r="K955">
        <v>8</v>
      </c>
      <c r="L955">
        <v>11000</v>
      </c>
      <c r="M955">
        <v>0</v>
      </c>
      <c r="N955">
        <v>88000</v>
      </c>
      <c r="O955" t="s">
        <v>73</v>
      </c>
      <c r="P955">
        <v>3</v>
      </c>
      <c r="Q955" t="s">
        <v>41</v>
      </c>
    </row>
    <row r="956" spans="1:17" x14ac:dyDescent="0.3">
      <c r="A956" t="s">
        <v>1794</v>
      </c>
      <c r="B956" t="s">
        <v>1647</v>
      </c>
      <c r="C956" t="s">
        <v>60</v>
      </c>
      <c r="D956" t="s">
        <v>103</v>
      </c>
      <c r="E956">
        <v>55</v>
      </c>
      <c r="F956" t="s">
        <v>51</v>
      </c>
      <c r="G956" t="s">
        <v>52</v>
      </c>
      <c r="H956" t="s">
        <v>22</v>
      </c>
      <c r="I956" t="s">
        <v>84</v>
      </c>
      <c r="J956" t="s">
        <v>34</v>
      </c>
      <c r="K956">
        <v>10</v>
      </c>
      <c r="L956">
        <v>30900</v>
      </c>
      <c r="M956">
        <v>0</v>
      </c>
      <c r="N956">
        <v>309000</v>
      </c>
      <c r="O956" t="s">
        <v>85</v>
      </c>
      <c r="P956">
        <v>4</v>
      </c>
      <c r="Q956" t="s">
        <v>41</v>
      </c>
    </row>
    <row r="957" spans="1:17" x14ac:dyDescent="0.3">
      <c r="A957" t="s">
        <v>1795</v>
      </c>
      <c r="B957" t="s">
        <v>629</v>
      </c>
      <c r="C957" t="s">
        <v>19</v>
      </c>
      <c r="D957" t="s">
        <v>39</v>
      </c>
      <c r="E957">
        <v>19</v>
      </c>
      <c r="F957" t="s">
        <v>427</v>
      </c>
      <c r="G957" t="s">
        <v>95</v>
      </c>
      <c r="H957" t="s">
        <v>46</v>
      </c>
      <c r="I957" t="s">
        <v>47</v>
      </c>
      <c r="J957" t="s">
        <v>72</v>
      </c>
      <c r="K957">
        <v>3</v>
      </c>
      <c r="L957">
        <v>32200</v>
      </c>
      <c r="M957">
        <v>5</v>
      </c>
      <c r="N957">
        <v>91770</v>
      </c>
      <c r="O957" t="s">
        <v>85</v>
      </c>
      <c r="P957">
        <v>3</v>
      </c>
      <c r="Q957" t="s">
        <v>65</v>
      </c>
    </row>
    <row r="958" spans="1:17" x14ac:dyDescent="0.3">
      <c r="A958" t="s">
        <v>1796</v>
      </c>
      <c r="B958" t="s">
        <v>91</v>
      </c>
      <c r="C958" t="s">
        <v>121</v>
      </c>
      <c r="D958" t="s">
        <v>20</v>
      </c>
      <c r="E958">
        <v>20</v>
      </c>
      <c r="F958" t="s">
        <v>61</v>
      </c>
      <c r="G958" t="s">
        <v>61</v>
      </c>
      <c r="H958" t="s">
        <v>62</v>
      </c>
      <c r="I958" t="s">
        <v>63</v>
      </c>
      <c r="J958" t="s">
        <v>72</v>
      </c>
      <c r="K958">
        <v>8</v>
      </c>
      <c r="L958">
        <v>28500</v>
      </c>
      <c r="M958">
        <v>15</v>
      </c>
      <c r="N958">
        <v>193800</v>
      </c>
      <c r="O958" t="s">
        <v>73</v>
      </c>
      <c r="P958">
        <v>4</v>
      </c>
      <c r="Q958" t="s">
        <v>41</v>
      </c>
    </row>
    <row r="959" spans="1:17" x14ac:dyDescent="0.3">
      <c r="A959" t="s">
        <v>1797</v>
      </c>
      <c r="B959" t="s">
        <v>1798</v>
      </c>
      <c r="C959" t="s">
        <v>71</v>
      </c>
      <c r="D959" t="s">
        <v>83</v>
      </c>
      <c r="E959">
        <v>52</v>
      </c>
      <c r="F959" t="s">
        <v>44</v>
      </c>
      <c r="G959" t="s">
        <v>45</v>
      </c>
      <c r="H959" t="s">
        <v>46</v>
      </c>
      <c r="I959" t="s">
        <v>47</v>
      </c>
      <c r="J959" t="s">
        <v>80</v>
      </c>
      <c r="K959">
        <v>8</v>
      </c>
      <c r="L959">
        <v>29800</v>
      </c>
      <c r="M959">
        <v>10</v>
      </c>
      <c r="N959">
        <v>214560</v>
      </c>
      <c r="O959" t="s">
        <v>35</v>
      </c>
      <c r="Q959" t="s">
        <v>65</v>
      </c>
    </row>
    <row r="960" spans="1:17" x14ac:dyDescent="0.3">
      <c r="A960" t="s">
        <v>1799</v>
      </c>
      <c r="B960" t="s">
        <v>1800</v>
      </c>
      <c r="C960" t="s">
        <v>113</v>
      </c>
      <c r="D960" t="s">
        <v>83</v>
      </c>
      <c r="E960">
        <v>52</v>
      </c>
      <c r="F960" t="s">
        <v>51</v>
      </c>
      <c r="G960" t="s">
        <v>104</v>
      </c>
      <c r="H960" t="s">
        <v>62</v>
      </c>
      <c r="I960" t="s">
        <v>140</v>
      </c>
      <c r="J960" t="s">
        <v>64</v>
      </c>
      <c r="K960">
        <v>7</v>
      </c>
      <c r="L960">
        <v>31400</v>
      </c>
      <c r="M960">
        <v>10</v>
      </c>
      <c r="N960">
        <v>197820</v>
      </c>
      <c r="O960" t="s">
        <v>48</v>
      </c>
      <c r="Q960" t="s">
        <v>26</v>
      </c>
    </row>
    <row r="961" spans="1:17" x14ac:dyDescent="0.3">
      <c r="A961" t="s">
        <v>1801</v>
      </c>
      <c r="B961" t="s">
        <v>1802</v>
      </c>
      <c r="C961" t="s">
        <v>68</v>
      </c>
      <c r="D961" t="s">
        <v>103</v>
      </c>
      <c r="E961">
        <v>41</v>
      </c>
      <c r="F961" t="s">
        <v>51</v>
      </c>
      <c r="G961" t="s">
        <v>52</v>
      </c>
      <c r="H961" t="s">
        <v>22</v>
      </c>
      <c r="I961" t="s">
        <v>23</v>
      </c>
      <c r="J961" t="s">
        <v>80</v>
      </c>
      <c r="K961">
        <v>8</v>
      </c>
      <c r="L961">
        <v>38400</v>
      </c>
      <c r="M961">
        <v>25</v>
      </c>
      <c r="N961">
        <v>230400</v>
      </c>
      <c r="O961" t="s">
        <v>25</v>
      </c>
      <c r="P961">
        <v>5</v>
      </c>
      <c r="Q961" t="s">
        <v>41</v>
      </c>
    </row>
    <row r="962" spans="1:17" x14ac:dyDescent="0.3">
      <c r="A962" t="s">
        <v>1803</v>
      </c>
      <c r="B962" t="s">
        <v>1804</v>
      </c>
      <c r="C962" t="s">
        <v>68</v>
      </c>
      <c r="D962" t="s">
        <v>103</v>
      </c>
      <c r="E962">
        <v>46</v>
      </c>
      <c r="F962" t="s">
        <v>77</v>
      </c>
      <c r="G962" t="s">
        <v>78</v>
      </c>
      <c r="H962" t="s">
        <v>46</v>
      </c>
      <c r="I962" t="s">
        <v>47</v>
      </c>
      <c r="J962" t="s">
        <v>34</v>
      </c>
      <c r="K962">
        <v>8</v>
      </c>
      <c r="L962">
        <v>24400</v>
      </c>
      <c r="M962">
        <v>0</v>
      </c>
      <c r="N962">
        <v>195200</v>
      </c>
      <c r="O962" t="s">
        <v>48</v>
      </c>
      <c r="P962">
        <v>2</v>
      </c>
      <c r="Q962" t="s">
        <v>26</v>
      </c>
    </row>
    <row r="963" spans="1:17" x14ac:dyDescent="0.3">
      <c r="A963" t="s">
        <v>1805</v>
      </c>
      <c r="B963" t="s">
        <v>1806</v>
      </c>
      <c r="C963" t="s">
        <v>60</v>
      </c>
      <c r="D963" t="s">
        <v>20</v>
      </c>
      <c r="E963">
        <v>43</v>
      </c>
      <c r="F963" t="s">
        <v>44</v>
      </c>
      <c r="G963" t="s">
        <v>45</v>
      </c>
      <c r="H963" t="s">
        <v>32</v>
      </c>
      <c r="I963" t="s">
        <v>33</v>
      </c>
      <c r="J963" t="s">
        <v>89</v>
      </c>
      <c r="K963">
        <v>4</v>
      </c>
      <c r="L963">
        <v>48600</v>
      </c>
      <c r="M963">
        <v>20</v>
      </c>
      <c r="N963">
        <v>155520</v>
      </c>
      <c r="O963" t="s">
        <v>85</v>
      </c>
      <c r="Q963" t="s">
        <v>74</v>
      </c>
    </row>
    <row r="964" spans="1:17" x14ac:dyDescent="0.3">
      <c r="A964" t="s">
        <v>1807</v>
      </c>
      <c r="B964" t="s">
        <v>345</v>
      </c>
      <c r="C964" t="s">
        <v>68</v>
      </c>
      <c r="E964">
        <v>64</v>
      </c>
      <c r="F964" t="s">
        <v>77</v>
      </c>
      <c r="G964" t="s">
        <v>78</v>
      </c>
      <c r="H964" t="s">
        <v>455</v>
      </c>
      <c r="I964" t="s">
        <v>63</v>
      </c>
      <c r="J964" t="s">
        <v>72</v>
      </c>
      <c r="K964">
        <v>1</v>
      </c>
      <c r="L964">
        <v>4000</v>
      </c>
      <c r="M964">
        <v>25</v>
      </c>
      <c r="N964">
        <v>3000</v>
      </c>
      <c r="O964" t="s">
        <v>35</v>
      </c>
      <c r="P964">
        <v>1</v>
      </c>
      <c r="Q964" t="s">
        <v>26</v>
      </c>
    </row>
    <row r="965" spans="1:17" x14ac:dyDescent="0.3">
      <c r="A965" t="s">
        <v>1808</v>
      </c>
      <c r="B965" t="s">
        <v>1809</v>
      </c>
      <c r="C965" t="s">
        <v>19</v>
      </c>
      <c r="E965">
        <v>49</v>
      </c>
      <c r="F965" t="s">
        <v>21</v>
      </c>
      <c r="G965" t="s">
        <v>21</v>
      </c>
      <c r="H965" t="s">
        <v>22</v>
      </c>
      <c r="I965" t="s">
        <v>84</v>
      </c>
      <c r="J965" t="s">
        <v>24</v>
      </c>
      <c r="K965">
        <v>5</v>
      </c>
      <c r="L965">
        <v>31300</v>
      </c>
      <c r="M965">
        <v>25</v>
      </c>
      <c r="N965">
        <v>117375</v>
      </c>
      <c r="O965" t="s">
        <v>40</v>
      </c>
      <c r="P965">
        <v>4</v>
      </c>
      <c r="Q965" t="s">
        <v>41</v>
      </c>
    </row>
    <row r="966" spans="1:17" x14ac:dyDescent="0.3">
      <c r="A966" t="s">
        <v>1810</v>
      </c>
      <c r="B966" t="s">
        <v>1811</v>
      </c>
      <c r="C966" t="s">
        <v>68</v>
      </c>
      <c r="D966" t="s">
        <v>20</v>
      </c>
      <c r="E966">
        <v>35</v>
      </c>
      <c r="F966" t="s">
        <v>77</v>
      </c>
      <c r="G966" t="s">
        <v>78</v>
      </c>
      <c r="H966" t="s">
        <v>22</v>
      </c>
      <c r="I966" t="s">
        <v>84</v>
      </c>
      <c r="J966" t="s">
        <v>72</v>
      </c>
      <c r="K966">
        <v>10</v>
      </c>
      <c r="L966">
        <v>23200</v>
      </c>
      <c r="M966">
        <v>10</v>
      </c>
      <c r="N966">
        <v>208800</v>
      </c>
      <c r="O966" t="s">
        <v>35</v>
      </c>
      <c r="P966">
        <v>1</v>
      </c>
      <c r="Q966" t="s">
        <v>74</v>
      </c>
    </row>
    <row r="967" spans="1:17" x14ac:dyDescent="0.3">
      <c r="A967" t="s">
        <v>1812</v>
      </c>
      <c r="B967" t="s">
        <v>1813</v>
      </c>
      <c r="C967" t="s">
        <v>68</v>
      </c>
      <c r="E967">
        <v>57</v>
      </c>
      <c r="F967" t="s">
        <v>30</v>
      </c>
      <c r="G967" t="s">
        <v>57</v>
      </c>
      <c r="H967" t="s">
        <v>62</v>
      </c>
      <c r="I967" t="s">
        <v>140</v>
      </c>
      <c r="J967" t="s">
        <v>34</v>
      </c>
      <c r="K967">
        <v>9</v>
      </c>
      <c r="L967">
        <v>17700</v>
      </c>
      <c r="M967">
        <v>0</v>
      </c>
      <c r="N967">
        <v>159300</v>
      </c>
      <c r="O967" t="s">
        <v>48</v>
      </c>
      <c r="P967">
        <v>5</v>
      </c>
      <c r="Q967" t="s">
        <v>65</v>
      </c>
    </row>
    <row r="968" spans="1:17" x14ac:dyDescent="0.3">
      <c r="A968" t="s">
        <v>1814</v>
      </c>
      <c r="B968" t="s">
        <v>1213</v>
      </c>
      <c r="C968" t="s">
        <v>121</v>
      </c>
      <c r="D968" t="s">
        <v>83</v>
      </c>
      <c r="E968">
        <v>150</v>
      </c>
      <c r="F968" t="s">
        <v>21</v>
      </c>
      <c r="G968" t="s">
        <v>21</v>
      </c>
      <c r="H968" t="s">
        <v>431</v>
      </c>
      <c r="I968" t="s">
        <v>79</v>
      </c>
      <c r="J968" t="s">
        <v>72</v>
      </c>
      <c r="K968">
        <v>5</v>
      </c>
      <c r="L968">
        <v>4400</v>
      </c>
      <c r="M968">
        <v>5</v>
      </c>
      <c r="N968">
        <v>20900</v>
      </c>
      <c r="O968" t="s">
        <v>35</v>
      </c>
      <c r="P968">
        <v>4</v>
      </c>
      <c r="Q968" t="s">
        <v>26</v>
      </c>
    </row>
    <row r="969" spans="1:17" x14ac:dyDescent="0.3">
      <c r="A969" t="s">
        <v>1815</v>
      </c>
      <c r="B969" t="s">
        <v>540</v>
      </c>
      <c r="C969" t="s">
        <v>68</v>
      </c>
      <c r="E969">
        <v>41</v>
      </c>
      <c r="F969" t="s">
        <v>44</v>
      </c>
      <c r="G969" t="s">
        <v>45</v>
      </c>
      <c r="H969" t="s">
        <v>46</v>
      </c>
      <c r="I969" t="s">
        <v>79</v>
      </c>
      <c r="J969" t="s">
        <v>89</v>
      </c>
      <c r="K969">
        <v>10</v>
      </c>
      <c r="L969">
        <v>8800</v>
      </c>
      <c r="M969">
        <v>5</v>
      </c>
      <c r="N969">
        <v>83600</v>
      </c>
      <c r="O969" t="s">
        <v>25</v>
      </c>
      <c r="Q969" t="s">
        <v>41</v>
      </c>
    </row>
    <row r="970" spans="1:17" x14ac:dyDescent="0.3">
      <c r="A970" t="s">
        <v>1816</v>
      </c>
      <c r="B970" t="s">
        <v>1817</v>
      </c>
      <c r="C970" t="s">
        <v>71</v>
      </c>
      <c r="D970" t="s">
        <v>39</v>
      </c>
      <c r="E970">
        <v>32</v>
      </c>
      <c r="F970" t="s">
        <v>21</v>
      </c>
      <c r="G970" t="s">
        <v>21</v>
      </c>
      <c r="H970" t="s">
        <v>22</v>
      </c>
      <c r="I970" t="s">
        <v>84</v>
      </c>
      <c r="J970" t="s">
        <v>24</v>
      </c>
      <c r="K970">
        <v>9</v>
      </c>
      <c r="L970">
        <v>46800</v>
      </c>
      <c r="M970">
        <v>20</v>
      </c>
      <c r="N970">
        <v>336960</v>
      </c>
      <c r="O970" t="s">
        <v>73</v>
      </c>
      <c r="Q970" t="s">
        <v>41</v>
      </c>
    </row>
    <row r="971" spans="1:17" x14ac:dyDescent="0.3">
      <c r="A971" t="s">
        <v>1818</v>
      </c>
      <c r="B971" t="s">
        <v>1146</v>
      </c>
      <c r="C971" t="s">
        <v>113</v>
      </c>
      <c r="E971">
        <v>19</v>
      </c>
      <c r="F971" t="s">
        <v>30</v>
      </c>
      <c r="G971" t="s">
        <v>57</v>
      </c>
      <c r="H971" t="s">
        <v>62</v>
      </c>
      <c r="I971" t="s">
        <v>63</v>
      </c>
      <c r="J971" t="s">
        <v>72</v>
      </c>
      <c r="K971">
        <v>5</v>
      </c>
      <c r="L971">
        <v>35600</v>
      </c>
      <c r="M971">
        <v>15</v>
      </c>
      <c r="N971" t="s">
        <v>1819</v>
      </c>
      <c r="O971" t="s">
        <v>85</v>
      </c>
      <c r="Q971" t="s">
        <v>26</v>
      </c>
    </row>
    <row r="972" spans="1:17" x14ac:dyDescent="0.3">
      <c r="A972" t="s">
        <v>1820</v>
      </c>
      <c r="B972" t="s">
        <v>1821</v>
      </c>
      <c r="C972" t="s">
        <v>68</v>
      </c>
      <c r="D972" t="s">
        <v>20</v>
      </c>
      <c r="E972">
        <v>64</v>
      </c>
      <c r="F972" t="s">
        <v>44</v>
      </c>
      <c r="G972" t="s">
        <v>45</v>
      </c>
      <c r="H972" t="s">
        <v>62</v>
      </c>
      <c r="I972" t="s">
        <v>63</v>
      </c>
      <c r="J972" t="s">
        <v>64</v>
      </c>
      <c r="K972" t="s">
        <v>184</v>
      </c>
      <c r="L972">
        <v>15500</v>
      </c>
      <c r="M972">
        <v>20</v>
      </c>
      <c r="N972">
        <v>62000</v>
      </c>
      <c r="O972" t="s">
        <v>85</v>
      </c>
      <c r="Q972" t="s">
        <v>65</v>
      </c>
    </row>
    <row r="973" spans="1:17" x14ac:dyDescent="0.3">
      <c r="A973" t="s">
        <v>1822</v>
      </c>
      <c r="B973" t="s">
        <v>409</v>
      </c>
      <c r="C973" t="s">
        <v>60</v>
      </c>
      <c r="D973" t="s">
        <v>103</v>
      </c>
      <c r="E973">
        <v>24</v>
      </c>
      <c r="F973" t="s">
        <v>77</v>
      </c>
      <c r="G973" t="s">
        <v>95</v>
      </c>
      <c r="H973" t="s">
        <v>32</v>
      </c>
      <c r="I973" t="s">
        <v>33</v>
      </c>
      <c r="J973" t="s">
        <v>34</v>
      </c>
      <c r="K973">
        <v>6</v>
      </c>
      <c r="L973">
        <v>7800</v>
      </c>
      <c r="M973">
        <v>20</v>
      </c>
      <c r="N973">
        <v>37440</v>
      </c>
      <c r="O973" t="s">
        <v>85</v>
      </c>
      <c r="P973">
        <v>2</v>
      </c>
      <c r="Q973" t="s">
        <v>74</v>
      </c>
    </row>
    <row r="974" spans="1:17" x14ac:dyDescent="0.3">
      <c r="A974" t="s">
        <v>1823</v>
      </c>
      <c r="B974" t="s">
        <v>1651</v>
      </c>
      <c r="C974" t="s">
        <v>71</v>
      </c>
      <c r="D974" t="s">
        <v>103</v>
      </c>
      <c r="E974">
        <v>43</v>
      </c>
      <c r="F974" t="s">
        <v>30</v>
      </c>
      <c r="G974" t="s">
        <v>31</v>
      </c>
      <c r="H974" t="s">
        <v>22</v>
      </c>
      <c r="I974" t="s">
        <v>84</v>
      </c>
      <c r="J974" t="s">
        <v>34</v>
      </c>
      <c r="K974">
        <v>4</v>
      </c>
      <c r="L974">
        <v>43400</v>
      </c>
      <c r="M974">
        <v>20</v>
      </c>
      <c r="N974">
        <v>138880</v>
      </c>
      <c r="O974" t="s">
        <v>40</v>
      </c>
      <c r="P974">
        <v>4</v>
      </c>
      <c r="Q974" t="s">
        <v>65</v>
      </c>
    </row>
    <row r="975" spans="1:17" x14ac:dyDescent="0.3">
      <c r="A975" t="s">
        <v>1824</v>
      </c>
      <c r="B975" t="s">
        <v>1825</v>
      </c>
      <c r="C975" t="s">
        <v>88</v>
      </c>
      <c r="D975" t="s">
        <v>83</v>
      </c>
      <c r="E975">
        <v>60</v>
      </c>
      <c r="F975" t="s">
        <v>21</v>
      </c>
      <c r="G975" t="s">
        <v>21</v>
      </c>
      <c r="H975" t="s">
        <v>62</v>
      </c>
      <c r="I975" t="s">
        <v>63</v>
      </c>
      <c r="J975" t="s">
        <v>72</v>
      </c>
      <c r="K975">
        <v>7</v>
      </c>
      <c r="L975">
        <v>40100</v>
      </c>
      <c r="M975">
        <v>25</v>
      </c>
      <c r="N975">
        <v>210525</v>
      </c>
      <c r="O975" t="s">
        <v>25</v>
      </c>
      <c r="P975">
        <v>1</v>
      </c>
      <c r="Q975" t="s">
        <v>74</v>
      </c>
    </row>
    <row r="976" spans="1:17" x14ac:dyDescent="0.3">
      <c r="A976" t="s">
        <v>1826</v>
      </c>
      <c r="B976" t="s">
        <v>407</v>
      </c>
      <c r="C976" t="s">
        <v>88</v>
      </c>
      <c r="D976" t="s">
        <v>39</v>
      </c>
      <c r="E976">
        <v>27</v>
      </c>
      <c r="F976" t="s">
        <v>30</v>
      </c>
      <c r="G976" t="s">
        <v>31</v>
      </c>
      <c r="H976" t="s">
        <v>32</v>
      </c>
      <c r="I976" t="s">
        <v>53</v>
      </c>
      <c r="J976" t="s">
        <v>72</v>
      </c>
      <c r="K976">
        <v>1</v>
      </c>
      <c r="L976">
        <v>13600</v>
      </c>
      <c r="M976">
        <v>5</v>
      </c>
      <c r="N976">
        <v>12920</v>
      </c>
      <c r="O976" t="s">
        <v>48</v>
      </c>
      <c r="Q976" t="s">
        <v>26</v>
      </c>
    </row>
    <row r="977" spans="1:17" x14ac:dyDescent="0.3">
      <c r="A977" t="s">
        <v>1827</v>
      </c>
      <c r="B977" t="s">
        <v>1828</v>
      </c>
      <c r="C977" t="s">
        <v>60</v>
      </c>
      <c r="D977" t="s">
        <v>83</v>
      </c>
      <c r="E977">
        <v>61</v>
      </c>
      <c r="F977" t="s">
        <v>77</v>
      </c>
      <c r="G977" t="s">
        <v>78</v>
      </c>
      <c r="H977" t="s">
        <v>32</v>
      </c>
      <c r="I977" t="s">
        <v>33</v>
      </c>
      <c r="J977" t="s">
        <v>80</v>
      </c>
      <c r="K977">
        <v>3</v>
      </c>
      <c r="L977">
        <v>49300</v>
      </c>
      <c r="M977">
        <v>0</v>
      </c>
      <c r="N977">
        <v>147900</v>
      </c>
      <c r="O977" t="s">
        <v>25</v>
      </c>
      <c r="Q977" t="s">
        <v>65</v>
      </c>
    </row>
    <row r="978" spans="1:17" x14ac:dyDescent="0.3">
      <c r="A978" t="s">
        <v>1829</v>
      </c>
      <c r="B978" t="s">
        <v>692</v>
      </c>
      <c r="C978" t="s">
        <v>94</v>
      </c>
      <c r="E978">
        <v>46</v>
      </c>
      <c r="F978" t="s">
        <v>61</v>
      </c>
      <c r="G978" t="s">
        <v>61</v>
      </c>
      <c r="H978" t="s">
        <v>46</v>
      </c>
      <c r="I978" t="s">
        <v>47</v>
      </c>
      <c r="J978" t="s">
        <v>34</v>
      </c>
      <c r="K978">
        <v>3</v>
      </c>
      <c r="L978">
        <v>48100</v>
      </c>
      <c r="M978">
        <v>0</v>
      </c>
      <c r="N978">
        <v>144300</v>
      </c>
      <c r="O978" t="s">
        <v>85</v>
      </c>
      <c r="P978">
        <v>2</v>
      </c>
      <c r="Q978" t="s">
        <v>26</v>
      </c>
    </row>
    <row r="979" spans="1:17" x14ac:dyDescent="0.3">
      <c r="A979" t="s">
        <v>1830</v>
      </c>
      <c r="B979" t="s">
        <v>1831</v>
      </c>
      <c r="C979" t="s">
        <v>29</v>
      </c>
      <c r="D979" t="s">
        <v>83</v>
      </c>
      <c r="E979">
        <v>22</v>
      </c>
      <c r="F979" t="s">
        <v>51</v>
      </c>
      <c r="G979" t="s">
        <v>104</v>
      </c>
      <c r="H979" t="s">
        <v>62</v>
      </c>
      <c r="I979" t="s">
        <v>63</v>
      </c>
      <c r="J979" t="s">
        <v>89</v>
      </c>
      <c r="K979">
        <v>8</v>
      </c>
      <c r="L979">
        <v>38400</v>
      </c>
      <c r="M979">
        <v>0</v>
      </c>
      <c r="N979">
        <v>307200</v>
      </c>
      <c r="O979" t="s">
        <v>25</v>
      </c>
      <c r="Q979" t="s">
        <v>74</v>
      </c>
    </row>
    <row r="980" spans="1:17" x14ac:dyDescent="0.3">
      <c r="A980" t="s">
        <v>1832</v>
      </c>
      <c r="B980" t="s">
        <v>1833</v>
      </c>
      <c r="C980" t="s">
        <v>60</v>
      </c>
      <c r="D980" t="s">
        <v>20</v>
      </c>
      <c r="E980">
        <v>60</v>
      </c>
      <c r="F980" t="s">
        <v>503</v>
      </c>
      <c r="G980" t="s">
        <v>31</v>
      </c>
      <c r="H980" t="s">
        <v>62</v>
      </c>
      <c r="I980" t="s">
        <v>140</v>
      </c>
      <c r="J980" t="s">
        <v>34</v>
      </c>
      <c r="K980">
        <v>10</v>
      </c>
      <c r="L980">
        <v>31400</v>
      </c>
      <c r="M980">
        <v>10</v>
      </c>
      <c r="N980">
        <v>282600</v>
      </c>
      <c r="O980" t="s">
        <v>25</v>
      </c>
      <c r="P980">
        <v>5</v>
      </c>
      <c r="Q980" t="s">
        <v>41</v>
      </c>
    </row>
    <row r="981" spans="1:17" x14ac:dyDescent="0.3">
      <c r="A981" t="s">
        <v>1834</v>
      </c>
      <c r="B981" t="s">
        <v>883</v>
      </c>
      <c r="C981" t="s">
        <v>71</v>
      </c>
      <c r="D981" t="s">
        <v>103</v>
      </c>
      <c r="E981">
        <v>21</v>
      </c>
      <c r="F981" t="s">
        <v>21</v>
      </c>
      <c r="G981" t="s">
        <v>21</v>
      </c>
      <c r="H981" t="s">
        <v>46</v>
      </c>
      <c r="I981" t="s">
        <v>79</v>
      </c>
      <c r="J981" t="s">
        <v>64</v>
      </c>
      <c r="K981">
        <v>1</v>
      </c>
      <c r="L981">
        <v>38800</v>
      </c>
      <c r="M981">
        <v>25</v>
      </c>
      <c r="N981">
        <v>29100</v>
      </c>
      <c r="O981" t="s">
        <v>48</v>
      </c>
      <c r="P981">
        <v>4</v>
      </c>
      <c r="Q981" t="s">
        <v>26</v>
      </c>
    </row>
    <row r="982" spans="1:17" x14ac:dyDescent="0.3">
      <c r="A982" t="s">
        <v>1835</v>
      </c>
      <c r="B982" t="s">
        <v>1836</v>
      </c>
      <c r="C982" t="s">
        <v>38</v>
      </c>
      <c r="D982" t="s">
        <v>83</v>
      </c>
      <c r="E982">
        <v>55</v>
      </c>
      <c r="F982" t="s">
        <v>61</v>
      </c>
      <c r="G982" t="s">
        <v>61</v>
      </c>
      <c r="H982" t="s">
        <v>46</v>
      </c>
      <c r="I982" t="s">
        <v>79</v>
      </c>
      <c r="J982" t="s">
        <v>64</v>
      </c>
      <c r="K982">
        <v>10</v>
      </c>
      <c r="L982">
        <v>22700</v>
      </c>
      <c r="M982">
        <v>5</v>
      </c>
      <c r="N982">
        <v>215650</v>
      </c>
      <c r="O982" t="s">
        <v>85</v>
      </c>
      <c r="Q982" t="s">
        <v>41</v>
      </c>
    </row>
    <row r="983" spans="1:17" x14ac:dyDescent="0.3">
      <c r="A983" t="s">
        <v>1837</v>
      </c>
      <c r="B983" t="s">
        <v>1404</v>
      </c>
      <c r="C983" t="s">
        <v>60</v>
      </c>
      <c r="D983" t="s">
        <v>103</v>
      </c>
      <c r="E983">
        <v>19</v>
      </c>
      <c r="F983" t="s">
        <v>44</v>
      </c>
      <c r="G983" t="s">
        <v>45</v>
      </c>
      <c r="H983" t="s">
        <v>32</v>
      </c>
      <c r="I983" t="s">
        <v>53</v>
      </c>
      <c r="J983" t="s">
        <v>34</v>
      </c>
      <c r="K983">
        <v>7</v>
      </c>
      <c r="L983">
        <v>16600</v>
      </c>
      <c r="M983">
        <v>0</v>
      </c>
      <c r="N983">
        <v>116200</v>
      </c>
      <c r="O983" t="s">
        <v>85</v>
      </c>
      <c r="P983">
        <v>2</v>
      </c>
      <c r="Q983" t="s">
        <v>65</v>
      </c>
    </row>
    <row r="984" spans="1:17" x14ac:dyDescent="0.3">
      <c r="A984" t="s">
        <v>1838</v>
      </c>
      <c r="B984" t="s">
        <v>1291</v>
      </c>
      <c r="C984" t="s">
        <v>88</v>
      </c>
      <c r="D984" t="s">
        <v>20</v>
      </c>
      <c r="E984">
        <v>59</v>
      </c>
      <c r="F984" t="s">
        <v>44</v>
      </c>
      <c r="G984" t="s">
        <v>100</v>
      </c>
      <c r="H984" t="s">
        <v>46</v>
      </c>
      <c r="I984" t="s">
        <v>47</v>
      </c>
      <c r="J984" t="s">
        <v>89</v>
      </c>
      <c r="K984" t="s">
        <v>1321</v>
      </c>
      <c r="L984">
        <v>7900</v>
      </c>
      <c r="M984">
        <v>20</v>
      </c>
      <c r="N984">
        <v>18960</v>
      </c>
      <c r="O984" t="s">
        <v>40</v>
      </c>
      <c r="P984">
        <v>3</v>
      </c>
      <c r="Q984" t="s">
        <v>26</v>
      </c>
    </row>
    <row r="985" spans="1:17" x14ac:dyDescent="0.3">
      <c r="A985" t="s">
        <v>1839</v>
      </c>
      <c r="B985" t="s">
        <v>1840</v>
      </c>
      <c r="C985" t="s">
        <v>60</v>
      </c>
      <c r="D985" t="s">
        <v>83</v>
      </c>
      <c r="E985">
        <v>30</v>
      </c>
      <c r="F985" t="s">
        <v>56</v>
      </c>
      <c r="G985" t="s">
        <v>57</v>
      </c>
      <c r="H985" t="s">
        <v>32</v>
      </c>
      <c r="I985" t="s">
        <v>53</v>
      </c>
      <c r="J985" t="s">
        <v>64</v>
      </c>
      <c r="K985">
        <v>4</v>
      </c>
      <c r="L985">
        <v>27100</v>
      </c>
      <c r="M985">
        <v>0</v>
      </c>
      <c r="N985" t="s">
        <v>1841</v>
      </c>
      <c r="O985" t="s">
        <v>105</v>
      </c>
      <c r="Q985" t="s">
        <v>74</v>
      </c>
    </row>
    <row r="986" spans="1:17" x14ac:dyDescent="0.3">
      <c r="A986" t="s">
        <v>1842</v>
      </c>
      <c r="B986" t="s">
        <v>1843</v>
      </c>
      <c r="C986" t="s">
        <v>71</v>
      </c>
      <c r="D986" t="s">
        <v>39</v>
      </c>
      <c r="E986">
        <v>42</v>
      </c>
      <c r="F986" t="s">
        <v>51</v>
      </c>
      <c r="G986" t="s">
        <v>52</v>
      </c>
      <c r="H986" t="s">
        <v>46</v>
      </c>
      <c r="I986" t="s">
        <v>47</v>
      </c>
      <c r="J986" t="s">
        <v>89</v>
      </c>
      <c r="K986">
        <v>3</v>
      </c>
      <c r="L986">
        <v>34900</v>
      </c>
      <c r="M986">
        <v>20</v>
      </c>
      <c r="N986">
        <v>83760</v>
      </c>
      <c r="O986" t="s">
        <v>40</v>
      </c>
      <c r="P986">
        <v>2</v>
      </c>
      <c r="Q986" t="s">
        <v>74</v>
      </c>
    </row>
    <row r="987" spans="1:17" x14ac:dyDescent="0.3">
      <c r="A987" t="s">
        <v>1844</v>
      </c>
      <c r="B987" t="s">
        <v>230</v>
      </c>
      <c r="C987" t="s">
        <v>113</v>
      </c>
      <c r="E987">
        <v>33</v>
      </c>
      <c r="F987" t="s">
        <v>77</v>
      </c>
      <c r="G987" t="s">
        <v>78</v>
      </c>
      <c r="H987" t="s">
        <v>62</v>
      </c>
      <c r="I987" t="s">
        <v>63</v>
      </c>
      <c r="J987" t="s">
        <v>80</v>
      </c>
      <c r="K987">
        <v>5</v>
      </c>
      <c r="L987">
        <v>45400</v>
      </c>
      <c r="M987">
        <v>20</v>
      </c>
      <c r="N987">
        <v>181600</v>
      </c>
      <c r="O987" t="s">
        <v>40</v>
      </c>
      <c r="P987">
        <v>2</v>
      </c>
      <c r="Q987" t="s">
        <v>65</v>
      </c>
    </row>
    <row r="988" spans="1:17" x14ac:dyDescent="0.3">
      <c r="A988" t="s">
        <v>1845</v>
      </c>
      <c r="B988" t="s">
        <v>625</v>
      </c>
      <c r="C988" t="s">
        <v>29</v>
      </c>
      <c r="D988" t="s">
        <v>39</v>
      </c>
      <c r="E988">
        <v>41</v>
      </c>
      <c r="F988" t="s">
        <v>44</v>
      </c>
      <c r="G988" t="s">
        <v>45</v>
      </c>
      <c r="H988" t="s">
        <v>116</v>
      </c>
      <c r="I988" t="s">
        <v>84</v>
      </c>
      <c r="J988" t="s">
        <v>80</v>
      </c>
      <c r="K988">
        <v>7</v>
      </c>
      <c r="L988">
        <v>46000</v>
      </c>
      <c r="M988">
        <v>0</v>
      </c>
      <c r="N988">
        <v>322000</v>
      </c>
      <c r="O988" t="s">
        <v>73</v>
      </c>
      <c r="P988">
        <v>2</v>
      </c>
      <c r="Q988" t="s">
        <v>26</v>
      </c>
    </row>
    <row r="989" spans="1:17" x14ac:dyDescent="0.3">
      <c r="A989" t="s">
        <v>1846</v>
      </c>
      <c r="B989" t="s">
        <v>600</v>
      </c>
      <c r="C989" t="s">
        <v>121</v>
      </c>
      <c r="D989" t="s">
        <v>39</v>
      </c>
      <c r="E989">
        <v>62</v>
      </c>
      <c r="F989" t="s">
        <v>30</v>
      </c>
      <c r="G989" t="s">
        <v>57</v>
      </c>
      <c r="H989" t="s">
        <v>46</v>
      </c>
      <c r="I989" t="s">
        <v>47</v>
      </c>
      <c r="J989" t="s">
        <v>24</v>
      </c>
      <c r="K989">
        <v>8</v>
      </c>
      <c r="L989">
        <v>12700</v>
      </c>
      <c r="M989">
        <v>20</v>
      </c>
      <c r="N989">
        <v>81280</v>
      </c>
      <c r="O989" t="s">
        <v>85</v>
      </c>
      <c r="P989">
        <v>1</v>
      </c>
      <c r="Q989" t="s">
        <v>74</v>
      </c>
    </row>
    <row r="990" spans="1:17" x14ac:dyDescent="0.3">
      <c r="A990" t="s">
        <v>1847</v>
      </c>
      <c r="B990" t="s">
        <v>1848</v>
      </c>
      <c r="C990" t="s">
        <v>94</v>
      </c>
      <c r="D990" t="s">
        <v>103</v>
      </c>
      <c r="E990">
        <v>40</v>
      </c>
      <c r="F990" t="s">
        <v>77</v>
      </c>
      <c r="G990" t="s">
        <v>95</v>
      </c>
      <c r="H990" t="s">
        <v>62</v>
      </c>
      <c r="I990" t="s">
        <v>140</v>
      </c>
      <c r="J990" t="s">
        <v>80</v>
      </c>
      <c r="K990">
        <v>1</v>
      </c>
      <c r="L990">
        <v>13900</v>
      </c>
      <c r="M990">
        <v>5</v>
      </c>
      <c r="N990">
        <v>13205</v>
      </c>
      <c r="O990" t="s">
        <v>25</v>
      </c>
      <c r="Q990" t="s">
        <v>74</v>
      </c>
    </row>
    <row r="991" spans="1:17" x14ac:dyDescent="0.3">
      <c r="A991" t="s">
        <v>1849</v>
      </c>
      <c r="B991" t="s">
        <v>635</v>
      </c>
      <c r="C991" t="s">
        <v>71</v>
      </c>
      <c r="D991" t="s">
        <v>103</v>
      </c>
      <c r="E991">
        <v>49</v>
      </c>
      <c r="F991" t="s">
        <v>61</v>
      </c>
      <c r="G991" t="s">
        <v>61</v>
      </c>
      <c r="H991" t="s">
        <v>46</v>
      </c>
      <c r="I991" t="s">
        <v>79</v>
      </c>
      <c r="J991" t="s">
        <v>64</v>
      </c>
      <c r="K991">
        <v>7</v>
      </c>
      <c r="L991">
        <v>21600</v>
      </c>
      <c r="M991">
        <v>20</v>
      </c>
      <c r="N991">
        <v>120960</v>
      </c>
      <c r="O991" t="s">
        <v>85</v>
      </c>
      <c r="P991">
        <v>3</v>
      </c>
      <c r="Q991" t="s">
        <v>74</v>
      </c>
    </row>
    <row r="992" spans="1:17" x14ac:dyDescent="0.3">
      <c r="A992" t="s">
        <v>1850</v>
      </c>
      <c r="B992" t="s">
        <v>1851</v>
      </c>
      <c r="C992" t="s">
        <v>38</v>
      </c>
      <c r="D992" t="s">
        <v>103</v>
      </c>
      <c r="E992">
        <v>37</v>
      </c>
      <c r="F992" t="s">
        <v>21</v>
      </c>
      <c r="G992" t="s">
        <v>21</v>
      </c>
      <c r="H992" t="s">
        <v>22</v>
      </c>
      <c r="I992" t="s">
        <v>23</v>
      </c>
      <c r="J992" t="s">
        <v>80</v>
      </c>
      <c r="K992">
        <v>10</v>
      </c>
      <c r="L992">
        <v>37900</v>
      </c>
      <c r="M992">
        <v>15</v>
      </c>
      <c r="N992">
        <v>322150</v>
      </c>
      <c r="O992" t="s">
        <v>40</v>
      </c>
      <c r="P992">
        <v>1</v>
      </c>
      <c r="Q992" t="s">
        <v>74</v>
      </c>
    </row>
    <row r="993" spans="1:17" x14ac:dyDescent="0.3">
      <c r="A993" t="s">
        <v>1852</v>
      </c>
      <c r="B993" t="s">
        <v>1853</v>
      </c>
      <c r="C993" t="s">
        <v>19</v>
      </c>
      <c r="D993" t="s">
        <v>20</v>
      </c>
      <c r="E993">
        <v>34</v>
      </c>
      <c r="F993" t="s">
        <v>30</v>
      </c>
      <c r="G993" t="s">
        <v>31</v>
      </c>
      <c r="H993" t="s">
        <v>22</v>
      </c>
      <c r="I993" t="s">
        <v>84</v>
      </c>
      <c r="J993" t="s">
        <v>34</v>
      </c>
      <c r="K993">
        <v>2</v>
      </c>
      <c r="L993">
        <v>15700</v>
      </c>
      <c r="M993">
        <v>15</v>
      </c>
      <c r="N993">
        <v>26690</v>
      </c>
      <c r="O993" t="s">
        <v>25</v>
      </c>
      <c r="P993">
        <v>3</v>
      </c>
      <c r="Q993" t="s">
        <v>26</v>
      </c>
    </row>
    <row r="994" spans="1:17" x14ac:dyDescent="0.3">
      <c r="A994" t="s">
        <v>1854</v>
      </c>
      <c r="B994" t="s">
        <v>1855</v>
      </c>
      <c r="C994" t="s">
        <v>113</v>
      </c>
      <c r="D994" t="s">
        <v>20</v>
      </c>
      <c r="E994">
        <v>35</v>
      </c>
      <c r="F994" t="s">
        <v>44</v>
      </c>
      <c r="G994" t="s">
        <v>45</v>
      </c>
      <c r="H994" t="s">
        <v>32</v>
      </c>
      <c r="I994" t="s">
        <v>53</v>
      </c>
      <c r="J994" t="s">
        <v>80</v>
      </c>
      <c r="K994">
        <v>10</v>
      </c>
      <c r="L994">
        <v>34100</v>
      </c>
      <c r="M994">
        <v>15</v>
      </c>
      <c r="N994">
        <v>289850</v>
      </c>
      <c r="O994" t="s">
        <v>105</v>
      </c>
      <c r="P994">
        <v>3</v>
      </c>
      <c r="Q994" t="s">
        <v>74</v>
      </c>
    </row>
    <row r="995" spans="1:17" x14ac:dyDescent="0.3">
      <c r="A995" t="s">
        <v>1856</v>
      </c>
      <c r="B995" t="s">
        <v>1857</v>
      </c>
      <c r="C995" t="s">
        <v>88</v>
      </c>
      <c r="D995" t="s">
        <v>20</v>
      </c>
      <c r="E995">
        <v>41</v>
      </c>
      <c r="F995" t="s">
        <v>44</v>
      </c>
      <c r="G995" t="s">
        <v>100</v>
      </c>
      <c r="H995" t="s">
        <v>32</v>
      </c>
      <c r="I995" t="s">
        <v>53</v>
      </c>
      <c r="J995" t="s">
        <v>64</v>
      </c>
      <c r="K995">
        <v>1</v>
      </c>
      <c r="L995">
        <v>2900</v>
      </c>
      <c r="M995">
        <v>0</v>
      </c>
      <c r="N995">
        <v>2900</v>
      </c>
      <c r="O995" t="s">
        <v>35</v>
      </c>
      <c r="Q995" t="s">
        <v>74</v>
      </c>
    </row>
    <row r="996" spans="1:17" x14ac:dyDescent="0.3">
      <c r="A996" t="s">
        <v>1858</v>
      </c>
      <c r="B996" t="s">
        <v>1239</v>
      </c>
      <c r="C996" t="s">
        <v>29</v>
      </c>
      <c r="E996">
        <v>19</v>
      </c>
      <c r="F996" t="s">
        <v>51</v>
      </c>
      <c r="G996" t="s">
        <v>52</v>
      </c>
      <c r="H996" t="s">
        <v>46</v>
      </c>
      <c r="I996" t="s">
        <v>47</v>
      </c>
      <c r="J996" t="s">
        <v>89</v>
      </c>
      <c r="K996">
        <v>3</v>
      </c>
      <c r="L996">
        <v>21300</v>
      </c>
      <c r="M996">
        <v>20</v>
      </c>
      <c r="N996">
        <v>51120</v>
      </c>
      <c r="O996" t="s">
        <v>73</v>
      </c>
      <c r="P996">
        <v>3</v>
      </c>
      <c r="Q996" t="s">
        <v>26</v>
      </c>
    </row>
    <row r="997" spans="1:17" x14ac:dyDescent="0.3">
      <c r="A997" t="s">
        <v>1859</v>
      </c>
      <c r="B997" t="s">
        <v>1860</v>
      </c>
      <c r="C997" t="s">
        <v>19</v>
      </c>
      <c r="D997" t="s">
        <v>20</v>
      </c>
      <c r="E997">
        <v>59</v>
      </c>
      <c r="F997" t="s">
        <v>1122</v>
      </c>
      <c r="G997" t="s">
        <v>78</v>
      </c>
      <c r="H997" t="s">
        <v>46</v>
      </c>
      <c r="I997" t="s">
        <v>79</v>
      </c>
      <c r="J997" t="s">
        <v>34</v>
      </c>
      <c r="K997">
        <v>4</v>
      </c>
      <c r="L997">
        <v>49400</v>
      </c>
      <c r="M997">
        <v>25</v>
      </c>
      <c r="N997">
        <v>148200</v>
      </c>
      <c r="O997" t="s">
        <v>48</v>
      </c>
      <c r="Q997" t="s">
        <v>26</v>
      </c>
    </row>
    <row r="998" spans="1:17" x14ac:dyDescent="0.3">
      <c r="A998" t="s">
        <v>1861</v>
      </c>
      <c r="B998" t="s">
        <v>1862</v>
      </c>
      <c r="C998" t="s">
        <v>94</v>
      </c>
      <c r="D998" t="s">
        <v>20</v>
      </c>
      <c r="E998">
        <v>30</v>
      </c>
      <c r="F998" t="s">
        <v>61</v>
      </c>
      <c r="G998" t="s">
        <v>61</v>
      </c>
      <c r="H998" t="s">
        <v>32</v>
      </c>
      <c r="I998" t="s">
        <v>53</v>
      </c>
      <c r="J998" t="s">
        <v>34</v>
      </c>
      <c r="K998">
        <v>9</v>
      </c>
      <c r="L998">
        <v>13700</v>
      </c>
      <c r="M998">
        <v>15</v>
      </c>
      <c r="N998">
        <v>104805</v>
      </c>
      <c r="O998" t="s">
        <v>35</v>
      </c>
      <c r="Q998" t="s">
        <v>74</v>
      </c>
    </row>
    <row r="999" spans="1:17" x14ac:dyDescent="0.3">
      <c r="A999" t="s">
        <v>1863</v>
      </c>
      <c r="B999" t="s">
        <v>1864</v>
      </c>
      <c r="C999" t="s">
        <v>29</v>
      </c>
      <c r="D999" t="s">
        <v>103</v>
      </c>
      <c r="E999">
        <v>22</v>
      </c>
      <c r="F999" t="s">
        <v>107</v>
      </c>
      <c r="G999" t="s">
        <v>52</v>
      </c>
      <c r="H999" t="s">
        <v>32</v>
      </c>
      <c r="I999" t="s">
        <v>33</v>
      </c>
      <c r="J999" t="s">
        <v>34</v>
      </c>
      <c r="K999">
        <v>7</v>
      </c>
      <c r="L999">
        <v>29500</v>
      </c>
      <c r="M999">
        <v>0</v>
      </c>
      <c r="N999">
        <v>206500</v>
      </c>
      <c r="O999" t="s">
        <v>105</v>
      </c>
      <c r="P999">
        <v>1</v>
      </c>
      <c r="Q999" t="s">
        <v>65</v>
      </c>
    </row>
    <row r="1000" spans="1:17" x14ac:dyDescent="0.3">
      <c r="A1000" t="s">
        <v>1865</v>
      </c>
      <c r="B1000" t="s">
        <v>552</v>
      </c>
      <c r="C1000" t="s">
        <v>68</v>
      </c>
      <c r="D1000" t="s">
        <v>39</v>
      </c>
      <c r="E1000">
        <v>34</v>
      </c>
      <c r="F1000" t="s">
        <v>461</v>
      </c>
      <c r="G1000" t="s">
        <v>21</v>
      </c>
      <c r="H1000" t="s">
        <v>62</v>
      </c>
      <c r="I1000" t="s">
        <v>63</v>
      </c>
      <c r="J1000" t="s">
        <v>89</v>
      </c>
      <c r="K1000">
        <v>7</v>
      </c>
      <c r="L1000">
        <v>23500</v>
      </c>
      <c r="M1000">
        <v>0</v>
      </c>
      <c r="N1000">
        <v>164500</v>
      </c>
      <c r="O1000" t="s">
        <v>40</v>
      </c>
      <c r="P1000">
        <v>3</v>
      </c>
      <c r="Q1000" t="s">
        <v>65</v>
      </c>
    </row>
    <row r="1001" spans="1:17" x14ac:dyDescent="0.3">
      <c r="A1001" t="s">
        <v>1866</v>
      </c>
      <c r="B1001" t="s">
        <v>644</v>
      </c>
      <c r="C1001" t="s">
        <v>71</v>
      </c>
      <c r="D1001" t="s">
        <v>39</v>
      </c>
      <c r="E1001">
        <v>50</v>
      </c>
      <c r="F1001" t="s">
        <v>51</v>
      </c>
      <c r="G1001" t="s">
        <v>52</v>
      </c>
      <c r="H1001" t="s">
        <v>32</v>
      </c>
      <c r="I1001" t="s">
        <v>33</v>
      </c>
      <c r="J1001" t="s">
        <v>24</v>
      </c>
      <c r="K1001">
        <v>8</v>
      </c>
      <c r="L1001">
        <v>37700</v>
      </c>
      <c r="M1001">
        <v>5</v>
      </c>
      <c r="N1001">
        <v>286520</v>
      </c>
      <c r="O1001" t="s">
        <v>105</v>
      </c>
      <c r="Q1001" t="s">
        <v>41</v>
      </c>
    </row>
    <row r="1002" spans="1:17" x14ac:dyDescent="0.3">
      <c r="A1002" t="s">
        <v>1867</v>
      </c>
      <c r="B1002" t="s">
        <v>1868</v>
      </c>
      <c r="C1002" t="s">
        <v>68</v>
      </c>
      <c r="D1002" t="s">
        <v>103</v>
      </c>
      <c r="E1002">
        <v>22</v>
      </c>
      <c r="F1002" t="s">
        <v>21</v>
      </c>
      <c r="G1002" t="s">
        <v>21</v>
      </c>
      <c r="H1002" t="s">
        <v>46</v>
      </c>
      <c r="I1002" t="s">
        <v>47</v>
      </c>
      <c r="J1002" t="s">
        <v>34</v>
      </c>
      <c r="K1002">
        <v>2</v>
      </c>
      <c r="L1002">
        <v>43800</v>
      </c>
      <c r="M1002">
        <v>0</v>
      </c>
      <c r="N1002">
        <v>87600</v>
      </c>
      <c r="O1002" t="s">
        <v>40</v>
      </c>
      <c r="P1002">
        <v>5</v>
      </c>
      <c r="Q1002" t="s">
        <v>41</v>
      </c>
    </row>
    <row r="1003" spans="1:17" x14ac:dyDescent="0.3">
      <c r="A1003" t="s">
        <v>1869</v>
      </c>
      <c r="B1003" t="s">
        <v>893</v>
      </c>
      <c r="C1003" t="s">
        <v>71</v>
      </c>
      <c r="D1003" t="s">
        <v>39</v>
      </c>
      <c r="E1003">
        <v>61</v>
      </c>
      <c r="F1003" t="s">
        <v>21</v>
      </c>
      <c r="G1003" t="s">
        <v>21</v>
      </c>
      <c r="H1003" t="s">
        <v>62</v>
      </c>
      <c r="I1003" t="s">
        <v>140</v>
      </c>
      <c r="J1003" t="s">
        <v>89</v>
      </c>
      <c r="K1003">
        <v>3</v>
      </c>
      <c r="L1003">
        <v>18100</v>
      </c>
      <c r="M1003">
        <v>10</v>
      </c>
      <c r="N1003">
        <v>48870</v>
      </c>
      <c r="O1003" t="s">
        <v>48</v>
      </c>
      <c r="P1003">
        <v>5</v>
      </c>
      <c r="Q1003" t="s">
        <v>41</v>
      </c>
    </row>
    <row r="1004" spans="1:17" x14ac:dyDescent="0.3">
      <c r="A1004" t="s">
        <v>1870</v>
      </c>
      <c r="B1004" t="s">
        <v>1871</v>
      </c>
      <c r="C1004" t="s">
        <v>68</v>
      </c>
      <c r="D1004" t="s">
        <v>103</v>
      </c>
      <c r="E1004">
        <v>-3</v>
      </c>
      <c r="F1004" t="s">
        <v>30</v>
      </c>
      <c r="G1004" t="s">
        <v>31</v>
      </c>
      <c r="H1004" t="s">
        <v>46</v>
      </c>
      <c r="I1004" t="s">
        <v>79</v>
      </c>
      <c r="J1004" t="s">
        <v>89</v>
      </c>
      <c r="K1004">
        <v>1</v>
      </c>
      <c r="L1004">
        <v>11500</v>
      </c>
      <c r="M1004">
        <v>15</v>
      </c>
      <c r="N1004">
        <v>9775</v>
      </c>
      <c r="O1004" t="s">
        <v>48</v>
      </c>
      <c r="P1004">
        <v>2</v>
      </c>
      <c r="Q1004" t="s">
        <v>65</v>
      </c>
    </row>
    <row r="1005" spans="1:17" x14ac:dyDescent="0.3">
      <c r="A1005" t="s">
        <v>1872</v>
      </c>
      <c r="B1005" t="s">
        <v>433</v>
      </c>
      <c r="C1005" t="s">
        <v>38</v>
      </c>
      <c r="D1005" t="s">
        <v>83</v>
      </c>
      <c r="E1005">
        <v>32</v>
      </c>
      <c r="F1005" t="s">
        <v>51</v>
      </c>
      <c r="G1005" t="s">
        <v>104</v>
      </c>
      <c r="H1005" t="s">
        <v>116</v>
      </c>
      <c r="I1005" t="s">
        <v>23</v>
      </c>
      <c r="J1005" t="s">
        <v>24</v>
      </c>
      <c r="K1005">
        <v>4</v>
      </c>
      <c r="L1005">
        <v>27500</v>
      </c>
      <c r="M1005">
        <v>15</v>
      </c>
      <c r="N1005">
        <v>93500</v>
      </c>
      <c r="O1005" t="s">
        <v>48</v>
      </c>
      <c r="Q1005" t="s">
        <v>74</v>
      </c>
    </row>
    <row r="1006" spans="1:17" x14ac:dyDescent="0.3">
      <c r="A1006" t="s">
        <v>1873</v>
      </c>
      <c r="B1006" t="s">
        <v>1323</v>
      </c>
      <c r="C1006" t="s">
        <v>68</v>
      </c>
      <c r="D1006" t="s">
        <v>83</v>
      </c>
      <c r="E1006">
        <v>52</v>
      </c>
      <c r="F1006" t="s">
        <v>44</v>
      </c>
      <c r="G1006" t="s">
        <v>100</v>
      </c>
      <c r="H1006" t="s">
        <v>32</v>
      </c>
      <c r="I1006" t="s">
        <v>53</v>
      </c>
      <c r="J1006" t="s">
        <v>72</v>
      </c>
      <c r="K1006">
        <v>1</v>
      </c>
      <c r="L1006">
        <v>17800</v>
      </c>
      <c r="M1006">
        <v>5</v>
      </c>
      <c r="N1006">
        <v>16910</v>
      </c>
      <c r="O1006" t="s">
        <v>85</v>
      </c>
      <c r="P1006">
        <v>3</v>
      </c>
      <c r="Q1006" t="s">
        <v>26</v>
      </c>
    </row>
    <row r="1007" spans="1:17" x14ac:dyDescent="0.3">
      <c r="A1007" t="s">
        <v>1874</v>
      </c>
      <c r="B1007" t="s">
        <v>125</v>
      </c>
      <c r="C1007" t="s">
        <v>94</v>
      </c>
      <c r="D1007" t="s">
        <v>39</v>
      </c>
      <c r="E1007">
        <v>23</v>
      </c>
      <c r="F1007" t="s">
        <v>21</v>
      </c>
      <c r="G1007" t="s">
        <v>21</v>
      </c>
      <c r="H1007" t="s">
        <v>32</v>
      </c>
      <c r="I1007" t="s">
        <v>53</v>
      </c>
      <c r="J1007" t="s">
        <v>34</v>
      </c>
      <c r="K1007">
        <v>4</v>
      </c>
      <c r="L1007">
        <v>15000</v>
      </c>
      <c r="M1007">
        <v>10</v>
      </c>
      <c r="N1007">
        <v>54000</v>
      </c>
      <c r="O1007" t="s">
        <v>48</v>
      </c>
      <c r="P1007">
        <v>4</v>
      </c>
      <c r="Q1007" t="s">
        <v>26</v>
      </c>
    </row>
    <row r="1008" spans="1:17" x14ac:dyDescent="0.3">
      <c r="A1008" t="s">
        <v>1875</v>
      </c>
      <c r="B1008" t="s">
        <v>1876</v>
      </c>
      <c r="C1008" t="s">
        <v>19</v>
      </c>
      <c r="D1008" t="s">
        <v>39</v>
      </c>
      <c r="E1008">
        <v>27</v>
      </c>
      <c r="F1008" t="s">
        <v>44</v>
      </c>
      <c r="G1008" t="s">
        <v>100</v>
      </c>
      <c r="H1008" t="s">
        <v>22</v>
      </c>
      <c r="I1008" t="s">
        <v>84</v>
      </c>
      <c r="J1008" t="s">
        <v>64</v>
      </c>
      <c r="K1008">
        <v>10</v>
      </c>
      <c r="L1008">
        <v>13900</v>
      </c>
      <c r="M1008">
        <v>20</v>
      </c>
      <c r="N1008">
        <v>111200</v>
      </c>
      <c r="O1008" t="s">
        <v>25</v>
      </c>
      <c r="Q1008" t="s">
        <v>74</v>
      </c>
    </row>
    <row r="1009" spans="1:17" x14ac:dyDescent="0.3">
      <c r="A1009" t="s">
        <v>1877</v>
      </c>
      <c r="B1009" t="s">
        <v>588</v>
      </c>
      <c r="C1009" t="s">
        <v>19</v>
      </c>
      <c r="D1009" t="s">
        <v>20</v>
      </c>
      <c r="E1009">
        <v>50</v>
      </c>
      <c r="F1009" t="s">
        <v>44</v>
      </c>
      <c r="G1009" t="s">
        <v>45</v>
      </c>
      <c r="H1009" t="s">
        <v>32</v>
      </c>
      <c r="I1009" t="s">
        <v>53</v>
      </c>
      <c r="J1009" t="s">
        <v>64</v>
      </c>
      <c r="K1009">
        <v>1</v>
      </c>
      <c r="L1009">
        <v>44800</v>
      </c>
      <c r="M1009">
        <v>0</v>
      </c>
      <c r="N1009">
        <v>44800</v>
      </c>
      <c r="O1009" t="s">
        <v>48</v>
      </c>
      <c r="P1009">
        <v>2</v>
      </c>
      <c r="Q1009" t="s">
        <v>26</v>
      </c>
    </row>
    <row r="1010" spans="1:17" x14ac:dyDescent="0.3">
      <c r="A1010" t="s">
        <v>1878</v>
      </c>
      <c r="B1010" t="s">
        <v>1879</v>
      </c>
      <c r="C1010" t="s">
        <v>60</v>
      </c>
      <c r="D1010" t="s">
        <v>103</v>
      </c>
      <c r="E1010">
        <v>47</v>
      </c>
      <c r="F1010" t="s">
        <v>21</v>
      </c>
      <c r="G1010" t="s">
        <v>21</v>
      </c>
      <c r="H1010" t="s">
        <v>62</v>
      </c>
      <c r="I1010" t="s">
        <v>63</v>
      </c>
      <c r="J1010" t="s">
        <v>34</v>
      </c>
      <c r="K1010">
        <v>3</v>
      </c>
      <c r="L1010">
        <v>31400</v>
      </c>
      <c r="M1010">
        <v>0</v>
      </c>
      <c r="N1010">
        <v>94200</v>
      </c>
      <c r="O1010" t="s">
        <v>85</v>
      </c>
      <c r="Q1010" t="s">
        <v>74</v>
      </c>
    </row>
    <row r="1011" spans="1:17" x14ac:dyDescent="0.3">
      <c r="A1011" t="s">
        <v>1880</v>
      </c>
      <c r="B1011" t="s">
        <v>629</v>
      </c>
      <c r="C1011" t="s">
        <v>19</v>
      </c>
      <c r="D1011" t="s">
        <v>83</v>
      </c>
      <c r="E1011">
        <v>42</v>
      </c>
      <c r="F1011" t="s">
        <v>44</v>
      </c>
      <c r="G1011" t="s">
        <v>45</v>
      </c>
      <c r="H1011" t="s">
        <v>32</v>
      </c>
      <c r="I1011" t="s">
        <v>53</v>
      </c>
      <c r="J1011" t="s">
        <v>64</v>
      </c>
      <c r="K1011">
        <v>5</v>
      </c>
      <c r="L1011">
        <v>25300</v>
      </c>
      <c r="M1011">
        <v>10</v>
      </c>
      <c r="N1011">
        <v>113850</v>
      </c>
      <c r="O1011" t="s">
        <v>40</v>
      </c>
      <c r="P1011">
        <v>3</v>
      </c>
      <c r="Q1011" t="s">
        <v>26</v>
      </c>
    </row>
    <row r="1012" spans="1:17" x14ac:dyDescent="0.3">
      <c r="A1012" t="s">
        <v>1881</v>
      </c>
      <c r="B1012" t="s">
        <v>260</v>
      </c>
      <c r="C1012" t="s">
        <v>19</v>
      </c>
      <c r="D1012" t="s">
        <v>39</v>
      </c>
      <c r="E1012">
        <v>32</v>
      </c>
      <c r="F1012" t="s">
        <v>77</v>
      </c>
      <c r="G1012" t="s">
        <v>95</v>
      </c>
      <c r="H1012" t="s">
        <v>32</v>
      </c>
      <c r="I1012" t="s">
        <v>33</v>
      </c>
      <c r="J1012" t="s">
        <v>34</v>
      </c>
      <c r="K1012">
        <v>4</v>
      </c>
      <c r="L1012">
        <v>12300</v>
      </c>
      <c r="M1012">
        <v>5</v>
      </c>
      <c r="N1012" t="s">
        <v>1882</v>
      </c>
      <c r="O1012" t="s">
        <v>85</v>
      </c>
      <c r="Q1012" t="s">
        <v>65</v>
      </c>
    </row>
    <row r="1013" spans="1:17" x14ac:dyDescent="0.3">
      <c r="A1013" t="s">
        <v>1883</v>
      </c>
      <c r="B1013" t="s">
        <v>1884</v>
      </c>
      <c r="C1013" t="s">
        <v>113</v>
      </c>
      <c r="D1013" t="s">
        <v>39</v>
      </c>
      <c r="E1013">
        <v>24</v>
      </c>
      <c r="F1013" t="s">
        <v>390</v>
      </c>
      <c r="G1013" t="s">
        <v>61</v>
      </c>
      <c r="H1013" t="s">
        <v>62</v>
      </c>
      <c r="I1013" t="s">
        <v>140</v>
      </c>
      <c r="J1013" t="s">
        <v>34</v>
      </c>
      <c r="K1013">
        <v>2</v>
      </c>
      <c r="L1013">
        <v>11200</v>
      </c>
      <c r="M1013">
        <v>15</v>
      </c>
      <c r="N1013">
        <v>19040</v>
      </c>
      <c r="O1013" t="s">
        <v>105</v>
      </c>
      <c r="Q1013" t="s">
        <v>26</v>
      </c>
    </row>
    <row r="1014" spans="1:17" x14ac:dyDescent="0.3">
      <c r="A1014" t="s">
        <v>1885</v>
      </c>
      <c r="B1014" t="s">
        <v>256</v>
      </c>
      <c r="C1014" t="s">
        <v>38</v>
      </c>
      <c r="D1014" t="s">
        <v>20</v>
      </c>
      <c r="E1014">
        <v>48</v>
      </c>
      <c r="F1014" t="s">
        <v>61</v>
      </c>
      <c r="G1014" t="s">
        <v>61</v>
      </c>
      <c r="H1014" t="s">
        <v>62</v>
      </c>
      <c r="I1014" t="s">
        <v>140</v>
      </c>
      <c r="J1014" t="s">
        <v>24</v>
      </c>
      <c r="K1014">
        <v>6</v>
      </c>
      <c r="L1014">
        <v>29700</v>
      </c>
      <c r="M1014">
        <v>25</v>
      </c>
      <c r="N1014">
        <v>133650</v>
      </c>
      <c r="O1014" t="s">
        <v>35</v>
      </c>
      <c r="P1014">
        <v>2</v>
      </c>
      <c r="Q1014" t="s">
        <v>65</v>
      </c>
    </row>
    <row r="1015" spans="1:17" x14ac:dyDescent="0.3">
      <c r="A1015" t="s">
        <v>1886</v>
      </c>
      <c r="B1015" t="s">
        <v>1887</v>
      </c>
      <c r="C1015" t="s">
        <v>88</v>
      </c>
      <c r="D1015" t="s">
        <v>103</v>
      </c>
      <c r="E1015">
        <v>41</v>
      </c>
      <c r="F1015" t="s">
        <v>30</v>
      </c>
      <c r="G1015" t="s">
        <v>57</v>
      </c>
      <c r="H1015" t="s">
        <v>62</v>
      </c>
      <c r="I1015" t="s">
        <v>140</v>
      </c>
      <c r="J1015" t="s">
        <v>24</v>
      </c>
      <c r="K1015">
        <v>3</v>
      </c>
      <c r="L1015">
        <v>24800</v>
      </c>
      <c r="M1015">
        <v>25</v>
      </c>
      <c r="N1015">
        <v>55800</v>
      </c>
      <c r="O1015" t="s">
        <v>73</v>
      </c>
      <c r="Q1015" t="s">
        <v>41</v>
      </c>
    </row>
    <row r="1016" spans="1:17" x14ac:dyDescent="0.3">
      <c r="A1016" t="s">
        <v>1888</v>
      </c>
      <c r="B1016" t="s">
        <v>1889</v>
      </c>
      <c r="C1016" t="s">
        <v>29</v>
      </c>
      <c r="D1016" t="s">
        <v>39</v>
      </c>
      <c r="E1016">
        <v>57</v>
      </c>
      <c r="F1016" t="s">
        <v>21</v>
      </c>
      <c r="G1016" t="s">
        <v>21</v>
      </c>
      <c r="H1016" t="s">
        <v>22</v>
      </c>
      <c r="I1016" t="s">
        <v>23</v>
      </c>
      <c r="J1016" t="s">
        <v>80</v>
      </c>
      <c r="K1016" t="s">
        <v>173</v>
      </c>
      <c r="L1016">
        <v>44300</v>
      </c>
      <c r="M1016">
        <v>0</v>
      </c>
      <c r="N1016">
        <v>88600</v>
      </c>
      <c r="O1016" t="s">
        <v>48</v>
      </c>
      <c r="Q1016" t="s">
        <v>26</v>
      </c>
    </row>
    <row r="1017" spans="1:17" x14ac:dyDescent="0.3">
      <c r="A1017" t="s">
        <v>1890</v>
      </c>
      <c r="B1017" t="s">
        <v>1891</v>
      </c>
      <c r="C1017" t="s">
        <v>60</v>
      </c>
      <c r="D1017" t="s">
        <v>83</v>
      </c>
      <c r="E1017">
        <v>57</v>
      </c>
      <c r="F1017" t="s">
        <v>21</v>
      </c>
      <c r="G1017" t="s">
        <v>21</v>
      </c>
      <c r="H1017" t="s">
        <v>22</v>
      </c>
      <c r="I1017" t="s">
        <v>84</v>
      </c>
      <c r="J1017" t="s">
        <v>24</v>
      </c>
      <c r="K1017">
        <v>4</v>
      </c>
      <c r="L1017">
        <v>19900</v>
      </c>
      <c r="M1017">
        <v>10</v>
      </c>
      <c r="N1017">
        <v>71640</v>
      </c>
      <c r="O1017" t="s">
        <v>105</v>
      </c>
      <c r="P1017">
        <v>3</v>
      </c>
      <c r="Q1017" t="s">
        <v>65</v>
      </c>
    </row>
    <row r="1018" spans="1:17" x14ac:dyDescent="0.3">
      <c r="A1018" t="s">
        <v>1892</v>
      </c>
      <c r="B1018" t="s">
        <v>957</v>
      </c>
      <c r="C1018" t="s">
        <v>88</v>
      </c>
      <c r="D1018" t="s">
        <v>103</v>
      </c>
      <c r="E1018">
        <v>63</v>
      </c>
      <c r="F1018" t="s">
        <v>565</v>
      </c>
      <c r="G1018" t="s">
        <v>45</v>
      </c>
      <c r="H1018" t="s">
        <v>62</v>
      </c>
      <c r="I1018" t="s">
        <v>63</v>
      </c>
      <c r="J1018" t="s">
        <v>89</v>
      </c>
      <c r="K1018">
        <v>1</v>
      </c>
      <c r="L1018">
        <v>39200</v>
      </c>
      <c r="M1018">
        <v>0</v>
      </c>
      <c r="N1018">
        <v>39200</v>
      </c>
      <c r="O1018" t="s">
        <v>105</v>
      </c>
      <c r="P1018">
        <v>4</v>
      </c>
      <c r="Q1018" t="s">
        <v>74</v>
      </c>
    </row>
    <row r="1019" spans="1:17" x14ac:dyDescent="0.3">
      <c r="A1019" t="s">
        <v>1893</v>
      </c>
      <c r="B1019" t="s">
        <v>1518</v>
      </c>
      <c r="C1019" t="s">
        <v>60</v>
      </c>
      <c r="D1019" t="s">
        <v>20</v>
      </c>
      <c r="E1019">
        <v>36</v>
      </c>
      <c r="F1019" t="s">
        <v>30</v>
      </c>
      <c r="G1019" t="s">
        <v>57</v>
      </c>
      <c r="H1019" t="s">
        <v>22</v>
      </c>
      <c r="I1019" t="s">
        <v>84</v>
      </c>
      <c r="J1019" t="s">
        <v>64</v>
      </c>
      <c r="K1019">
        <v>7</v>
      </c>
      <c r="L1019">
        <v>18000</v>
      </c>
      <c r="M1019">
        <v>20</v>
      </c>
      <c r="N1019">
        <v>100800</v>
      </c>
      <c r="O1019" t="s">
        <v>73</v>
      </c>
      <c r="P1019">
        <v>3</v>
      </c>
      <c r="Q1019" t="s">
        <v>41</v>
      </c>
    </row>
    <row r="1020" spans="1:17" x14ac:dyDescent="0.3">
      <c r="A1020" t="s">
        <v>1894</v>
      </c>
      <c r="B1020" t="s">
        <v>1895</v>
      </c>
      <c r="C1020" t="s">
        <v>29</v>
      </c>
      <c r="D1020" t="s">
        <v>20</v>
      </c>
      <c r="E1020">
        <v>20</v>
      </c>
      <c r="F1020" t="s">
        <v>77</v>
      </c>
      <c r="G1020" t="s">
        <v>95</v>
      </c>
      <c r="H1020" t="s">
        <v>22</v>
      </c>
      <c r="I1020" t="s">
        <v>84</v>
      </c>
      <c r="J1020" t="s">
        <v>34</v>
      </c>
      <c r="K1020">
        <v>8</v>
      </c>
      <c r="L1020">
        <v>38300</v>
      </c>
      <c r="M1020">
        <v>15</v>
      </c>
      <c r="N1020">
        <v>260440</v>
      </c>
      <c r="O1020" t="s">
        <v>40</v>
      </c>
      <c r="Q1020" t="s">
        <v>26</v>
      </c>
    </row>
    <row r="1021" spans="1:17" x14ac:dyDescent="0.3">
      <c r="A1021" t="s">
        <v>1896</v>
      </c>
      <c r="B1021" t="s">
        <v>1897</v>
      </c>
      <c r="C1021" t="s">
        <v>71</v>
      </c>
      <c r="D1021" t="s">
        <v>20</v>
      </c>
      <c r="E1021">
        <v>27</v>
      </c>
      <c r="F1021" t="s">
        <v>61</v>
      </c>
      <c r="G1021" t="s">
        <v>61</v>
      </c>
      <c r="H1021" t="s">
        <v>32</v>
      </c>
      <c r="I1021" t="s">
        <v>33</v>
      </c>
      <c r="J1021" t="s">
        <v>64</v>
      </c>
      <c r="K1021">
        <v>6</v>
      </c>
      <c r="L1021">
        <v>21500</v>
      </c>
      <c r="M1021">
        <v>10</v>
      </c>
      <c r="N1021">
        <v>116100</v>
      </c>
      <c r="O1021" t="s">
        <v>85</v>
      </c>
      <c r="P1021">
        <v>2</v>
      </c>
      <c r="Q1021" t="s">
        <v>26</v>
      </c>
    </row>
    <row r="1022" spans="1:17" x14ac:dyDescent="0.3">
      <c r="A1022" t="s">
        <v>1898</v>
      </c>
      <c r="B1022" t="s">
        <v>1899</v>
      </c>
      <c r="C1022" t="s">
        <v>29</v>
      </c>
      <c r="D1022" t="s">
        <v>20</v>
      </c>
      <c r="E1022">
        <v>22</v>
      </c>
      <c r="F1022" t="s">
        <v>61</v>
      </c>
      <c r="G1022" t="s">
        <v>61</v>
      </c>
      <c r="H1022" t="s">
        <v>62</v>
      </c>
      <c r="I1022" t="s">
        <v>63</v>
      </c>
      <c r="J1022" t="s">
        <v>80</v>
      </c>
      <c r="K1022">
        <v>1</v>
      </c>
      <c r="L1022">
        <v>23500</v>
      </c>
      <c r="M1022">
        <v>15</v>
      </c>
      <c r="N1022">
        <v>19975</v>
      </c>
      <c r="O1022" t="s">
        <v>25</v>
      </c>
      <c r="Q1022" t="s">
        <v>74</v>
      </c>
    </row>
    <row r="1023" spans="1:17" x14ac:dyDescent="0.3">
      <c r="A1023" t="s">
        <v>1900</v>
      </c>
      <c r="B1023" t="s">
        <v>1901</v>
      </c>
      <c r="C1023" t="s">
        <v>38</v>
      </c>
      <c r="E1023">
        <v>46</v>
      </c>
      <c r="F1023" t="s">
        <v>77</v>
      </c>
      <c r="G1023" t="s">
        <v>95</v>
      </c>
      <c r="H1023" t="s">
        <v>46</v>
      </c>
      <c r="I1023" t="s">
        <v>47</v>
      </c>
      <c r="J1023" t="s">
        <v>80</v>
      </c>
      <c r="K1023">
        <v>7</v>
      </c>
      <c r="L1023">
        <v>11500</v>
      </c>
      <c r="M1023">
        <v>10</v>
      </c>
      <c r="N1023">
        <v>72450</v>
      </c>
      <c r="O1023" t="s">
        <v>25</v>
      </c>
      <c r="Q1023" t="s">
        <v>74</v>
      </c>
    </row>
    <row r="1024" spans="1:17" x14ac:dyDescent="0.3">
      <c r="A1024" t="s">
        <v>1902</v>
      </c>
      <c r="B1024" t="s">
        <v>50</v>
      </c>
      <c r="C1024" t="s">
        <v>94</v>
      </c>
      <c r="D1024" t="s">
        <v>39</v>
      </c>
      <c r="E1024">
        <v>54</v>
      </c>
      <c r="F1024" t="s">
        <v>21</v>
      </c>
      <c r="G1024" t="s">
        <v>21</v>
      </c>
      <c r="H1024" t="s">
        <v>46</v>
      </c>
      <c r="I1024" t="s">
        <v>47</v>
      </c>
      <c r="J1024" t="s">
        <v>24</v>
      </c>
      <c r="K1024">
        <v>6</v>
      </c>
      <c r="L1024">
        <v>21100</v>
      </c>
      <c r="M1024">
        <v>15</v>
      </c>
      <c r="N1024">
        <v>107610</v>
      </c>
      <c r="O1024" t="s">
        <v>73</v>
      </c>
      <c r="P1024">
        <v>3</v>
      </c>
      <c r="Q1024" t="s">
        <v>26</v>
      </c>
    </row>
    <row r="1025" spans="1:17" x14ac:dyDescent="0.3">
      <c r="A1025" t="s">
        <v>1903</v>
      </c>
      <c r="B1025" t="s">
        <v>1411</v>
      </c>
      <c r="C1025" t="s">
        <v>71</v>
      </c>
      <c r="D1025" t="s">
        <v>39</v>
      </c>
      <c r="E1025">
        <v>61</v>
      </c>
      <c r="F1025" t="s">
        <v>44</v>
      </c>
      <c r="G1025" t="s">
        <v>100</v>
      </c>
      <c r="H1025" t="s">
        <v>22</v>
      </c>
      <c r="I1025" t="s">
        <v>84</v>
      </c>
      <c r="J1025" t="s">
        <v>89</v>
      </c>
      <c r="K1025">
        <v>4</v>
      </c>
      <c r="L1025">
        <v>27900</v>
      </c>
      <c r="M1025">
        <v>5</v>
      </c>
      <c r="N1025">
        <v>106020</v>
      </c>
      <c r="O1025" t="s">
        <v>105</v>
      </c>
      <c r="P1025">
        <v>4</v>
      </c>
      <c r="Q1025" t="s">
        <v>74</v>
      </c>
    </row>
    <row r="1026" spans="1:17" x14ac:dyDescent="0.3">
      <c r="A1026" t="s">
        <v>1904</v>
      </c>
      <c r="B1026" t="s">
        <v>394</v>
      </c>
      <c r="C1026" t="s">
        <v>68</v>
      </c>
      <c r="E1026">
        <v>23</v>
      </c>
      <c r="F1026" t="s">
        <v>30</v>
      </c>
      <c r="G1026" t="s">
        <v>31</v>
      </c>
      <c r="H1026" t="s">
        <v>22</v>
      </c>
      <c r="I1026" t="s">
        <v>84</v>
      </c>
      <c r="J1026" t="s">
        <v>72</v>
      </c>
      <c r="K1026">
        <v>5</v>
      </c>
      <c r="L1026">
        <v>47000</v>
      </c>
      <c r="M1026">
        <v>5</v>
      </c>
      <c r="N1026">
        <v>223250</v>
      </c>
      <c r="O1026" t="s">
        <v>85</v>
      </c>
      <c r="Q1026" t="s">
        <v>65</v>
      </c>
    </row>
    <row r="1027" spans="1:17" x14ac:dyDescent="0.3">
      <c r="A1027" t="s">
        <v>1905</v>
      </c>
      <c r="B1027" t="s">
        <v>1906</v>
      </c>
      <c r="C1027" t="s">
        <v>88</v>
      </c>
      <c r="D1027" t="s">
        <v>20</v>
      </c>
      <c r="E1027">
        <v>21</v>
      </c>
      <c r="F1027" t="s">
        <v>77</v>
      </c>
      <c r="G1027" t="s">
        <v>95</v>
      </c>
      <c r="H1027" t="s">
        <v>62</v>
      </c>
      <c r="I1027" t="s">
        <v>140</v>
      </c>
      <c r="J1027" t="s">
        <v>80</v>
      </c>
      <c r="K1027">
        <v>7</v>
      </c>
      <c r="L1027">
        <v>23800</v>
      </c>
      <c r="M1027">
        <v>5</v>
      </c>
      <c r="N1027">
        <v>158270</v>
      </c>
      <c r="O1027" t="s">
        <v>48</v>
      </c>
      <c r="Q1027" t="s">
        <v>26</v>
      </c>
    </row>
    <row r="1028" spans="1:17" x14ac:dyDescent="0.3">
      <c r="A1028" t="s">
        <v>1907</v>
      </c>
      <c r="B1028" t="s">
        <v>1908</v>
      </c>
      <c r="C1028" t="s">
        <v>88</v>
      </c>
      <c r="E1028">
        <v>46</v>
      </c>
      <c r="F1028" t="s">
        <v>51</v>
      </c>
      <c r="G1028" t="s">
        <v>52</v>
      </c>
      <c r="H1028" t="s">
        <v>46</v>
      </c>
      <c r="I1028" t="s">
        <v>47</v>
      </c>
      <c r="J1028" t="s">
        <v>64</v>
      </c>
      <c r="K1028">
        <v>8</v>
      </c>
      <c r="L1028">
        <v>6800</v>
      </c>
      <c r="M1028">
        <v>0</v>
      </c>
      <c r="N1028">
        <v>54400</v>
      </c>
      <c r="O1028" t="s">
        <v>105</v>
      </c>
      <c r="P1028">
        <v>2</v>
      </c>
      <c r="Q1028" t="s">
        <v>65</v>
      </c>
    </row>
    <row r="1029" spans="1:17" x14ac:dyDescent="0.3">
      <c r="A1029" t="s">
        <v>1909</v>
      </c>
      <c r="B1029" t="s">
        <v>1910</v>
      </c>
      <c r="C1029" t="s">
        <v>19</v>
      </c>
      <c r="D1029" t="s">
        <v>39</v>
      </c>
      <c r="E1029">
        <v>35</v>
      </c>
      <c r="F1029" t="s">
        <v>44</v>
      </c>
      <c r="G1029" t="s">
        <v>100</v>
      </c>
      <c r="H1029" t="s">
        <v>431</v>
      </c>
      <c r="I1029" t="s">
        <v>79</v>
      </c>
      <c r="J1029" t="s">
        <v>89</v>
      </c>
      <c r="K1029">
        <v>4</v>
      </c>
      <c r="L1029">
        <v>15000</v>
      </c>
      <c r="M1029">
        <v>15</v>
      </c>
      <c r="N1029">
        <v>51000</v>
      </c>
      <c r="O1029" t="s">
        <v>85</v>
      </c>
      <c r="P1029">
        <v>1</v>
      </c>
      <c r="Q1029" t="s">
        <v>41</v>
      </c>
    </row>
    <row r="1030" spans="1:17" x14ac:dyDescent="0.3">
      <c r="A1030" t="s">
        <v>1911</v>
      </c>
      <c r="B1030" t="s">
        <v>1912</v>
      </c>
      <c r="C1030" t="s">
        <v>113</v>
      </c>
      <c r="D1030" t="s">
        <v>39</v>
      </c>
      <c r="E1030">
        <v>59</v>
      </c>
      <c r="F1030" t="s">
        <v>51</v>
      </c>
      <c r="G1030" t="s">
        <v>52</v>
      </c>
      <c r="H1030" t="s">
        <v>22</v>
      </c>
      <c r="I1030" t="s">
        <v>23</v>
      </c>
      <c r="J1030" t="s">
        <v>89</v>
      </c>
      <c r="K1030">
        <v>9</v>
      </c>
      <c r="L1030">
        <v>4300</v>
      </c>
      <c r="M1030">
        <v>25</v>
      </c>
      <c r="N1030">
        <v>29025</v>
      </c>
      <c r="O1030" t="s">
        <v>25</v>
      </c>
      <c r="Q1030" t="s">
        <v>65</v>
      </c>
    </row>
    <row r="1031" spans="1:17" x14ac:dyDescent="0.3">
      <c r="A1031" t="s">
        <v>1913</v>
      </c>
      <c r="B1031" t="s">
        <v>824</v>
      </c>
      <c r="C1031" t="s">
        <v>121</v>
      </c>
      <c r="D1031" t="s">
        <v>83</v>
      </c>
      <c r="E1031">
        <v>46</v>
      </c>
      <c r="F1031" t="s">
        <v>21</v>
      </c>
      <c r="G1031" t="s">
        <v>21</v>
      </c>
      <c r="H1031" t="s">
        <v>62</v>
      </c>
      <c r="I1031" t="s">
        <v>140</v>
      </c>
      <c r="J1031" t="s">
        <v>64</v>
      </c>
      <c r="K1031">
        <v>8</v>
      </c>
      <c r="L1031">
        <v>21600</v>
      </c>
      <c r="M1031">
        <v>5</v>
      </c>
      <c r="N1031">
        <v>164160</v>
      </c>
      <c r="O1031" t="s">
        <v>40</v>
      </c>
      <c r="Q1031" t="s">
        <v>74</v>
      </c>
    </row>
    <row r="1032" spans="1:17" x14ac:dyDescent="0.3">
      <c r="A1032" t="s">
        <v>1914</v>
      </c>
      <c r="B1032" t="s">
        <v>609</v>
      </c>
      <c r="C1032" t="s">
        <v>94</v>
      </c>
      <c r="E1032">
        <v>58</v>
      </c>
      <c r="F1032" t="s">
        <v>61</v>
      </c>
      <c r="G1032" t="s">
        <v>61</v>
      </c>
      <c r="H1032" t="s">
        <v>32</v>
      </c>
      <c r="I1032" t="s">
        <v>33</v>
      </c>
      <c r="J1032" t="s">
        <v>64</v>
      </c>
      <c r="K1032">
        <v>4</v>
      </c>
      <c r="L1032">
        <v>11500</v>
      </c>
      <c r="M1032">
        <v>0</v>
      </c>
      <c r="N1032">
        <v>46000</v>
      </c>
      <c r="O1032" t="s">
        <v>25</v>
      </c>
      <c r="Q1032" t="s">
        <v>26</v>
      </c>
    </row>
    <row r="1033" spans="1:17" x14ac:dyDescent="0.3">
      <c r="A1033" t="s">
        <v>1915</v>
      </c>
      <c r="B1033" t="s">
        <v>1916</v>
      </c>
      <c r="C1033" t="s">
        <v>38</v>
      </c>
      <c r="D1033" t="s">
        <v>20</v>
      </c>
      <c r="E1033">
        <v>53</v>
      </c>
      <c r="F1033" t="s">
        <v>44</v>
      </c>
      <c r="G1033" t="s">
        <v>100</v>
      </c>
      <c r="H1033" t="s">
        <v>62</v>
      </c>
      <c r="I1033" t="s">
        <v>140</v>
      </c>
      <c r="J1033" t="s">
        <v>89</v>
      </c>
      <c r="K1033">
        <v>9</v>
      </c>
      <c r="L1033">
        <v>36800</v>
      </c>
      <c r="M1033">
        <v>5</v>
      </c>
      <c r="N1033">
        <v>314640</v>
      </c>
      <c r="O1033" t="s">
        <v>40</v>
      </c>
      <c r="Q1033" t="s">
        <v>41</v>
      </c>
    </row>
    <row r="1034" spans="1:17" x14ac:dyDescent="0.3">
      <c r="A1034" t="s">
        <v>1917</v>
      </c>
      <c r="B1034" t="s">
        <v>1918</v>
      </c>
      <c r="C1034" t="s">
        <v>121</v>
      </c>
      <c r="E1034">
        <v>18</v>
      </c>
      <c r="F1034" t="s">
        <v>77</v>
      </c>
      <c r="G1034" t="s">
        <v>95</v>
      </c>
      <c r="H1034" t="s">
        <v>22</v>
      </c>
      <c r="I1034" t="s">
        <v>23</v>
      </c>
      <c r="J1034" t="s">
        <v>89</v>
      </c>
      <c r="K1034">
        <v>1</v>
      </c>
      <c r="L1034">
        <v>22400</v>
      </c>
      <c r="M1034">
        <v>15</v>
      </c>
      <c r="N1034">
        <v>19040</v>
      </c>
      <c r="O1034" t="s">
        <v>40</v>
      </c>
      <c r="P1034">
        <v>5</v>
      </c>
      <c r="Q1034" t="s">
        <v>65</v>
      </c>
    </row>
    <row r="1035" spans="1:17" x14ac:dyDescent="0.3">
      <c r="A1035" t="s">
        <v>1919</v>
      </c>
      <c r="B1035" t="s">
        <v>1920</v>
      </c>
      <c r="C1035" t="s">
        <v>19</v>
      </c>
      <c r="E1035">
        <v>47</v>
      </c>
      <c r="F1035" t="s">
        <v>61</v>
      </c>
      <c r="G1035" t="s">
        <v>61</v>
      </c>
      <c r="H1035" t="s">
        <v>62</v>
      </c>
      <c r="I1035" t="s">
        <v>63</v>
      </c>
      <c r="J1035" t="s">
        <v>24</v>
      </c>
      <c r="K1035">
        <v>2</v>
      </c>
      <c r="L1035">
        <v>8500</v>
      </c>
      <c r="M1035">
        <v>20</v>
      </c>
      <c r="N1035">
        <v>13600</v>
      </c>
      <c r="O1035" t="s">
        <v>25</v>
      </c>
      <c r="Q1035" t="s">
        <v>26</v>
      </c>
    </row>
    <row r="1036" spans="1:17" x14ac:dyDescent="0.3">
      <c r="A1036" t="s">
        <v>1921</v>
      </c>
      <c r="B1036" t="s">
        <v>59</v>
      </c>
      <c r="C1036" t="s">
        <v>19</v>
      </c>
      <c r="D1036" t="s">
        <v>39</v>
      </c>
      <c r="E1036">
        <v>49</v>
      </c>
      <c r="F1036" t="s">
        <v>30</v>
      </c>
      <c r="G1036" t="s">
        <v>31</v>
      </c>
      <c r="H1036" t="s">
        <v>46</v>
      </c>
      <c r="I1036" t="s">
        <v>79</v>
      </c>
      <c r="J1036" t="s">
        <v>64</v>
      </c>
      <c r="K1036" t="s">
        <v>863</v>
      </c>
      <c r="L1036">
        <v>45100</v>
      </c>
      <c r="M1036">
        <v>20</v>
      </c>
      <c r="N1036">
        <v>252560</v>
      </c>
      <c r="O1036" t="s">
        <v>48</v>
      </c>
      <c r="P1036">
        <v>3</v>
      </c>
      <c r="Q1036" t="s">
        <v>26</v>
      </c>
    </row>
    <row r="1037" spans="1:17" x14ac:dyDescent="0.3">
      <c r="A1037" t="s">
        <v>1922</v>
      </c>
      <c r="B1037" t="s">
        <v>1310</v>
      </c>
      <c r="C1037" t="s">
        <v>38</v>
      </c>
      <c r="E1037">
        <v>55</v>
      </c>
      <c r="F1037" t="s">
        <v>77</v>
      </c>
      <c r="G1037" t="s">
        <v>95</v>
      </c>
      <c r="H1037" t="s">
        <v>22</v>
      </c>
      <c r="I1037" t="s">
        <v>23</v>
      </c>
      <c r="J1037" t="s">
        <v>80</v>
      </c>
      <c r="K1037">
        <v>3</v>
      </c>
      <c r="L1037">
        <v>4600</v>
      </c>
      <c r="M1037">
        <v>20</v>
      </c>
      <c r="N1037">
        <v>11040</v>
      </c>
      <c r="O1037" t="s">
        <v>73</v>
      </c>
      <c r="P1037">
        <v>2</v>
      </c>
      <c r="Q1037" t="s">
        <v>41</v>
      </c>
    </row>
    <row r="1038" spans="1:17" x14ac:dyDescent="0.3">
      <c r="A1038" t="s">
        <v>1923</v>
      </c>
      <c r="B1038" t="s">
        <v>1755</v>
      </c>
      <c r="C1038" t="s">
        <v>19</v>
      </c>
      <c r="D1038" t="s">
        <v>83</v>
      </c>
      <c r="E1038">
        <v>150</v>
      </c>
      <c r="F1038" t="s">
        <v>30</v>
      </c>
      <c r="G1038" t="s">
        <v>57</v>
      </c>
      <c r="H1038" t="s">
        <v>46</v>
      </c>
      <c r="I1038" t="s">
        <v>79</v>
      </c>
      <c r="J1038" t="s">
        <v>80</v>
      </c>
      <c r="K1038">
        <v>10</v>
      </c>
      <c r="L1038">
        <v>43000</v>
      </c>
      <c r="M1038">
        <v>10</v>
      </c>
      <c r="N1038">
        <v>387000</v>
      </c>
      <c r="O1038" t="s">
        <v>85</v>
      </c>
      <c r="Q1038" t="s">
        <v>74</v>
      </c>
    </row>
    <row r="1039" spans="1:17" x14ac:dyDescent="0.3">
      <c r="A1039" t="s">
        <v>1924</v>
      </c>
      <c r="B1039" t="s">
        <v>1426</v>
      </c>
      <c r="C1039" t="s">
        <v>19</v>
      </c>
      <c r="D1039" t="s">
        <v>83</v>
      </c>
      <c r="E1039">
        <v>39</v>
      </c>
      <c r="F1039" t="s">
        <v>51</v>
      </c>
      <c r="G1039" t="s">
        <v>104</v>
      </c>
      <c r="H1039" t="s">
        <v>22</v>
      </c>
      <c r="I1039" t="s">
        <v>84</v>
      </c>
      <c r="J1039" t="s">
        <v>34</v>
      </c>
      <c r="K1039">
        <v>1</v>
      </c>
      <c r="L1039">
        <v>17400</v>
      </c>
      <c r="M1039">
        <v>5</v>
      </c>
      <c r="N1039">
        <v>16530</v>
      </c>
      <c r="O1039" t="s">
        <v>85</v>
      </c>
      <c r="P1039">
        <v>1</v>
      </c>
      <c r="Q1039" t="s">
        <v>65</v>
      </c>
    </row>
    <row r="1040" spans="1:17" x14ac:dyDescent="0.3">
      <c r="A1040" t="s">
        <v>1925</v>
      </c>
      <c r="B1040" t="s">
        <v>1289</v>
      </c>
      <c r="C1040" t="s">
        <v>94</v>
      </c>
      <c r="D1040" t="s">
        <v>83</v>
      </c>
      <c r="E1040">
        <v>27</v>
      </c>
      <c r="F1040" t="s">
        <v>77</v>
      </c>
      <c r="G1040" t="s">
        <v>95</v>
      </c>
      <c r="H1040" t="s">
        <v>46</v>
      </c>
      <c r="I1040" t="s">
        <v>47</v>
      </c>
      <c r="J1040" t="s">
        <v>72</v>
      </c>
      <c r="K1040">
        <v>5</v>
      </c>
      <c r="L1040">
        <v>43000</v>
      </c>
      <c r="M1040">
        <v>5</v>
      </c>
      <c r="N1040">
        <v>204250</v>
      </c>
      <c r="O1040" t="s">
        <v>85</v>
      </c>
      <c r="Q1040" t="s">
        <v>26</v>
      </c>
    </row>
    <row r="1041" spans="1:17" x14ac:dyDescent="0.3">
      <c r="A1041" t="s">
        <v>1926</v>
      </c>
      <c r="B1041" t="s">
        <v>1927</v>
      </c>
      <c r="C1041" t="s">
        <v>121</v>
      </c>
      <c r="D1041" t="s">
        <v>83</v>
      </c>
      <c r="E1041">
        <v>61</v>
      </c>
      <c r="F1041" t="s">
        <v>77</v>
      </c>
      <c r="G1041" t="s">
        <v>78</v>
      </c>
      <c r="H1041" t="s">
        <v>46</v>
      </c>
      <c r="I1041" t="s">
        <v>79</v>
      </c>
      <c r="J1041" t="s">
        <v>72</v>
      </c>
      <c r="K1041">
        <v>10</v>
      </c>
      <c r="L1041">
        <v>26900</v>
      </c>
      <c r="M1041">
        <v>5</v>
      </c>
      <c r="N1041">
        <v>255550</v>
      </c>
      <c r="O1041" t="s">
        <v>40</v>
      </c>
      <c r="P1041">
        <v>4</v>
      </c>
      <c r="Q1041" t="s">
        <v>41</v>
      </c>
    </row>
    <row r="1042" spans="1:17" x14ac:dyDescent="0.3">
      <c r="A1042" t="s">
        <v>1928</v>
      </c>
      <c r="B1042" t="s">
        <v>1929</v>
      </c>
      <c r="C1042" t="s">
        <v>113</v>
      </c>
      <c r="D1042" t="s">
        <v>83</v>
      </c>
      <c r="E1042">
        <v>21</v>
      </c>
      <c r="F1042" t="s">
        <v>21</v>
      </c>
      <c r="G1042" t="s">
        <v>21</v>
      </c>
      <c r="H1042" t="s">
        <v>32</v>
      </c>
      <c r="I1042" t="s">
        <v>53</v>
      </c>
      <c r="J1042" t="s">
        <v>72</v>
      </c>
      <c r="K1042">
        <v>8</v>
      </c>
      <c r="L1042">
        <v>16200</v>
      </c>
      <c r="M1042">
        <v>5</v>
      </c>
      <c r="N1042">
        <v>123120</v>
      </c>
      <c r="O1042" t="s">
        <v>48</v>
      </c>
      <c r="Q1042" t="s">
        <v>41</v>
      </c>
    </row>
    <row r="1043" spans="1:17" x14ac:dyDescent="0.3">
      <c r="A1043" t="s">
        <v>1930</v>
      </c>
      <c r="B1043" t="s">
        <v>1784</v>
      </c>
      <c r="C1043" t="s">
        <v>94</v>
      </c>
      <c r="D1043" t="s">
        <v>103</v>
      </c>
      <c r="E1043">
        <v>43</v>
      </c>
      <c r="F1043" t="s">
        <v>77</v>
      </c>
      <c r="G1043" t="s">
        <v>95</v>
      </c>
      <c r="H1043" t="s">
        <v>116</v>
      </c>
      <c r="I1043" t="s">
        <v>84</v>
      </c>
      <c r="J1043" t="s">
        <v>24</v>
      </c>
      <c r="K1043">
        <v>7</v>
      </c>
      <c r="L1043">
        <v>41500</v>
      </c>
      <c r="M1043">
        <v>15</v>
      </c>
      <c r="N1043">
        <v>246925</v>
      </c>
      <c r="O1043" t="s">
        <v>40</v>
      </c>
      <c r="P1043">
        <v>3</v>
      </c>
      <c r="Q1043" t="s">
        <v>41</v>
      </c>
    </row>
    <row r="1044" spans="1:17" x14ac:dyDescent="0.3">
      <c r="A1044" t="s">
        <v>1931</v>
      </c>
      <c r="B1044" t="s">
        <v>254</v>
      </c>
      <c r="C1044" t="s">
        <v>94</v>
      </c>
      <c r="D1044" t="s">
        <v>103</v>
      </c>
      <c r="E1044">
        <v>31</v>
      </c>
      <c r="F1044" t="s">
        <v>21</v>
      </c>
      <c r="G1044" t="s">
        <v>21</v>
      </c>
      <c r="H1044" t="s">
        <v>22</v>
      </c>
      <c r="I1044" t="s">
        <v>84</v>
      </c>
      <c r="J1044" t="s">
        <v>80</v>
      </c>
      <c r="K1044">
        <v>6</v>
      </c>
      <c r="L1044">
        <v>43100</v>
      </c>
      <c r="M1044">
        <v>25</v>
      </c>
      <c r="N1044">
        <v>193950</v>
      </c>
      <c r="O1044" t="s">
        <v>40</v>
      </c>
      <c r="Q1044" t="s">
        <v>65</v>
      </c>
    </row>
    <row r="1045" spans="1:17" x14ac:dyDescent="0.3">
      <c r="A1045" t="s">
        <v>1932</v>
      </c>
      <c r="B1045" t="s">
        <v>656</v>
      </c>
      <c r="C1045" t="s">
        <v>29</v>
      </c>
      <c r="D1045" t="s">
        <v>20</v>
      </c>
      <c r="E1045">
        <v>22</v>
      </c>
      <c r="F1045" t="s">
        <v>812</v>
      </c>
      <c r="G1045" t="s">
        <v>95</v>
      </c>
      <c r="H1045" t="s">
        <v>22</v>
      </c>
      <c r="I1045" t="s">
        <v>23</v>
      </c>
      <c r="J1045" t="s">
        <v>72</v>
      </c>
      <c r="K1045" t="s">
        <v>165</v>
      </c>
      <c r="L1045">
        <v>29700</v>
      </c>
      <c r="M1045">
        <v>5</v>
      </c>
      <c r="N1045">
        <v>28215</v>
      </c>
      <c r="O1045" t="s">
        <v>40</v>
      </c>
      <c r="P1045">
        <v>3</v>
      </c>
      <c r="Q1045" t="s">
        <v>65</v>
      </c>
    </row>
    <row r="1046" spans="1:17" x14ac:dyDescent="0.3">
      <c r="A1046" t="s">
        <v>1933</v>
      </c>
      <c r="B1046" t="s">
        <v>948</v>
      </c>
      <c r="C1046" t="s">
        <v>60</v>
      </c>
      <c r="D1046" t="s">
        <v>20</v>
      </c>
      <c r="E1046">
        <v>52</v>
      </c>
      <c r="F1046" t="s">
        <v>44</v>
      </c>
      <c r="G1046" t="s">
        <v>45</v>
      </c>
      <c r="H1046" t="s">
        <v>22</v>
      </c>
      <c r="I1046" t="s">
        <v>23</v>
      </c>
      <c r="J1046" t="s">
        <v>34</v>
      </c>
      <c r="K1046">
        <v>6</v>
      </c>
      <c r="L1046">
        <v>28300</v>
      </c>
      <c r="M1046">
        <v>20</v>
      </c>
      <c r="N1046">
        <v>135840</v>
      </c>
      <c r="O1046" t="s">
        <v>73</v>
      </c>
      <c r="P1046">
        <v>5</v>
      </c>
      <c r="Q1046" t="s">
        <v>41</v>
      </c>
    </row>
    <row r="1047" spans="1:17" x14ac:dyDescent="0.3">
      <c r="A1047" t="s">
        <v>1934</v>
      </c>
      <c r="B1047" t="s">
        <v>1935</v>
      </c>
      <c r="C1047" t="s">
        <v>68</v>
      </c>
      <c r="D1047" t="s">
        <v>103</v>
      </c>
      <c r="E1047">
        <v>20</v>
      </c>
      <c r="F1047" t="s">
        <v>21</v>
      </c>
      <c r="G1047" t="s">
        <v>21</v>
      </c>
      <c r="H1047" t="s">
        <v>32</v>
      </c>
      <c r="I1047" t="s">
        <v>33</v>
      </c>
      <c r="J1047" t="s">
        <v>24</v>
      </c>
      <c r="K1047">
        <v>9</v>
      </c>
      <c r="L1047">
        <v>8900</v>
      </c>
      <c r="M1047">
        <v>0</v>
      </c>
      <c r="N1047">
        <v>80100</v>
      </c>
      <c r="O1047" t="s">
        <v>48</v>
      </c>
      <c r="P1047">
        <v>1</v>
      </c>
      <c r="Q1047" t="s">
        <v>65</v>
      </c>
    </row>
    <row r="1048" spans="1:17" x14ac:dyDescent="0.3">
      <c r="A1048" t="s">
        <v>1936</v>
      </c>
      <c r="B1048" t="s">
        <v>1937</v>
      </c>
      <c r="C1048" t="s">
        <v>113</v>
      </c>
      <c r="E1048">
        <v>49</v>
      </c>
      <c r="F1048" t="s">
        <v>61</v>
      </c>
      <c r="G1048" t="s">
        <v>61</v>
      </c>
      <c r="H1048" t="s">
        <v>22</v>
      </c>
      <c r="I1048" t="s">
        <v>23</v>
      </c>
      <c r="J1048" t="s">
        <v>72</v>
      </c>
      <c r="K1048">
        <v>5</v>
      </c>
      <c r="L1048">
        <v>25900</v>
      </c>
      <c r="M1048">
        <v>5</v>
      </c>
      <c r="N1048">
        <v>123025</v>
      </c>
      <c r="O1048" t="s">
        <v>25</v>
      </c>
      <c r="P1048">
        <v>2</v>
      </c>
      <c r="Q1048" t="s">
        <v>41</v>
      </c>
    </row>
    <row r="1049" spans="1:17" x14ac:dyDescent="0.3">
      <c r="A1049" t="s">
        <v>1938</v>
      </c>
      <c r="B1049" t="s">
        <v>559</v>
      </c>
      <c r="C1049" t="s">
        <v>71</v>
      </c>
      <c r="D1049" t="s">
        <v>83</v>
      </c>
      <c r="E1049">
        <v>43</v>
      </c>
      <c r="F1049" t="s">
        <v>1046</v>
      </c>
      <c r="G1049" t="s">
        <v>21</v>
      </c>
      <c r="H1049" t="s">
        <v>62</v>
      </c>
      <c r="I1049" t="s">
        <v>63</v>
      </c>
      <c r="J1049" t="s">
        <v>24</v>
      </c>
      <c r="K1049">
        <v>8</v>
      </c>
      <c r="L1049">
        <v>43200</v>
      </c>
      <c r="M1049">
        <v>10</v>
      </c>
      <c r="N1049">
        <v>311040</v>
      </c>
      <c r="O1049" t="s">
        <v>48</v>
      </c>
      <c r="Q1049" t="s">
        <v>74</v>
      </c>
    </row>
    <row r="1050" spans="1:17" x14ac:dyDescent="0.3">
      <c r="A1050" t="s">
        <v>1939</v>
      </c>
      <c r="B1050" t="s">
        <v>139</v>
      </c>
      <c r="C1050" t="s">
        <v>71</v>
      </c>
      <c r="D1050" t="s">
        <v>20</v>
      </c>
      <c r="E1050">
        <v>150</v>
      </c>
      <c r="F1050" t="s">
        <v>51</v>
      </c>
      <c r="G1050" t="s">
        <v>52</v>
      </c>
      <c r="H1050" t="s">
        <v>455</v>
      </c>
      <c r="I1050" t="s">
        <v>140</v>
      </c>
      <c r="J1050" t="s">
        <v>64</v>
      </c>
      <c r="K1050">
        <v>6</v>
      </c>
      <c r="L1050">
        <v>28400</v>
      </c>
      <c r="M1050">
        <v>20</v>
      </c>
      <c r="N1050">
        <v>136320</v>
      </c>
      <c r="O1050" t="s">
        <v>73</v>
      </c>
      <c r="P1050">
        <v>5</v>
      </c>
      <c r="Q1050" t="s">
        <v>74</v>
      </c>
    </row>
    <row r="1051" spans="1:17" x14ac:dyDescent="0.3">
      <c r="A1051" t="s">
        <v>1940</v>
      </c>
      <c r="B1051" t="s">
        <v>1272</v>
      </c>
      <c r="C1051" t="s">
        <v>38</v>
      </c>
      <c r="D1051" t="s">
        <v>103</v>
      </c>
      <c r="E1051">
        <v>25</v>
      </c>
      <c r="F1051" t="s">
        <v>61</v>
      </c>
      <c r="G1051" t="s">
        <v>61</v>
      </c>
      <c r="H1051" t="s">
        <v>22</v>
      </c>
      <c r="I1051" t="s">
        <v>23</v>
      </c>
      <c r="J1051" t="s">
        <v>89</v>
      </c>
      <c r="K1051">
        <v>8</v>
      </c>
      <c r="L1051">
        <v>13700</v>
      </c>
      <c r="M1051">
        <v>20</v>
      </c>
      <c r="N1051">
        <v>87680</v>
      </c>
      <c r="O1051" t="s">
        <v>40</v>
      </c>
      <c r="P1051">
        <v>1</v>
      </c>
      <c r="Q1051" t="s">
        <v>74</v>
      </c>
    </row>
    <row r="1052" spans="1:17" x14ac:dyDescent="0.3">
      <c r="A1052" t="s">
        <v>1941</v>
      </c>
      <c r="B1052" t="s">
        <v>374</v>
      </c>
      <c r="C1052" t="s">
        <v>113</v>
      </c>
      <c r="E1052">
        <v>19</v>
      </c>
      <c r="F1052" t="s">
        <v>77</v>
      </c>
      <c r="G1052" t="s">
        <v>95</v>
      </c>
      <c r="H1052" t="s">
        <v>62</v>
      </c>
      <c r="I1052" t="s">
        <v>140</v>
      </c>
      <c r="J1052" t="s">
        <v>72</v>
      </c>
      <c r="K1052" t="s">
        <v>443</v>
      </c>
      <c r="L1052">
        <v>40600</v>
      </c>
      <c r="M1052">
        <v>10</v>
      </c>
      <c r="N1052">
        <v>365400</v>
      </c>
      <c r="O1052" t="s">
        <v>73</v>
      </c>
      <c r="P1052">
        <v>3</v>
      </c>
      <c r="Q1052" t="s">
        <v>41</v>
      </c>
    </row>
    <row r="1053" spans="1:17" x14ac:dyDescent="0.3">
      <c r="A1053" t="s">
        <v>1942</v>
      </c>
      <c r="B1053" t="s">
        <v>1943</v>
      </c>
      <c r="C1053" t="s">
        <v>60</v>
      </c>
      <c r="D1053" t="s">
        <v>83</v>
      </c>
      <c r="E1053">
        <v>23</v>
      </c>
      <c r="F1053" t="s">
        <v>61</v>
      </c>
      <c r="G1053" t="s">
        <v>61</v>
      </c>
      <c r="H1053" t="s">
        <v>62</v>
      </c>
      <c r="I1053" t="s">
        <v>63</v>
      </c>
      <c r="J1053" t="s">
        <v>72</v>
      </c>
      <c r="K1053" t="s">
        <v>165</v>
      </c>
      <c r="L1053">
        <v>28500</v>
      </c>
      <c r="M1053">
        <v>0</v>
      </c>
      <c r="N1053" t="s">
        <v>1944</v>
      </c>
      <c r="O1053" t="s">
        <v>48</v>
      </c>
      <c r="P1053">
        <v>4</v>
      </c>
      <c r="Q1053" t="s">
        <v>26</v>
      </c>
    </row>
    <row r="1054" spans="1:17" x14ac:dyDescent="0.3">
      <c r="A1054" t="s">
        <v>1945</v>
      </c>
      <c r="B1054" t="s">
        <v>1864</v>
      </c>
      <c r="C1054" t="s">
        <v>60</v>
      </c>
      <c r="E1054">
        <v>56</v>
      </c>
      <c r="F1054" t="s">
        <v>44</v>
      </c>
      <c r="G1054" t="s">
        <v>100</v>
      </c>
      <c r="H1054" t="s">
        <v>22</v>
      </c>
      <c r="I1054" t="s">
        <v>23</v>
      </c>
      <c r="J1054" t="s">
        <v>24</v>
      </c>
      <c r="K1054">
        <v>3</v>
      </c>
      <c r="L1054">
        <v>45900</v>
      </c>
      <c r="M1054">
        <v>10</v>
      </c>
      <c r="N1054">
        <v>123930</v>
      </c>
      <c r="O1054" t="s">
        <v>85</v>
      </c>
      <c r="P1054">
        <v>3</v>
      </c>
      <c r="Q1054" t="s">
        <v>41</v>
      </c>
    </row>
    <row r="1055" spans="1:17" x14ac:dyDescent="0.3">
      <c r="A1055" t="s">
        <v>1946</v>
      </c>
      <c r="B1055" t="s">
        <v>1947</v>
      </c>
      <c r="C1055" t="s">
        <v>68</v>
      </c>
      <c r="D1055" t="s">
        <v>20</v>
      </c>
      <c r="E1055">
        <v>39</v>
      </c>
      <c r="F1055" t="s">
        <v>21</v>
      </c>
      <c r="G1055" t="s">
        <v>21</v>
      </c>
      <c r="H1055" t="s">
        <v>62</v>
      </c>
      <c r="I1055" t="s">
        <v>63</v>
      </c>
      <c r="J1055" t="s">
        <v>24</v>
      </c>
      <c r="K1055">
        <v>3</v>
      </c>
      <c r="L1055">
        <v>32500</v>
      </c>
      <c r="M1055">
        <v>10</v>
      </c>
      <c r="N1055">
        <v>87750</v>
      </c>
      <c r="O1055" t="s">
        <v>85</v>
      </c>
      <c r="P1055">
        <v>4</v>
      </c>
      <c r="Q1055" t="s">
        <v>41</v>
      </c>
    </row>
    <row r="1056" spans="1:17" x14ac:dyDescent="0.3">
      <c r="A1056" t="s">
        <v>1948</v>
      </c>
      <c r="B1056" t="s">
        <v>1949</v>
      </c>
      <c r="C1056" t="s">
        <v>88</v>
      </c>
      <c r="D1056" t="s">
        <v>39</v>
      </c>
      <c r="E1056">
        <v>54</v>
      </c>
      <c r="F1056" t="s">
        <v>30</v>
      </c>
      <c r="G1056" t="s">
        <v>31</v>
      </c>
      <c r="H1056" t="s">
        <v>62</v>
      </c>
      <c r="I1056" t="s">
        <v>140</v>
      </c>
      <c r="J1056" t="s">
        <v>89</v>
      </c>
      <c r="K1056">
        <v>2</v>
      </c>
      <c r="L1056">
        <v>47600</v>
      </c>
      <c r="M1056">
        <v>5</v>
      </c>
      <c r="N1056">
        <v>90440</v>
      </c>
      <c r="O1056" t="s">
        <v>25</v>
      </c>
      <c r="P1056">
        <v>5</v>
      </c>
      <c r="Q1056" t="s">
        <v>65</v>
      </c>
    </row>
    <row r="1057" spans="1:17" x14ac:dyDescent="0.3">
      <c r="A1057" t="s">
        <v>1950</v>
      </c>
      <c r="B1057" t="s">
        <v>1369</v>
      </c>
      <c r="C1057" t="s">
        <v>60</v>
      </c>
      <c r="D1057" t="s">
        <v>103</v>
      </c>
      <c r="E1057">
        <v>22</v>
      </c>
      <c r="F1057" t="s">
        <v>21</v>
      </c>
      <c r="G1057" t="s">
        <v>21</v>
      </c>
      <c r="H1057" t="s">
        <v>62</v>
      </c>
      <c r="I1057" t="s">
        <v>63</v>
      </c>
      <c r="J1057" t="s">
        <v>80</v>
      </c>
      <c r="K1057">
        <v>8</v>
      </c>
      <c r="L1057">
        <v>6900</v>
      </c>
      <c r="M1057">
        <v>15</v>
      </c>
      <c r="N1057">
        <v>46920</v>
      </c>
      <c r="O1057" t="s">
        <v>85</v>
      </c>
      <c r="P1057">
        <v>1</v>
      </c>
      <c r="Q1057" t="s">
        <v>41</v>
      </c>
    </row>
    <row r="1058" spans="1:17" x14ac:dyDescent="0.3">
      <c r="A1058" t="s">
        <v>1951</v>
      </c>
      <c r="B1058" t="s">
        <v>1952</v>
      </c>
      <c r="C1058" t="s">
        <v>60</v>
      </c>
      <c r="D1058" t="s">
        <v>83</v>
      </c>
      <c r="E1058">
        <v>62</v>
      </c>
      <c r="F1058" t="s">
        <v>61</v>
      </c>
      <c r="G1058" t="s">
        <v>61</v>
      </c>
      <c r="H1058" t="s">
        <v>22</v>
      </c>
      <c r="I1058" t="s">
        <v>84</v>
      </c>
      <c r="J1058" t="s">
        <v>89</v>
      </c>
      <c r="K1058">
        <v>7</v>
      </c>
      <c r="L1058">
        <v>16000</v>
      </c>
      <c r="M1058">
        <v>0</v>
      </c>
      <c r="N1058">
        <v>112000</v>
      </c>
      <c r="O1058" t="s">
        <v>105</v>
      </c>
      <c r="P1058">
        <v>1</v>
      </c>
      <c r="Q1058" t="s">
        <v>74</v>
      </c>
    </row>
    <row r="1059" spans="1:17" x14ac:dyDescent="0.3">
      <c r="A1059" t="s">
        <v>1953</v>
      </c>
      <c r="B1059" t="s">
        <v>1606</v>
      </c>
      <c r="C1059" t="s">
        <v>113</v>
      </c>
      <c r="D1059" t="s">
        <v>83</v>
      </c>
      <c r="E1059">
        <v>49</v>
      </c>
      <c r="F1059" t="s">
        <v>61</v>
      </c>
      <c r="G1059" t="s">
        <v>61</v>
      </c>
      <c r="H1059" t="s">
        <v>22</v>
      </c>
      <c r="I1059" t="s">
        <v>23</v>
      </c>
      <c r="J1059" t="s">
        <v>80</v>
      </c>
      <c r="K1059">
        <v>8</v>
      </c>
      <c r="L1059">
        <v>38200</v>
      </c>
      <c r="M1059">
        <v>25</v>
      </c>
      <c r="N1059">
        <v>229200</v>
      </c>
      <c r="O1059" t="s">
        <v>35</v>
      </c>
      <c r="P1059">
        <v>2</v>
      </c>
      <c r="Q1059" t="s">
        <v>74</v>
      </c>
    </row>
    <row r="1060" spans="1:17" x14ac:dyDescent="0.3">
      <c r="A1060" t="s">
        <v>1954</v>
      </c>
      <c r="B1060" t="s">
        <v>1076</v>
      </c>
      <c r="C1060" t="s">
        <v>60</v>
      </c>
      <c r="D1060" t="s">
        <v>83</v>
      </c>
      <c r="E1060">
        <v>38</v>
      </c>
      <c r="F1060" t="s">
        <v>61</v>
      </c>
      <c r="G1060" t="s">
        <v>61</v>
      </c>
      <c r="H1060" t="s">
        <v>62</v>
      </c>
      <c r="I1060" t="s">
        <v>140</v>
      </c>
      <c r="J1060" t="s">
        <v>24</v>
      </c>
      <c r="K1060">
        <v>3</v>
      </c>
      <c r="L1060">
        <v>28900</v>
      </c>
      <c r="M1060">
        <v>20</v>
      </c>
      <c r="N1060">
        <v>69360</v>
      </c>
      <c r="O1060" t="s">
        <v>40</v>
      </c>
      <c r="P1060">
        <v>4</v>
      </c>
      <c r="Q1060" t="s">
        <v>74</v>
      </c>
    </row>
    <row r="1061" spans="1:17" x14ac:dyDescent="0.3">
      <c r="A1061" t="s">
        <v>1955</v>
      </c>
      <c r="B1061" t="s">
        <v>1582</v>
      </c>
      <c r="C1061" t="s">
        <v>88</v>
      </c>
      <c r="E1061">
        <v>53</v>
      </c>
      <c r="F1061" t="s">
        <v>51</v>
      </c>
      <c r="G1061" t="s">
        <v>52</v>
      </c>
      <c r="H1061" t="s">
        <v>46</v>
      </c>
      <c r="I1061" t="s">
        <v>79</v>
      </c>
      <c r="J1061" t="s">
        <v>64</v>
      </c>
      <c r="K1061">
        <v>1</v>
      </c>
      <c r="L1061">
        <v>34100</v>
      </c>
      <c r="M1061">
        <v>5</v>
      </c>
      <c r="N1061">
        <v>32395</v>
      </c>
      <c r="O1061" t="s">
        <v>35</v>
      </c>
      <c r="Q1061" t="s">
        <v>65</v>
      </c>
    </row>
    <row r="1062" spans="1:17" x14ac:dyDescent="0.3">
      <c r="A1062" t="s">
        <v>1956</v>
      </c>
      <c r="B1062" t="s">
        <v>1957</v>
      </c>
      <c r="C1062" t="s">
        <v>121</v>
      </c>
      <c r="E1062">
        <v>52</v>
      </c>
      <c r="F1062" t="s">
        <v>51</v>
      </c>
      <c r="G1062" t="s">
        <v>104</v>
      </c>
      <c r="H1062" t="s">
        <v>46</v>
      </c>
      <c r="I1062" t="s">
        <v>79</v>
      </c>
      <c r="J1062" t="s">
        <v>80</v>
      </c>
      <c r="K1062">
        <v>1</v>
      </c>
      <c r="L1062">
        <v>18800</v>
      </c>
      <c r="M1062">
        <v>0</v>
      </c>
      <c r="N1062">
        <v>18800</v>
      </c>
      <c r="O1062" t="s">
        <v>35</v>
      </c>
      <c r="P1062">
        <v>3</v>
      </c>
      <c r="Q1062" t="s">
        <v>65</v>
      </c>
    </row>
    <row r="1063" spans="1:17" x14ac:dyDescent="0.3">
      <c r="A1063" t="s">
        <v>1958</v>
      </c>
      <c r="B1063" t="s">
        <v>1959</v>
      </c>
      <c r="C1063" t="s">
        <v>113</v>
      </c>
      <c r="D1063" t="s">
        <v>39</v>
      </c>
      <c r="E1063">
        <v>20</v>
      </c>
      <c r="F1063" t="s">
        <v>21</v>
      </c>
      <c r="G1063" t="s">
        <v>21</v>
      </c>
      <c r="H1063" t="s">
        <v>32</v>
      </c>
      <c r="I1063" t="s">
        <v>53</v>
      </c>
      <c r="J1063" t="s">
        <v>80</v>
      </c>
      <c r="K1063">
        <v>3</v>
      </c>
      <c r="L1063">
        <v>8000</v>
      </c>
      <c r="M1063">
        <v>15</v>
      </c>
      <c r="N1063">
        <v>20400</v>
      </c>
      <c r="O1063" t="s">
        <v>73</v>
      </c>
      <c r="Q1063" t="s">
        <v>26</v>
      </c>
    </row>
    <row r="1064" spans="1:17" x14ac:dyDescent="0.3">
      <c r="A1064" t="s">
        <v>1960</v>
      </c>
      <c r="B1064" t="s">
        <v>1961</v>
      </c>
      <c r="C1064" t="s">
        <v>38</v>
      </c>
      <c r="D1064" t="s">
        <v>83</v>
      </c>
      <c r="E1064">
        <v>20</v>
      </c>
      <c r="F1064" t="s">
        <v>77</v>
      </c>
      <c r="G1064" t="s">
        <v>78</v>
      </c>
      <c r="H1064" t="s">
        <v>46</v>
      </c>
      <c r="I1064" t="s">
        <v>47</v>
      </c>
      <c r="J1064" t="s">
        <v>72</v>
      </c>
      <c r="K1064">
        <v>6</v>
      </c>
      <c r="L1064">
        <v>22400</v>
      </c>
      <c r="M1064">
        <v>20</v>
      </c>
      <c r="N1064">
        <v>107520</v>
      </c>
      <c r="O1064" t="s">
        <v>25</v>
      </c>
      <c r="P1064">
        <v>4</v>
      </c>
      <c r="Q1064" t="s">
        <v>65</v>
      </c>
    </row>
    <row r="1065" spans="1:17" x14ac:dyDescent="0.3">
      <c r="A1065" t="s">
        <v>1962</v>
      </c>
      <c r="B1065" t="s">
        <v>1963</v>
      </c>
      <c r="C1065" t="s">
        <v>113</v>
      </c>
      <c r="E1065">
        <v>30</v>
      </c>
      <c r="F1065" t="s">
        <v>51</v>
      </c>
      <c r="G1065" t="s">
        <v>52</v>
      </c>
      <c r="H1065" t="s">
        <v>22</v>
      </c>
      <c r="I1065" t="s">
        <v>23</v>
      </c>
      <c r="J1065" t="s">
        <v>80</v>
      </c>
      <c r="K1065">
        <v>2</v>
      </c>
      <c r="L1065">
        <v>27300</v>
      </c>
      <c r="M1065">
        <v>20</v>
      </c>
      <c r="N1065">
        <v>43680</v>
      </c>
      <c r="O1065" t="s">
        <v>40</v>
      </c>
      <c r="Q1065" t="s">
        <v>65</v>
      </c>
    </row>
    <row r="1066" spans="1:17" x14ac:dyDescent="0.3">
      <c r="A1066" t="s">
        <v>1964</v>
      </c>
      <c r="B1066" t="s">
        <v>1389</v>
      </c>
      <c r="C1066" t="s">
        <v>60</v>
      </c>
      <c r="D1066" t="s">
        <v>103</v>
      </c>
      <c r="E1066">
        <v>30</v>
      </c>
      <c r="F1066" t="s">
        <v>61</v>
      </c>
      <c r="G1066" t="s">
        <v>61</v>
      </c>
      <c r="H1066" t="s">
        <v>32</v>
      </c>
      <c r="I1066" t="s">
        <v>33</v>
      </c>
      <c r="J1066" t="s">
        <v>64</v>
      </c>
      <c r="K1066">
        <v>2</v>
      </c>
      <c r="L1066">
        <v>34100</v>
      </c>
      <c r="M1066">
        <v>10</v>
      </c>
      <c r="N1066">
        <v>61380</v>
      </c>
      <c r="O1066" t="s">
        <v>40</v>
      </c>
      <c r="Q1066" t="s">
        <v>41</v>
      </c>
    </row>
    <row r="1067" spans="1:17" x14ac:dyDescent="0.3">
      <c r="A1067" t="s">
        <v>1965</v>
      </c>
      <c r="B1067" t="s">
        <v>1860</v>
      </c>
      <c r="C1067" t="s">
        <v>94</v>
      </c>
      <c r="D1067" t="s">
        <v>39</v>
      </c>
      <c r="E1067">
        <v>65</v>
      </c>
      <c r="F1067" t="s">
        <v>77</v>
      </c>
      <c r="G1067" t="s">
        <v>95</v>
      </c>
      <c r="H1067" t="s">
        <v>455</v>
      </c>
      <c r="I1067" t="s">
        <v>63</v>
      </c>
      <c r="J1067" t="s">
        <v>64</v>
      </c>
      <c r="K1067">
        <v>4</v>
      </c>
      <c r="L1067">
        <v>15900</v>
      </c>
      <c r="M1067">
        <v>10</v>
      </c>
      <c r="N1067">
        <v>57240</v>
      </c>
      <c r="O1067" t="s">
        <v>48</v>
      </c>
      <c r="P1067">
        <v>1</v>
      </c>
      <c r="Q1067" t="s">
        <v>74</v>
      </c>
    </row>
    <row r="1068" spans="1:17" x14ac:dyDescent="0.3">
      <c r="A1068" t="s">
        <v>1966</v>
      </c>
      <c r="B1068" t="s">
        <v>1239</v>
      </c>
      <c r="C1068" t="s">
        <v>60</v>
      </c>
      <c r="D1068" t="s">
        <v>103</v>
      </c>
      <c r="E1068">
        <v>47</v>
      </c>
      <c r="F1068" t="s">
        <v>21</v>
      </c>
      <c r="G1068" t="s">
        <v>21</v>
      </c>
      <c r="H1068" t="s">
        <v>22</v>
      </c>
      <c r="I1068" t="s">
        <v>23</v>
      </c>
      <c r="J1068" t="s">
        <v>24</v>
      </c>
      <c r="K1068">
        <v>1</v>
      </c>
      <c r="L1068">
        <v>42300</v>
      </c>
      <c r="M1068">
        <v>20</v>
      </c>
      <c r="N1068">
        <v>33840</v>
      </c>
      <c r="O1068" t="s">
        <v>105</v>
      </c>
      <c r="Q1068" t="s">
        <v>26</v>
      </c>
    </row>
    <row r="1069" spans="1:17" x14ac:dyDescent="0.3">
      <c r="A1069" t="s">
        <v>1967</v>
      </c>
      <c r="B1069" t="s">
        <v>509</v>
      </c>
      <c r="C1069" t="s">
        <v>71</v>
      </c>
      <c r="D1069" t="s">
        <v>39</v>
      </c>
      <c r="E1069">
        <v>50</v>
      </c>
      <c r="F1069" t="s">
        <v>51</v>
      </c>
      <c r="G1069" t="s">
        <v>104</v>
      </c>
      <c r="H1069" t="s">
        <v>46</v>
      </c>
      <c r="I1069" t="s">
        <v>47</v>
      </c>
      <c r="J1069" t="s">
        <v>64</v>
      </c>
      <c r="K1069">
        <v>2</v>
      </c>
      <c r="L1069">
        <v>34900</v>
      </c>
      <c r="M1069">
        <v>20</v>
      </c>
      <c r="N1069">
        <v>55840</v>
      </c>
      <c r="O1069" t="s">
        <v>25</v>
      </c>
      <c r="Q1069" t="s">
        <v>65</v>
      </c>
    </row>
    <row r="1070" spans="1:17" x14ac:dyDescent="0.3">
      <c r="A1070" t="s">
        <v>1968</v>
      </c>
      <c r="B1070" t="s">
        <v>336</v>
      </c>
      <c r="C1070" t="s">
        <v>113</v>
      </c>
      <c r="D1070" t="s">
        <v>20</v>
      </c>
      <c r="E1070">
        <v>33</v>
      </c>
      <c r="F1070" t="s">
        <v>44</v>
      </c>
      <c r="G1070" t="s">
        <v>100</v>
      </c>
      <c r="H1070" t="s">
        <v>62</v>
      </c>
      <c r="I1070" t="s">
        <v>63</v>
      </c>
      <c r="J1070" t="s">
        <v>34</v>
      </c>
      <c r="K1070">
        <v>7</v>
      </c>
      <c r="L1070">
        <v>28500</v>
      </c>
      <c r="M1070">
        <v>5</v>
      </c>
      <c r="N1070">
        <v>189525</v>
      </c>
      <c r="O1070" t="s">
        <v>105</v>
      </c>
      <c r="P1070">
        <v>1</v>
      </c>
      <c r="Q1070" t="s">
        <v>41</v>
      </c>
    </row>
    <row r="1071" spans="1:17" x14ac:dyDescent="0.3">
      <c r="A1071" t="s">
        <v>1969</v>
      </c>
      <c r="B1071" t="s">
        <v>1165</v>
      </c>
      <c r="C1071" t="s">
        <v>94</v>
      </c>
      <c r="D1071" t="s">
        <v>20</v>
      </c>
      <c r="E1071">
        <v>58</v>
      </c>
      <c r="F1071" t="s">
        <v>30</v>
      </c>
      <c r="G1071" t="s">
        <v>31</v>
      </c>
      <c r="H1071" t="s">
        <v>46</v>
      </c>
      <c r="I1071" t="s">
        <v>47</v>
      </c>
      <c r="J1071" t="s">
        <v>34</v>
      </c>
      <c r="K1071">
        <v>5</v>
      </c>
      <c r="L1071">
        <v>16300</v>
      </c>
      <c r="M1071">
        <v>5</v>
      </c>
      <c r="N1071">
        <v>77425</v>
      </c>
      <c r="O1071" t="s">
        <v>85</v>
      </c>
      <c r="P1071">
        <v>3</v>
      </c>
      <c r="Q1071" t="s">
        <v>41</v>
      </c>
    </row>
    <row r="1072" spans="1:17" x14ac:dyDescent="0.3">
      <c r="A1072" t="s">
        <v>1970</v>
      </c>
      <c r="B1072" t="s">
        <v>267</v>
      </c>
      <c r="C1072" t="s">
        <v>88</v>
      </c>
      <c r="D1072" t="s">
        <v>83</v>
      </c>
      <c r="E1072">
        <v>25</v>
      </c>
      <c r="F1072" t="s">
        <v>51</v>
      </c>
      <c r="G1072" t="s">
        <v>104</v>
      </c>
      <c r="H1072" t="s">
        <v>62</v>
      </c>
      <c r="I1072" t="s">
        <v>63</v>
      </c>
      <c r="J1072" t="s">
        <v>89</v>
      </c>
      <c r="K1072">
        <v>5</v>
      </c>
      <c r="L1072">
        <v>12900</v>
      </c>
      <c r="M1072">
        <v>15</v>
      </c>
      <c r="N1072">
        <v>54825</v>
      </c>
      <c r="O1072" t="s">
        <v>105</v>
      </c>
      <c r="P1072">
        <v>2</v>
      </c>
      <c r="Q1072" t="s">
        <v>26</v>
      </c>
    </row>
    <row r="1073" spans="1:17" x14ac:dyDescent="0.3">
      <c r="A1073" t="s">
        <v>1971</v>
      </c>
      <c r="B1073" t="s">
        <v>1972</v>
      </c>
      <c r="C1073" t="s">
        <v>68</v>
      </c>
      <c r="E1073">
        <v>-3</v>
      </c>
      <c r="F1073" t="s">
        <v>61</v>
      </c>
      <c r="G1073" t="s">
        <v>61</v>
      </c>
      <c r="H1073" t="s">
        <v>22</v>
      </c>
      <c r="I1073" t="s">
        <v>23</v>
      </c>
      <c r="J1073" t="s">
        <v>72</v>
      </c>
      <c r="K1073">
        <v>8</v>
      </c>
      <c r="L1073">
        <v>10500</v>
      </c>
      <c r="M1073">
        <v>20</v>
      </c>
      <c r="N1073">
        <v>67200</v>
      </c>
      <c r="O1073" t="s">
        <v>35</v>
      </c>
      <c r="P1073">
        <v>3</v>
      </c>
      <c r="Q1073" t="s">
        <v>26</v>
      </c>
    </row>
    <row r="1074" spans="1:17" x14ac:dyDescent="0.3">
      <c r="A1074" t="s">
        <v>1973</v>
      </c>
      <c r="B1074" t="s">
        <v>1974</v>
      </c>
      <c r="C1074" t="s">
        <v>71</v>
      </c>
      <c r="E1074">
        <v>21</v>
      </c>
      <c r="F1074" t="s">
        <v>61</v>
      </c>
      <c r="G1074" t="s">
        <v>61</v>
      </c>
      <c r="H1074" t="s">
        <v>46</v>
      </c>
      <c r="I1074" t="s">
        <v>79</v>
      </c>
      <c r="J1074" t="s">
        <v>80</v>
      </c>
      <c r="K1074">
        <v>9</v>
      </c>
      <c r="L1074">
        <v>4100</v>
      </c>
      <c r="M1074">
        <v>0</v>
      </c>
      <c r="N1074">
        <v>36900</v>
      </c>
      <c r="O1074" t="s">
        <v>25</v>
      </c>
      <c r="Q1074" t="s">
        <v>65</v>
      </c>
    </row>
    <row r="1075" spans="1:17" x14ac:dyDescent="0.3">
      <c r="A1075" t="s">
        <v>1975</v>
      </c>
      <c r="B1075" t="s">
        <v>928</v>
      </c>
      <c r="C1075" t="s">
        <v>88</v>
      </c>
      <c r="D1075" t="s">
        <v>20</v>
      </c>
      <c r="E1075">
        <v>42</v>
      </c>
      <c r="F1075" t="s">
        <v>61</v>
      </c>
      <c r="G1075" t="s">
        <v>61</v>
      </c>
      <c r="H1075" t="s">
        <v>62</v>
      </c>
      <c r="I1075" t="s">
        <v>140</v>
      </c>
      <c r="J1075" t="s">
        <v>72</v>
      </c>
      <c r="K1075">
        <v>8</v>
      </c>
      <c r="L1075">
        <v>45800</v>
      </c>
      <c r="M1075">
        <v>25</v>
      </c>
      <c r="N1075">
        <v>274800</v>
      </c>
      <c r="O1075" t="s">
        <v>40</v>
      </c>
      <c r="Q1075" t="s">
        <v>41</v>
      </c>
    </row>
    <row r="1076" spans="1:17" x14ac:dyDescent="0.3">
      <c r="A1076" t="s">
        <v>1976</v>
      </c>
      <c r="B1076" t="s">
        <v>1977</v>
      </c>
      <c r="C1076" t="s">
        <v>68</v>
      </c>
      <c r="D1076" t="s">
        <v>103</v>
      </c>
      <c r="E1076">
        <v>32</v>
      </c>
      <c r="F1076" t="s">
        <v>61</v>
      </c>
      <c r="G1076" t="s">
        <v>61</v>
      </c>
      <c r="H1076" t="s">
        <v>32</v>
      </c>
      <c r="I1076" t="s">
        <v>33</v>
      </c>
      <c r="J1076" t="s">
        <v>80</v>
      </c>
      <c r="K1076">
        <v>9</v>
      </c>
      <c r="L1076">
        <v>46400</v>
      </c>
      <c r="M1076">
        <v>0</v>
      </c>
      <c r="N1076">
        <v>417600</v>
      </c>
      <c r="O1076" t="s">
        <v>48</v>
      </c>
      <c r="Q1076" t="s">
        <v>65</v>
      </c>
    </row>
    <row r="1077" spans="1:17" x14ac:dyDescent="0.3">
      <c r="A1077" t="s">
        <v>1978</v>
      </c>
      <c r="B1077" t="s">
        <v>1317</v>
      </c>
      <c r="C1077" t="s">
        <v>19</v>
      </c>
      <c r="D1077" t="s">
        <v>83</v>
      </c>
      <c r="E1077">
        <v>61</v>
      </c>
      <c r="F1077" t="s">
        <v>30</v>
      </c>
      <c r="G1077" t="s">
        <v>31</v>
      </c>
      <c r="H1077" t="s">
        <v>62</v>
      </c>
      <c r="I1077" t="s">
        <v>140</v>
      </c>
      <c r="J1077" t="s">
        <v>34</v>
      </c>
      <c r="K1077">
        <v>10</v>
      </c>
      <c r="L1077">
        <v>2400</v>
      </c>
      <c r="M1077">
        <v>20</v>
      </c>
      <c r="N1077">
        <v>19200</v>
      </c>
      <c r="O1077" t="s">
        <v>25</v>
      </c>
      <c r="P1077">
        <v>1</v>
      </c>
      <c r="Q1077" t="s">
        <v>26</v>
      </c>
    </row>
    <row r="1078" spans="1:17" x14ac:dyDescent="0.3">
      <c r="A1078" t="s">
        <v>1979</v>
      </c>
      <c r="B1078" t="s">
        <v>1980</v>
      </c>
      <c r="C1078" t="s">
        <v>113</v>
      </c>
      <c r="D1078" t="s">
        <v>20</v>
      </c>
      <c r="E1078">
        <v>59</v>
      </c>
      <c r="F1078" t="s">
        <v>77</v>
      </c>
      <c r="G1078" t="s">
        <v>95</v>
      </c>
      <c r="H1078" t="s">
        <v>32</v>
      </c>
      <c r="I1078" t="s">
        <v>33</v>
      </c>
      <c r="J1078" t="s">
        <v>89</v>
      </c>
      <c r="K1078">
        <v>4</v>
      </c>
      <c r="L1078">
        <v>39300</v>
      </c>
      <c r="M1078">
        <v>10</v>
      </c>
      <c r="N1078">
        <v>141480</v>
      </c>
      <c r="O1078" t="s">
        <v>25</v>
      </c>
      <c r="P1078">
        <v>4</v>
      </c>
      <c r="Q1078" t="s">
        <v>41</v>
      </c>
    </row>
    <row r="1079" spans="1:17" x14ac:dyDescent="0.3">
      <c r="A1079" t="s">
        <v>1981</v>
      </c>
      <c r="B1079" t="s">
        <v>1982</v>
      </c>
      <c r="C1079" t="s">
        <v>88</v>
      </c>
      <c r="D1079" t="s">
        <v>20</v>
      </c>
      <c r="E1079">
        <v>63</v>
      </c>
      <c r="F1079" t="s">
        <v>51</v>
      </c>
      <c r="G1079" t="s">
        <v>52</v>
      </c>
      <c r="H1079" t="s">
        <v>46</v>
      </c>
      <c r="I1079" t="s">
        <v>79</v>
      </c>
      <c r="J1079" t="s">
        <v>64</v>
      </c>
      <c r="K1079">
        <v>3</v>
      </c>
      <c r="L1079">
        <v>33800</v>
      </c>
      <c r="M1079">
        <v>20</v>
      </c>
      <c r="N1079">
        <v>81120</v>
      </c>
      <c r="O1079" t="s">
        <v>40</v>
      </c>
      <c r="Q1079" t="s">
        <v>26</v>
      </c>
    </row>
    <row r="1080" spans="1:17" x14ac:dyDescent="0.3">
      <c r="A1080" t="s">
        <v>1983</v>
      </c>
      <c r="B1080" t="s">
        <v>1984</v>
      </c>
      <c r="C1080" t="s">
        <v>29</v>
      </c>
      <c r="D1080" t="s">
        <v>20</v>
      </c>
      <c r="E1080">
        <v>28</v>
      </c>
      <c r="F1080" t="s">
        <v>77</v>
      </c>
      <c r="G1080" t="s">
        <v>78</v>
      </c>
      <c r="H1080" t="s">
        <v>22</v>
      </c>
      <c r="I1080" t="s">
        <v>23</v>
      </c>
      <c r="J1080" t="s">
        <v>80</v>
      </c>
      <c r="K1080">
        <v>7</v>
      </c>
      <c r="L1080">
        <v>40800</v>
      </c>
      <c r="M1080">
        <v>0</v>
      </c>
      <c r="N1080">
        <v>285600</v>
      </c>
      <c r="O1080" t="s">
        <v>40</v>
      </c>
      <c r="P1080">
        <v>5</v>
      </c>
      <c r="Q1080" t="s">
        <v>41</v>
      </c>
    </row>
    <row r="1081" spans="1:17" x14ac:dyDescent="0.3">
      <c r="A1081" t="s">
        <v>1985</v>
      </c>
      <c r="B1081" t="s">
        <v>139</v>
      </c>
      <c r="C1081" t="s">
        <v>94</v>
      </c>
      <c r="D1081" t="s">
        <v>83</v>
      </c>
      <c r="E1081">
        <v>64</v>
      </c>
      <c r="F1081" t="s">
        <v>21</v>
      </c>
      <c r="G1081" t="s">
        <v>21</v>
      </c>
      <c r="H1081" t="s">
        <v>46</v>
      </c>
      <c r="I1081" t="s">
        <v>79</v>
      </c>
      <c r="J1081" t="s">
        <v>24</v>
      </c>
      <c r="K1081">
        <v>2</v>
      </c>
      <c r="L1081">
        <v>6500</v>
      </c>
      <c r="M1081">
        <v>5</v>
      </c>
      <c r="N1081">
        <v>12350</v>
      </c>
      <c r="O1081" t="s">
        <v>73</v>
      </c>
      <c r="P1081">
        <v>1</v>
      </c>
      <c r="Q1081" t="s">
        <v>41</v>
      </c>
    </row>
    <row r="1082" spans="1:17" x14ac:dyDescent="0.3">
      <c r="A1082" t="s">
        <v>1986</v>
      </c>
      <c r="B1082" t="s">
        <v>1987</v>
      </c>
      <c r="C1082" t="s">
        <v>94</v>
      </c>
      <c r="D1082" t="s">
        <v>83</v>
      </c>
      <c r="E1082">
        <v>59</v>
      </c>
      <c r="F1082" t="s">
        <v>44</v>
      </c>
      <c r="G1082" t="s">
        <v>45</v>
      </c>
      <c r="H1082" t="s">
        <v>22</v>
      </c>
      <c r="I1082" t="s">
        <v>23</v>
      </c>
      <c r="J1082" t="s">
        <v>24</v>
      </c>
      <c r="K1082" t="s">
        <v>458</v>
      </c>
      <c r="L1082">
        <v>28900</v>
      </c>
      <c r="M1082">
        <v>15</v>
      </c>
      <c r="N1082">
        <v>147390</v>
      </c>
      <c r="O1082" t="s">
        <v>48</v>
      </c>
      <c r="P1082">
        <v>5</v>
      </c>
      <c r="Q1082" t="s">
        <v>26</v>
      </c>
    </row>
    <row r="1083" spans="1:17" x14ac:dyDescent="0.3">
      <c r="A1083" t="s">
        <v>1988</v>
      </c>
      <c r="B1083" t="s">
        <v>1989</v>
      </c>
      <c r="C1083" t="s">
        <v>29</v>
      </c>
      <c r="D1083" t="s">
        <v>103</v>
      </c>
      <c r="E1083">
        <v>64</v>
      </c>
      <c r="F1083" t="s">
        <v>30</v>
      </c>
      <c r="G1083" t="s">
        <v>57</v>
      </c>
      <c r="H1083" t="s">
        <v>110</v>
      </c>
      <c r="I1083" t="s">
        <v>33</v>
      </c>
      <c r="J1083" t="s">
        <v>80</v>
      </c>
      <c r="K1083">
        <v>4</v>
      </c>
      <c r="L1083">
        <v>11400</v>
      </c>
      <c r="M1083">
        <v>15</v>
      </c>
      <c r="N1083">
        <v>38760</v>
      </c>
      <c r="O1083" t="s">
        <v>162</v>
      </c>
      <c r="P1083">
        <v>1</v>
      </c>
      <c r="Q1083" t="s">
        <v>74</v>
      </c>
    </row>
    <row r="1084" spans="1:17" x14ac:dyDescent="0.3">
      <c r="A1084" t="s">
        <v>1990</v>
      </c>
      <c r="B1084" t="s">
        <v>960</v>
      </c>
      <c r="C1084" t="s">
        <v>38</v>
      </c>
      <c r="E1084">
        <v>19</v>
      </c>
      <c r="F1084" t="s">
        <v>77</v>
      </c>
      <c r="G1084" t="s">
        <v>78</v>
      </c>
      <c r="H1084" t="s">
        <v>32</v>
      </c>
      <c r="I1084" t="s">
        <v>33</v>
      </c>
      <c r="J1084" t="s">
        <v>24</v>
      </c>
      <c r="K1084">
        <v>4</v>
      </c>
      <c r="L1084">
        <v>4000</v>
      </c>
      <c r="M1084">
        <v>20</v>
      </c>
      <c r="N1084">
        <v>12800</v>
      </c>
      <c r="O1084" t="s">
        <v>85</v>
      </c>
      <c r="P1084">
        <v>2</v>
      </c>
      <c r="Q1084" t="s">
        <v>41</v>
      </c>
    </row>
    <row r="1085" spans="1:17" x14ac:dyDescent="0.3">
      <c r="A1085" t="s">
        <v>1991</v>
      </c>
      <c r="B1085" t="s">
        <v>1118</v>
      </c>
      <c r="C1085" t="s">
        <v>68</v>
      </c>
      <c r="D1085" t="s">
        <v>39</v>
      </c>
      <c r="E1085">
        <v>54</v>
      </c>
      <c r="F1085" t="s">
        <v>77</v>
      </c>
      <c r="G1085" t="s">
        <v>78</v>
      </c>
      <c r="H1085" t="s">
        <v>62</v>
      </c>
      <c r="I1085" t="s">
        <v>140</v>
      </c>
      <c r="J1085" t="s">
        <v>89</v>
      </c>
      <c r="K1085">
        <v>10</v>
      </c>
      <c r="L1085">
        <v>24700</v>
      </c>
      <c r="M1085">
        <v>10</v>
      </c>
      <c r="N1085">
        <v>222300</v>
      </c>
      <c r="O1085" t="s">
        <v>85</v>
      </c>
      <c r="Q1085" t="s">
        <v>26</v>
      </c>
    </row>
    <row r="1086" spans="1:17" x14ac:dyDescent="0.3">
      <c r="A1086" t="s">
        <v>1992</v>
      </c>
      <c r="B1086" t="s">
        <v>1895</v>
      </c>
      <c r="C1086" t="s">
        <v>19</v>
      </c>
      <c r="D1086" t="s">
        <v>83</v>
      </c>
      <c r="E1086">
        <v>42</v>
      </c>
      <c r="F1086" t="s">
        <v>44</v>
      </c>
      <c r="G1086" t="s">
        <v>100</v>
      </c>
      <c r="H1086" t="s">
        <v>22</v>
      </c>
      <c r="I1086" t="s">
        <v>84</v>
      </c>
      <c r="J1086" t="s">
        <v>34</v>
      </c>
      <c r="K1086">
        <v>10</v>
      </c>
      <c r="L1086">
        <v>41100</v>
      </c>
      <c r="M1086">
        <v>10</v>
      </c>
      <c r="N1086">
        <v>369900</v>
      </c>
      <c r="O1086" t="s">
        <v>48</v>
      </c>
      <c r="Q1086" t="s">
        <v>26</v>
      </c>
    </row>
    <row r="1087" spans="1:17" x14ac:dyDescent="0.3">
      <c r="A1087" t="s">
        <v>1993</v>
      </c>
      <c r="B1087" t="s">
        <v>1994</v>
      </c>
      <c r="C1087" t="s">
        <v>68</v>
      </c>
      <c r="D1087" t="s">
        <v>103</v>
      </c>
      <c r="E1087">
        <v>22</v>
      </c>
      <c r="F1087" t="s">
        <v>503</v>
      </c>
      <c r="G1087" t="s">
        <v>31</v>
      </c>
      <c r="H1087" t="s">
        <v>431</v>
      </c>
      <c r="I1087" t="s">
        <v>79</v>
      </c>
      <c r="J1087" t="s">
        <v>24</v>
      </c>
      <c r="K1087">
        <v>2</v>
      </c>
      <c r="L1087">
        <v>44400</v>
      </c>
      <c r="M1087">
        <v>25</v>
      </c>
      <c r="N1087">
        <v>66600</v>
      </c>
      <c r="O1087" t="s">
        <v>35</v>
      </c>
      <c r="P1087">
        <v>4</v>
      </c>
      <c r="Q1087" t="s">
        <v>74</v>
      </c>
    </row>
    <row r="1088" spans="1:17" x14ac:dyDescent="0.3">
      <c r="A1088" t="s">
        <v>1995</v>
      </c>
      <c r="B1088" t="s">
        <v>1996</v>
      </c>
      <c r="C1088" t="s">
        <v>88</v>
      </c>
      <c r="D1088" t="s">
        <v>20</v>
      </c>
      <c r="E1088">
        <v>23</v>
      </c>
      <c r="F1088" t="s">
        <v>427</v>
      </c>
      <c r="G1088" t="s">
        <v>95</v>
      </c>
      <c r="H1088" t="s">
        <v>32</v>
      </c>
      <c r="I1088" t="s">
        <v>53</v>
      </c>
      <c r="J1088" t="s">
        <v>24</v>
      </c>
      <c r="K1088" t="s">
        <v>863</v>
      </c>
      <c r="L1088">
        <v>33200</v>
      </c>
      <c r="M1088">
        <v>25</v>
      </c>
      <c r="N1088">
        <v>174300</v>
      </c>
      <c r="O1088" t="s">
        <v>162</v>
      </c>
      <c r="P1088">
        <v>5</v>
      </c>
      <c r="Q1088" t="s">
        <v>65</v>
      </c>
    </row>
    <row r="1089" spans="1:17" x14ac:dyDescent="0.3">
      <c r="A1089" t="s">
        <v>1997</v>
      </c>
      <c r="B1089" t="s">
        <v>329</v>
      </c>
      <c r="C1089" t="s">
        <v>68</v>
      </c>
      <c r="D1089" t="s">
        <v>103</v>
      </c>
      <c r="E1089">
        <v>31</v>
      </c>
      <c r="F1089" t="s">
        <v>51</v>
      </c>
      <c r="G1089" t="s">
        <v>104</v>
      </c>
      <c r="H1089" t="s">
        <v>32</v>
      </c>
      <c r="I1089" t="s">
        <v>53</v>
      </c>
      <c r="J1089" t="s">
        <v>24</v>
      </c>
      <c r="K1089">
        <v>3</v>
      </c>
      <c r="L1089">
        <v>31000</v>
      </c>
      <c r="M1089">
        <v>15</v>
      </c>
      <c r="N1089">
        <v>79050</v>
      </c>
      <c r="O1089" t="s">
        <v>73</v>
      </c>
      <c r="Q1089" t="s">
        <v>26</v>
      </c>
    </row>
    <row r="1090" spans="1:17" x14ac:dyDescent="0.3">
      <c r="A1090" t="s">
        <v>1998</v>
      </c>
      <c r="B1090" t="s">
        <v>1999</v>
      </c>
      <c r="C1090" t="s">
        <v>94</v>
      </c>
      <c r="D1090" t="s">
        <v>83</v>
      </c>
      <c r="E1090">
        <v>40</v>
      </c>
      <c r="F1090" t="s">
        <v>30</v>
      </c>
      <c r="G1090" t="s">
        <v>57</v>
      </c>
      <c r="H1090" t="s">
        <v>32</v>
      </c>
      <c r="I1090" t="s">
        <v>53</v>
      </c>
      <c r="J1090" t="s">
        <v>24</v>
      </c>
      <c r="K1090">
        <v>6</v>
      </c>
      <c r="L1090">
        <v>40600</v>
      </c>
      <c r="M1090">
        <v>25</v>
      </c>
      <c r="N1090">
        <v>182700</v>
      </c>
      <c r="O1090" t="s">
        <v>85</v>
      </c>
      <c r="Q1090" t="s">
        <v>41</v>
      </c>
    </row>
    <row r="1091" spans="1:17" x14ac:dyDescent="0.3">
      <c r="A1091" t="s">
        <v>2000</v>
      </c>
      <c r="B1091" t="s">
        <v>336</v>
      </c>
      <c r="C1091" t="s">
        <v>88</v>
      </c>
      <c r="E1091">
        <v>43</v>
      </c>
      <c r="F1091" t="s">
        <v>44</v>
      </c>
      <c r="G1091" t="s">
        <v>100</v>
      </c>
      <c r="H1091" t="s">
        <v>46</v>
      </c>
      <c r="I1091" t="s">
        <v>79</v>
      </c>
      <c r="J1091" t="s">
        <v>72</v>
      </c>
      <c r="K1091">
        <v>6</v>
      </c>
      <c r="L1091">
        <v>7400</v>
      </c>
      <c r="M1091">
        <v>0</v>
      </c>
      <c r="N1091">
        <v>44400</v>
      </c>
      <c r="O1091" t="s">
        <v>35</v>
      </c>
      <c r="P1091">
        <v>2</v>
      </c>
      <c r="Q1091" t="s">
        <v>65</v>
      </c>
    </row>
    <row r="1092" spans="1:17" x14ac:dyDescent="0.3">
      <c r="A1092" t="s">
        <v>2001</v>
      </c>
      <c r="B1092" t="s">
        <v>1556</v>
      </c>
      <c r="C1092" t="s">
        <v>71</v>
      </c>
      <c r="D1092" t="s">
        <v>20</v>
      </c>
      <c r="E1092">
        <v>46</v>
      </c>
      <c r="F1092" t="s">
        <v>51</v>
      </c>
      <c r="G1092" t="s">
        <v>52</v>
      </c>
      <c r="H1092" t="s">
        <v>62</v>
      </c>
      <c r="I1092" t="s">
        <v>140</v>
      </c>
      <c r="J1092" t="s">
        <v>24</v>
      </c>
      <c r="K1092">
        <v>10</v>
      </c>
      <c r="L1092">
        <v>3800</v>
      </c>
      <c r="M1092">
        <v>10</v>
      </c>
      <c r="N1092">
        <v>34200</v>
      </c>
      <c r="O1092" t="s">
        <v>85</v>
      </c>
      <c r="Q1092" t="s">
        <v>26</v>
      </c>
    </row>
    <row r="1093" spans="1:17" x14ac:dyDescent="0.3">
      <c r="A1093" t="s">
        <v>2002</v>
      </c>
      <c r="B1093" t="s">
        <v>1400</v>
      </c>
      <c r="C1093" t="s">
        <v>38</v>
      </c>
      <c r="D1093" t="s">
        <v>103</v>
      </c>
      <c r="E1093">
        <v>43</v>
      </c>
      <c r="F1093" t="s">
        <v>61</v>
      </c>
      <c r="G1093" t="s">
        <v>61</v>
      </c>
      <c r="H1093" t="s">
        <v>46</v>
      </c>
      <c r="I1093" t="s">
        <v>79</v>
      </c>
      <c r="J1093" t="s">
        <v>24</v>
      </c>
      <c r="K1093">
        <v>2</v>
      </c>
      <c r="L1093">
        <v>36000</v>
      </c>
      <c r="M1093">
        <v>0</v>
      </c>
      <c r="N1093" t="s">
        <v>2003</v>
      </c>
      <c r="O1093" t="s">
        <v>73</v>
      </c>
      <c r="Q1093" t="s">
        <v>26</v>
      </c>
    </row>
    <row r="1094" spans="1:17" x14ac:dyDescent="0.3">
      <c r="A1094" t="s">
        <v>2004</v>
      </c>
      <c r="B1094" t="s">
        <v>2005</v>
      </c>
      <c r="C1094" t="s">
        <v>94</v>
      </c>
      <c r="D1094" t="s">
        <v>103</v>
      </c>
      <c r="E1094">
        <v>28</v>
      </c>
      <c r="F1094" t="s">
        <v>21</v>
      </c>
      <c r="G1094" t="s">
        <v>21</v>
      </c>
      <c r="H1094" t="s">
        <v>32</v>
      </c>
      <c r="I1094" t="s">
        <v>53</v>
      </c>
      <c r="J1094" t="s">
        <v>72</v>
      </c>
      <c r="K1094">
        <v>4</v>
      </c>
      <c r="L1094">
        <v>19400</v>
      </c>
      <c r="M1094">
        <v>10</v>
      </c>
      <c r="N1094">
        <v>69840</v>
      </c>
      <c r="O1094" t="s">
        <v>73</v>
      </c>
      <c r="P1094">
        <v>2</v>
      </c>
      <c r="Q1094" t="s">
        <v>65</v>
      </c>
    </row>
    <row r="1095" spans="1:17" x14ac:dyDescent="0.3">
      <c r="A1095" t="s">
        <v>2006</v>
      </c>
      <c r="B1095" t="s">
        <v>1665</v>
      </c>
      <c r="C1095" t="s">
        <v>29</v>
      </c>
      <c r="D1095" t="s">
        <v>83</v>
      </c>
      <c r="E1095">
        <v>23</v>
      </c>
      <c r="F1095" t="s">
        <v>44</v>
      </c>
      <c r="G1095" t="s">
        <v>45</v>
      </c>
      <c r="H1095" t="s">
        <v>62</v>
      </c>
      <c r="I1095" t="s">
        <v>140</v>
      </c>
      <c r="J1095" t="s">
        <v>64</v>
      </c>
      <c r="K1095">
        <v>9</v>
      </c>
      <c r="L1095">
        <v>14200</v>
      </c>
      <c r="M1095">
        <v>25</v>
      </c>
      <c r="N1095">
        <v>95850</v>
      </c>
      <c r="O1095" t="s">
        <v>162</v>
      </c>
      <c r="P1095">
        <v>1</v>
      </c>
      <c r="Q1095" t="s">
        <v>41</v>
      </c>
    </row>
    <row r="1096" spans="1:17" x14ac:dyDescent="0.3">
      <c r="A1096" t="s">
        <v>2007</v>
      </c>
      <c r="B1096" t="s">
        <v>1112</v>
      </c>
      <c r="C1096" t="s">
        <v>121</v>
      </c>
      <c r="E1096">
        <v>60</v>
      </c>
      <c r="F1096" t="s">
        <v>21</v>
      </c>
      <c r="G1096" t="s">
        <v>21</v>
      </c>
      <c r="H1096" t="s">
        <v>62</v>
      </c>
      <c r="I1096" t="s">
        <v>140</v>
      </c>
      <c r="J1096" t="s">
        <v>64</v>
      </c>
      <c r="K1096">
        <v>4</v>
      </c>
      <c r="L1096">
        <v>13500</v>
      </c>
      <c r="M1096">
        <v>0</v>
      </c>
      <c r="N1096">
        <v>54000</v>
      </c>
      <c r="O1096" t="s">
        <v>73</v>
      </c>
      <c r="P1096">
        <v>1</v>
      </c>
      <c r="Q1096" t="s">
        <v>41</v>
      </c>
    </row>
    <row r="1097" spans="1:17" x14ac:dyDescent="0.3">
      <c r="A1097" t="s">
        <v>2008</v>
      </c>
      <c r="B1097" t="s">
        <v>2009</v>
      </c>
      <c r="C1097" t="s">
        <v>71</v>
      </c>
      <c r="D1097" t="s">
        <v>103</v>
      </c>
      <c r="E1097">
        <v>55</v>
      </c>
      <c r="F1097" t="s">
        <v>77</v>
      </c>
      <c r="G1097" t="s">
        <v>95</v>
      </c>
      <c r="H1097" t="s">
        <v>110</v>
      </c>
      <c r="I1097" t="s">
        <v>53</v>
      </c>
      <c r="J1097" t="s">
        <v>64</v>
      </c>
      <c r="K1097">
        <v>7</v>
      </c>
      <c r="L1097">
        <v>39600</v>
      </c>
      <c r="M1097">
        <v>5</v>
      </c>
      <c r="N1097">
        <v>263340</v>
      </c>
      <c r="O1097" t="s">
        <v>48</v>
      </c>
      <c r="P1097">
        <v>4</v>
      </c>
      <c r="Q1097" t="s">
        <v>41</v>
      </c>
    </row>
    <row r="1098" spans="1:17" x14ac:dyDescent="0.3">
      <c r="A1098" t="s">
        <v>2010</v>
      </c>
      <c r="B1098" t="s">
        <v>1323</v>
      </c>
      <c r="C1098" t="s">
        <v>19</v>
      </c>
      <c r="D1098" t="s">
        <v>20</v>
      </c>
      <c r="E1098">
        <v>45</v>
      </c>
      <c r="F1098" t="s">
        <v>51</v>
      </c>
      <c r="G1098" t="s">
        <v>104</v>
      </c>
      <c r="H1098" t="s">
        <v>22</v>
      </c>
      <c r="I1098" t="s">
        <v>84</v>
      </c>
      <c r="J1098" t="s">
        <v>34</v>
      </c>
      <c r="K1098">
        <v>9</v>
      </c>
      <c r="L1098">
        <v>35800</v>
      </c>
      <c r="M1098">
        <v>20</v>
      </c>
      <c r="N1098">
        <v>257760</v>
      </c>
      <c r="O1098" t="s">
        <v>35</v>
      </c>
      <c r="Q1098" t="s">
        <v>26</v>
      </c>
    </row>
    <row r="1099" spans="1:17" x14ac:dyDescent="0.3">
      <c r="A1099" t="s">
        <v>2011</v>
      </c>
      <c r="B1099" t="s">
        <v>2012</v>
      </c>
      <c r="C1099" t="s">
        <v>71</v>
      </c>
      <c r="D1099" t="s">
        <v>83</v>
      </c>
      <c r="E1099">
        <v>36</v>
      </c>
      <c r="F1099" t="s">
        <v>21</v>
      </c>
      <c r="G1099" t="s">
        <v>21</v>
      </c>
      <c r="H1099" t="s">
        <v>110</v>
      </c>
      <c r="I1099" t="s">
        <v>33</v>
      </c>
      <c r="J1099" t="s">
        <v>64</v>
      </c>
      <c r="K1099">
        <v>8</v>
      </c>
      <c r="L1099">
        <v>34100</v>
      </c>
      <c r="M1099">
        <v>15</v>
      </c>
      <c r="N1099">
        <v>231880</v>
      </c>
      <c r="O1099" t="s">
        <v>105</v>
      </c>
      <c r="P1099">
        <v>3</v>
      </c>
      <c r="Q1099" t="s">
        <v>74</v>
      </c>
    </row>
    <row r="1100" spans="1:17" x14ac:dyDescent="0.3">
      <c r="A1100" t="s">
        <v>2013</v>
      </c>
      <c r="B1100" t="s">
        <v>1716</v>
      </c>
      <c r="C1100" t="s">
        <v>19</v>
      </c>
      <c r="D1100" t="s">
        <v>83</v>
      </c>
      <c r="E1100">
        <v>38</v>
      </c>
      <c r="F1100" t="s">
        <v>44</v>
      </c>
      <c r="G1100" t="s">
        <v>100</v>
      </c>
      <c r="H1100" t="s">
        <v>22</v>
      </c>
      <c r="I1100" t="s">
        <v>84</v>
      </c>
      <c r="J1100" t="s">
        <v>80</v>
      </c>
      <c r="K1100">
        <v>4</v>
      </c>
      <c r="L1100">
        <v>9200</v>
      </c>
      <c r="M1100">
        <v>10</v>
      </c>
      <c r="N1100">
        <v>33120</v>
      </c>
      <c r="O1100" t="s">
        <v>35</v>
      </c>
      <c r="Q1100" t="s">
        <v>74</v>
      </c>
    </row>
    <row r="1101" spans="1:17" x14ac:dyDescent="0.3">
      <c r="A1101" t="s">
        <v>2014</v>
      </c>
      <c r="B1101" t="s">
        <v>308</v>
      </c>
      <c r="C1101" t="s">
        <v>94</v>
      </c>
      <c r="D1101" t="s">
        <v>83</v>
      </c>
      <c r="E1101">
        <v>28</v>
      </c>
      <c r="F1101" t="s">
        <v>30</v>
      </c>
      <c r="G1101" t="s">
        <v>57</v>
      </c>
      <c r="H1101" t="s">
        <v>62</v>
      </c>
      <c r="I1101" t="s">
        <v>140</v>
      </c>
      <c r="J1101" t="s">
        <v>34</v>
      </c>
      <c r="K1101">
        <v>6</v>
      </c>
      <c r="L1101">
        <v>24400</v>
      </c>
      <c r="M1101">
        <v>5</v>
      </c>
      <c r="N1101">
        <v>139080</v>
      </c>
      <c r="O1101" t="s">
        <v>35</v>
      </c>
      <c r="Q1101" t="s">
        <v>65</v>
      </c>
    </row>
    <row r="1102" spans="1:17" x14ac:dyDescent="0.3">
      <c r="A1102" t="s">
        <v>2015</v>
      </c>
      <c r="B1102" t="s">
        <v>656</v>
      </c>
      <c r="C1102" t="s">
        <v>60</v>
      </c>
      <c r="E1102">
        <v>62</v>
      </c>
      <c r="F1102" t="s">
        <v>1253</v>
      </c>
      <c r="G1102" t="s">
        <v>104</v>
      </c>
      <c r="H1102" t="s">
        <v>32</v>
      </c>
      <c r="I1102" t="s">
        <v>33</v>
      </c>
      <c r="J1102" t="s">
        <v>72</v>
      </c>
      <c r="K1102">
        <v>2</v>
      </c>
      <c r="L1102">
        <v>28100</v>
      </c>
      <c r="M1102">
        <v>20</v>
      </c>
      <c r="N1102">
        <v>44960</v>
      </c>
      <c r="O1102" t="s">
        <v>48</v>
      </c>
      <c r="P1102">
        <v>4</v>
      </c>
      <c r="Q1102" t="s">
        <v>41</v>
      </c>
    </row>
    <row r="1103" spans="1:17" x14ac:dyDescent="0.3">
      <c r="A1103" t="s">
        <v>2016</v>
      </c>
      <c r="B1103" t="s">
        <v>752</v>
      </c>
      <c r="C1103" t="s">
        <v>88</v>
      </c>
      <c r="D1103" t="s">
        <v>39</v>
      </c>
      <c r="E1103">
        <v>31</v>
      </c>
      <c r="F1103" t="s">
        <v>61</v>
      </c>
      <c r="G1103" t="s">
        <v>61</v>
      </c>
      <c r="H1103" t="s">
        <v>46</v>
      </c>
      <c r="I1103" t="s">
        <v>47</v>
      </c>
      <c r="J1103" t="s">
        <v>80</v>
      </c>
      <c r="K1103">
        <v>2</v>
      </c>
      <c r="L1103">
        <v>10400</v>
      </c>
      <c r="M1103">
        <v>5</v>
      </c>
      <c r="N1103">
        <v>19760</v>
      </c>
      <c r="O1103" t="s">
        <v>105</v>
      </c>
      <c r="P1103">
        <v>2</v>
      </c>
      <c r="Q1103" t="s">
        <v>26</v>
      </c>
    </row>
    <row r="1104" spans="1:17" x14ac:dyDescent="0.3">
      <c r="A1104" t="s">
        <v>2017</v>
      </c>
      <c r="B1104" t="s">
        <v>1477</v>
      </c>
      <c r="C1104" t="s">
        <v>29</v>
      </c>
      <c r="D1104" t="s">
        <v>39</v>
      </c>
      <c r="E1104">
        <v>22</v>
      </c>
      <c r="F1104" t="s">
        <v>44</v>
      </c>
      <c r="G1104" t="s">
        <v>100</v>
      </c>
      <c r="H1104" t="s">
        <v>22</v>
      </c>
      <c r="I1104" t="s">
        <v>23</v>
      </c>
      <c r="J1104" t="s">
        <v>34</v>
      </c>
      <c r="K1104">
        <v>6</v>
      </c>
      <c r="L1104">
        <v>42600</v>
      </c>
      <c r="M1104">
        <v>10</v>
      </c>
      <c r="N1104">
        <v>230040</v>
      </c>
      <c r="O1104" t="s">
        <v>35</v>
      </c>
      <c r="P1104">
        <v>3</v>
      </c>
      <c r="Q1104" t="s">
        <v>41</v>
      </c>
    </row>
    <row r="1105" spans="1:17" x14ac:dyDescent="0.3">
      <c r="A1105" t="s">
        <v>2018</v>
      </c>
      <c r="B1105" t="s">
        <v>2019</v>
      </c>
      <c r="C1105" t="s">
        <v>88</v>
      </c>
      <c r="D1105" t="s">
        <v>20</v>
      </c>
      <c r="E1105">
        <v>23</v>
      </c>
      <c r="F1105" t="s">
        <v>30</v>
      </c>
      <c r="G1105" t="s">
        <v>57</v>
      </c>
      <c r="H1105" t="s">
        <v>46</v>
      </c>
      <c r="I1105" t="s">
        <v>79</v>
      </c>
      <c r="J1105" t="s">
        <v>80</v>
      </c>
      <c r="K1105">
        <v>10</v>
      </c>
      <c r="L1105">
        <v>21600</v>
      </c>
      <c r="M1105">
        <v>25</v>
      </c>
      <c r="N1105">
        <v>162000</v>
      </c>
      <c r="O1105" t="s">
        <v>85</v>
      </c>
      <c r="P1105">
        <v>2</v>
      </c>
      <c r="Q1105" t="s">
        <v>74</v>
      </c>
    </row>
    <row r="1106" spans="1:17" x14ac:dyDescent="0.3">
      <c r="A1106" t="s">
        <v>2020</v>
      </c>
      <c r="B1106" t="s">
        <v>581</v>
      </c>
      <c r="C1106" t="s">
        <v>19</v>
      </c>
      <c r="D1106" t="s">
        <v>103</v>
      </c>
      <c r="E1106">
        <v>20</v>
      </c>
      <c r="F1106" t="s">
        <v>61</v>
      </c>
      <c r="G1106" t="s">
        <v>61</v>
      </c>
      <c r="H1106" t="s">
        <v>22</v>
      </c>
      <c r="I1106" t="s">
        <v>84</v>
      </c>
      <c r="J1106" t="s">
        <v>80</v>
      </c>
      <c r="K1106">
        <v>7</v>
      </c>
      <c r="L1106">
        <v>23600</v>
      </c>
      <c r="M1106">
        <v>0</v>
      </c>
      <c r="N1106">
        <v>165200</v>
      </c>
      <c r="O1106" t="s">
        <v>85</v>
      </c>
      <c r="P1106">
        <v>5</v>
      </c>
      <c r="Q1106" t="s">
        <v>74</v>
      </c>
    </row>
    <row r="1107" spans="1:17" x14ac:dyDescent="0.3">
      <c r="A1107" t="s">
        <v>2021</v>
      </c>
      <c r="B1107" t="s">
        <v>2022</v>
      </c>
      <c r="C1107" t="s">
        <v>60</v>
      </c>
      <c r="D1107" t="s">
        <v>39</v>
      </c>
      <c r="E1107">
        <v>51</v>
      </c>
      <c r="F1107" t="s">
        <v>21</v>
      </c>
      <c r="G1107" t="s">
        <v>21</v>
      </c>
      <c r="H1107" t="s">
        <v>46</v>
      </c>
      <c r="I1107" t="s">
        <v>79</v>
      </c>
      <c r="J1107" t="s">
        <v>72</v>
      </c>
      <c r="K1107">
        <v>3</v>
      </c>
      <c r="L1107">
        <v>17500</v>
      </c>
      <c r="M1107">
        <v>15</v>
      </c>
      <c r="N1107">
        <v>44625</v>
      </c>
      <c r="O1107" t="s">
        <v>40</v>
      </c>
      <c r="Q1107" t="s">
        <v>41</v>
      </c>
    </row>
    <row r="1108" spans="1:17" x14ac:dyDescent="0.3">
      <c r="A1108" t="s">
        <v>2023</v>
      </c>
      <c r="B1108" t="s">
        <v>1714</v>
      </c>
      <c r="C1108" t="s">
        <v>60</v>
      </c>
      <c r="E1108">
        <v>46</v>
      </c>
      <c r="F1108" t="s">
        <v>44</v>
      </c>
      <c r="G1108" t="s">
        <v>45</v>
      </c>
      <c r="H1108" t="s">
        <v>62</v>
      </c>
      <c r="I1108" t="s">
        <v>63</v>
      </c>
      <c r="J1108" t="s">
        <v>89</v>
      </c>
      <c r="K1108">
        <v>8</v>
      </c>
      <c r="L1108">
        <v>35300</v>
      </c>
      <c r="M1108">
        <v>5</v>
      </c>
      <c r="N1108">
        <v>268280</v>
      </c>
      <c r="O1108" t="s">
        <v>35</v>
      </c>
      <c r="P1108">
        <v>5</v>
      </c>
      <c r="Q1108" t="s">
        <v>41</v>
      </c>
    </row>
    <row r="1109" spans="1:17" x14ac:dyDescent="0.3">
      <c r="A1109" t="s">
        <v>2024</v>
      </c>
      <c r="B1109" t="s">
        <v>867</v>
      </c>
      <c r="C1109" t="s">
        <v>29</v>
      </c>
      <c r="D1109" t="s">
        <v>103</v>
      </c>
      <c r="E1109">
        <v>38</v>
      </c>
      <c r="F1109" t="s">
        <v>51</v>
      </c>
      <c r="G1109" t="s">
        <v>52</v>
      </c>
      <c r="H1109" t="s">
        <v>32</v>
      </c>
      <c r="I1109" t="s">
        <v>53</v>
      </c>
      <c r="J1109" t="s">
        <v>80</v>
      </c>
      <c r="K1109">
        <v>2</v>
      </c>
      <c r="L1109">
        <v>12600</v>
      </c>
      <c r="M1109">
        <v>0</v>
      </c>
      <c r="N1109">
        <v>25200</v>
      </c>
      <c r="O1109" t="s">
        <v>85</v>
      </c>
      <c r="Q1109" t="s">
        <v>65</v>
      </c>
    </row>
    <row r="1110" spans="1:17" x14ac:dyDescent="0.3">
      <c r="A1110" t="s">
        <v>2025</v>
      </c>
      <c r="B1110" t="s">
        <v>2026</v>
      </c>
      <c r="C1110" t="s">
        <v>68</v>
      </c>
      <c r="D1110" t="s">
        <v>39</v>
      </c>
      <c r="E1110">
        <v>24</v>
      </c>
      <c r="F1110" t="s">
        <v>77</v>
      </c>
      <c r="G1110" t="s">
        <v>95</v>
      </c>
      <c r="H1110" t="s">
        <v>32</v>
      </c>
      <c r="I1110" t="s">
        <v>33</v>
      </c>
      <c r="J1110" t="s">
        <v>80</v>
      </c>
      <c r="K1110">
        <v>5</v>
      </c>
      <c r="L1110">
        <v>27300</v>
      </c>
      <c r="M1110">
        <v>5</v>
      </c>
      <c r="N1110">
        <v>129675</v>
      </c>
      <c r="O1110" t="s">
        <v>25</v>
      </c>
      <c r="P1110">
        <v>5</v>
      </c>
      <c r="Q1110" t="s">
        <v>74</v>
      </c>
    </row>
    <row r="1111" spans="1:17" x14ac:dyDescent="0.3">
      <c r="A1111" t="s">
        <v>2027</v>
      </c>
      <c r="B1111" t="s">
        <v>2028</v>
      </c>
      <c r="C1111" t="s">
        <v>71</v>
      </c>
      <c r="D1111" t="s">
        <v>20</v>
      </c>
      <c r="E1111">
        <v>65</v>
      </c>
      <c r="F1111" t="s">
        <v>77</v>
      </c>
      <c r="G1111" t="s">
        <v>95</v>
      </c>
      <c r="H1111" t="s">
        <v>32</v>
      </c>
      <c r="I1111" t="s">
        <v>53</v>
      </c>
      <c r="J1111" t="s">
        <v>64</v>
      </c>
      <c r="K1111">
        <v>4</v>
      </c>
      <c r="L1111">
        <v>25200</v>
      </c>
      <c r="M1111">
        <v>25</v>
      </c>
      <c r="N1111">
        <v>75600</v>
      </c>
      <c r="O1111" t="s">
        <v>25</v>
      </c>
      <c r="P1111">
        <v>4</v>
      </c>
      <c r="Q1111" t="s">
        <v>26</v>
      </c>
    </row>
    <row r="1112" spans="1:17" x14ac:dyDescent="0.3">
      <c r="A1112" t="s">
        <v>2029</v>
      </c>
      <c r="B1112" t="s">
        <v>215</v>
      </c>
      <c r="C1112" t="s">
        <v>68</v>
      </c>
      <c r="E1112">
        <v>38</v>
      </c>
      <c r="F1112" t="s">
        <v>51</v>
      </c>
      <c r="G1112" t="s">
        <v>104</v>
      </c>
      <c r="H1112" t="s">
        <v>46</v>
      </c>
      <c r="I1112" t="s">
        <v>47</v>
      </c>
      <c r="J1112" t="s">
        <v>72</v>
      </c>
      <c r="K1112">
        <v>10</v>
      </c>
      <c r="L1112">
        <v>31100</v>
      </c>
      <c r="M1112">
        <v>5</v>
      </c>
      <c r="N1112">
        <v>295450</v>
      </c>
      <c r="O1112" t="s">
        <v>35</v>
      </c>
      <c r="P1112">
        <v>3</v>
      </c>
      <c r="Q1112" t="s">
        <v>74</v>
      </c>
    </row>
    <row r="1113" spans="1:17" x14ac:dyDescent="0.3">
      <c r="A1113" t="s">
        <v>2030</v>
      </c>
      <c r="B1113" t="s">
        <v>2031</v>
      </c>
      <c r="C1113" t="s">
        <v>94</v>
      </c>
      <c r="D1113" t="s">
        <v>20</v>
      </c>
      <c r="E1113">
        <v>54</v>
      </c>
      <c r="F1113" t="s">
        <v>21</v>
      </c>
      <c r="G1113" t="s">
        <v>21</v>
      </c>
      <c r="H1113" t="s">
        <v>32</v>
      </c>
      <c r="I1113" t="s">
        <v>53</v>
      </c>
      <c r="J1113" t="s">
        <v>80</v>
      </c>
      <c r="K1113">
        <v>9</v>
      </c>
      <c r="L1113">
        <v>48400</v>
      </c>
      <c r="M1113">
        <v>20</v>
      </c>
      <c r="N1113">
        <v>348480</v>
      </c>
      <c r="O1113" t="s">
        <v>35</v>
      </c>
      <c r="P1113">
        <v>3</v>
      </c>
      <c r="Q1113" t="s">
        <v>26</v>
      </c>
    </row>
    <row r="1114" spans="1:17" x14ac:dyDescent="0.3">
      <c r="A1114" t="s">
        <v>2032</v>
      </c>
      <c r="B1114" t="s">
        <v>2033</v>
      </c>
      <c r="C1114" t="s">
        <v>19</v>
      </c>
      <c r="D1114" t="s">
        <v>20</v>
      </c>
      <c r="E1114">
        <v>22</v>
      </c>
      <c r="F1114" t="s">
        <v>21</v>
      </c>
      <c r="G1114" t="s">
        <v>21</v>
      </c>
      <c r="H1114" t="s">
        <v>62</v>
      </c>
      <c r="I1114" t="s">
        <v>63</v>
      </c>
      <c r="J1114" t="s">
        <v>72</v>
      </c>
      <c r="K1114">
        <v>7</v>
      </c>
      <c r="L1114">
        <v>47300</v>
      </c>
      <c r="M1114">
        <v>25</v>
      </c>
      <c r="N1114">
        <v>248325</v>
      </c>
      <c r="O1114" t="s">
        <v>73</v>
      </c>
      <c r="P1114">
        <v>3</v>
      </c>
      <c r="Q1114" t="s">
        <v>65</v>
      </c>
    </row>
    <row r="1115" spans="1:17" x14ac:dyDescent="0.3">
      <c r="A1115" t="s">
        <v>2034</v>
      </c>
      <c r="B1115" t="s">
        <v>217</v>
      </c>
      <c r="C1115" t="s">
        <v>94</v>
      </c>
      <c r="E1115">
        <v>56</v>
      </c>
      <c r="F1115" t="s">
        <v>51</v>
      </c>
      <c r="G1115" t="s">
        <v>52</v>
      </c>
      <c r="H1115" t="s">
        <v>62</v>
      </c>
      <c r="I1115" t="s">
        <v>140</v>
      </c>
      <c r="J1115" t="s">
        <v>64</v>
      </c>
      <c r="K1115">
        <v>8</v>
      </c>
      <c r="L1115">
        <v>36400</v>
      </c>
      <c r="M1115">
        <v>5</v>
      </c>
      <c r="N1115">
        <v>276640</v>
      </c>
      <c r="O1115" t="s">
        <v>85</v>
      </c>
      <c r="P1115">
        <v>1</v>
      </c>
      <c r="Q1115" t="s">
        <v>41</v>
      </c>
    </row>
    <row r="1116" spans="1:17" x14ac:dyDescent="0.3">
      <c r="A1116" t="s">
        <v>2035</v>
      </c>
      <c r="B1116" t="s">
        <v>115</v>
      </c>
      <c r="C1116" t="s">
        <v>60</v>
      </c>
      <c r="D1116" t="s">
        <v>103</v>
      </c>
      <c r="E1116">
        <v>150</v>
      </c>
      <c r="F1116" t="s">
        <v>77</v>
      </c>
      <c r="G1116" t="s">
        <v>78</v>
      </c>
      <c r="H1116" t="s">
        <v>22</v>
      </c>
      <c r="I1116" t="s">
        <v>84</v>
      </c>
      <c r="J1116" t="s">
        <v>64</v>
      </c>
      <c r="K1116">
        <v>4</v>
      </c>
      <c r="L1116">
        <v>6300</v>
      </c>
      <c r="M1116">
        <v>0</v>
      </c>
      <c r="N1116">
        <v>25200</v>
      </c>
      <c r="O1116" t="s">
        <v>73</v>
      </c>
      <c r="Q1116" t="s">
        <v>74</v>
      </c>
    </row>
    <row r="1117" spans="1:17" x14ac:dyDescent="0.3">
      <c r="A1117" t="s">
        <v>2036</v>
      </c>
      <c r="B1117" t="s">
        <v>2037</v>
      </c>
      <c r="C1117" t="s">
        <v>71</v>
      </c>
      <c r="E1117">
        <v>30</v>
      </c>
      <c r="F1117" t="s">
        <v>51</v>
      </c>
      <c r="G1117" t="s">
        <v>52</v>
      </c>
      <c r="H1117" t="s">
        <v>32</v>
      </c>
      <c r="I1117" t="s">
        <v>33</v>
      </c>
      <c r="J1117" t="s">
        <v>34</v>
      </c>
      <c r="K1117">
        <v>10</v>
      </c>
      <c r="L1117">
        <v>49800</v>
      </c>
      <c r="M1117">
        <v>25</v>
      </c>
      <c r="N1117">
        <v>373500</v>
      </c>
      <c r="O1117" t="s">
        <v>85</v>
      </c>
      <c r="P1117">
        <v>5</v>
      </c>
      <c r="Q1117" t="s">
        <v>74</v>
      </c>
    </row>
    <row r="1118" spans="1:17" x14ac:dyDescent="0.3">
      <c r="A1118" t="s">
        <v>2038</v>
      </c>
      <c r="B1118" t="s">
        <v>2039</v>
      </c>
      <c r="C1118" t="s">
        <v>29</v>
      </c>
      <c r="D1118" t="s">
        <v>83</v>
      </c>
      <c r="E1118">
        <v>25</v>
      </c>
      <c r="F1118" t="s">
        <v>77</v>
      </c>
      <c r="G1118" t="s">
        <v>95</v>
      </c>
      <c r="H1118" t="s">
        <v>62</v>
      </c>
      <c r="I1118" t="s">
        <v>140</v>
      </c>
      <c r="J1118" t="s">
        <v>64</v>
      </c>
      <c r="K1118">
        <v>10</v>
      </c>
      <c r="L1118">
        <v>24000</v>
      </c>
      <c r="M1118">
        <v>20</v>
      </c>
      <c r="N1118">
        <v>192000</v>
      </c>
      <c r="O1118" t="s">
        <v>25</v>
      </c>
      <c r="P1118">
        <v>5</v>
      </c>
      <c r="Q1118" t="s">
        <v>74</v>
      </c>
    </row>
    <row r="1119" spans="1:17" x14ac:dyDescent="0.3">
      <c r="A1119" t="s">
        <v>2040</v>
      </c>
      <c r="B1119" t="s">
        <v>771</v>
      </c>
      <c r="C1119" t="s">
        <v>60</v>
      </c>
      <c r="D1119" t="s">
        <v>83</v>
      </c>
      <c r="E1119">
        <v>36</v>
      </c>
      <c r="F1119" t="s">
        <v>51</v>
      </c>
      <c r="G1119" t="s">
        <v>52</v>
      </c>
      <c r="H1119" t="s">
        <v>22</v>
      </c>
      <c r="I1119" t="s">
        <v>23</v>
      </c>
      <c r="J1119" t="s">
        <v>72</v>
      </c>
      <c r="K1119">
        <v>6</v>
      </c>
      <c r="L1119">
        <v>45600</v>
      </c>
      <c r="M1119">
        <v>5</v>
      </c>
      <c r="N1119">
        <v>259920</v>
      </c>
      <c r="O1119" t="s">
        <v>35</v>
      </c>
      <c r="Q1119" t="s">
        <v>65</v>
      </c>
    </row>
    <row r="1120" spans="1:17" x14ac:dyDescent="0.3">
      <c r="A1120" t="s">
        <v>2041</v>
      </c>
      <c r="B1120" t="s">
        <v>2042</v>
      </c>
      <c r="C1120" t="s">
        <v>29</v>
      </c>
      <c r="D1120" t="s">
        <v>103</v>
      </c>
      <c r="E1120">
        <v>35</v>
      </c>
      <c r="F1120" t="s">
        <v>51</v>
      </c>
      <c r="G1120" t="s">
        <v>104</v>
      </c>
      <c r="H1120" t="s">
        <v>46</v>
      </c>
      <c r="I1120" t="s">
        <v>79</v>
      </c>
      <c r="J1120" t="s">
        <v>64</v>
      </c>
      <c r="K1120">
        <v>2</v>
      </c>
      <c r="L1120">
        <v>8400</v>
      </c>
      <c r="M1120">
        <v>5</v>
      </c>
      <c r="N1120">
        <v>15960</v>
      </c>
      <c r="O1120" t="s">
        <v>105</v>
      </c>
      <c r="P1120">
        <v>5</v>
      </c>
      <c r="Q1120" t="s">
        <v>26</v>
      </c>
    </row>
    <row r="1121" spans="1:17" x14ac:dyDescent="0.3">
      <c r="A1121" t="s">
        <v>2043</v>
      </c>
      <c r="B1121" t="s">
        <v>2044</v>
      </c>
      <c r="C1121" t="s">
        <v>121</v>
      </c>
      <c r="D1121" t="s">
        <v>20</v>
      </c>
      <c r="E1121">
        <v>40</v>
      </c>
      <c r="F1121" t="s">
        <v>77</v>
      </c>
      <c r="G1121" t="s">
        <v>95</v>
      </c>
      <c r="H1121" t="s">
        <v>32</v>
      </c>
      <c r="I1121" t="s">
        <v>53</v>
      </c>
      <c r="J1121" t="s">
        <v>64</v>
      </c>
      <c r="K1121">
        <v>6</v>
      </c>
      <c r="L1121">
        <v>33300</v>
      </c>
      <c r="M1121">
        <v>15</v>
      </c>
      <c r="N1121">
        <v>169830</v>
      </c>
      <c r="O1121" t="s">
        <v>40</v>
      </c>
      <c r="P1121">
        <v>5</v>
      </c>
      <c r="Q1121" t="s">
        <v>74</v>
      </c>
    </row>
    <row r="1122" spans="1:17" x14ac:dyDescent="0.3">
      <c r="A1122" t="s">
        <v>2045</v>
      </c>
      <c r="B1122" t="s">
        <v>2046</v>
      </c>
      <c r="C1122" t="s">
        <v>68</v>
      </c>
      <c r="D1122" t="s">
        <v>103</v>
      </c>
      <c r="E1122">
        <v>21</v>
      </c>
      <c r="F1122" t="s">
        <v>30</v>
      </c>
      <c r="G1122" t="s">
        <v>57</v>
      </c>
      <c r="H1122" t="s">
        <v>46</v>
      </c>
      <c r="I1122" t="s">
        <v>47</v>
      </c>
      <c r="J1122" t="s">
        <v>34</v>
      </c>
      <c r="K1122">
        <v>5</v>
      </c>
      <c r="L1122">
        <v>10100</v>
      </c>
      <c r="M1122">
        <v>5</v>
      </c>
      <c r="N1122">
        <v>47975</v>
      </c>
      <c r="O1122" t="s">
        <v>85</v>
      </c>
      <c r="P1122">
        <v>4</v>
      </c>
      <c r="Q1122" t="s">
        <v>41</v>
      </c>
    </row>
    <row r="1123" spans="1:17" x14ac:dyDescent="0.3">
      <c r="A1123" t="s">
        <v>2047</v>
      </c>
      <c r="B1123" t="s">
        <v>2048</v>
      </c>
      <c r="C1123" t="s">
        <v>94</v>
      </c>
      <c r="D1123" t="s">
        <v>83</v>
      </c>
      <c r="E1123">
        <v>46</v>
      </c>
      <c r="F1123" t="s">
        <v>44</v>
      </c>
      <c r="G1123" t="s">
        <v>100</v>
      </c>
      <c r="H1123" t="s">
        <v>46</v>
      </c>
      <c r="I1123" t="s">
        <v>47</v>
      </c>
      <c r="J1123" t="s">
        <v>80</v>
      </c>
      <c r="K1123">
        <v>6</v>
      </c>
      <c r="L1123">
        <v>4700</v>
      </c>
      <c r="M1123">
        <v>5</v>
      </c>
      <c r="N1123">
        <v>26790</v>
      </c>
      <c r="O1123" t="s">
        <v>73</v>
      </c>
      <c r="P1123">
        <v>2</v>
      </c>
      <c r="Q1123" t="s">
        <v>65</v>
      </c>
    </row>
    <row r="1124" spans="1:17" x14ac:dyDescent="0.3">
      <c r="A1124" t="s">
        <v>2049</v>
      </c>
      <c r="B1124" t="s">
        <v>2050</v>
      </c>
      <c r="C1124" t="s">
        <v>60</v>
      </c>
      <c r="D1124" t="s">
        <v>20</v>
      </c>
      <c r="E1124">
        <v>20</v>
      </c>
      <c r="F1124" t="s">
        <v>44</v>
      </c>
      <c r="G1124" t="s">
        <v>100</v>
      </c>
      <c r="H1124" t="s">
        <v>46</v>
      </c>
      <c r="I1124" t="s">
        <v>47</v>
      </c>
      <c r="J1124" t="s">
        <v>64</v>
      </c>
      <c r="K1124">
        <v>6</v>
      </c>
      <c r="L1124">
        <v>26100</v>
      </c>
      <c r="M1124">
        <v>0</v>
      </c>
      <c r="N1124">
        <v>156600</v>
      </c>
      <c r="O1124" t="s">
        <v>105</v>
      </c>
      <c r="Q1124" t="s">
        <v>41</v>
      </c>
    </row>
    <row r="1125" spans="1:17" x14ac:dyDescent="0.3">
      <c r="A1125" t="s">
        <v>2051</v>
      </c>
      <c r="B1125" t="s">
        <v>496</v>
      </c>
      <c r="C1125" t="s">
        <v>88</v>
      </c>
      <c r="E1125">
        <v>64</v>
      </c>
      <c r="F1125" t="s">
        <v>61</v>
      </c>
      <c r="G1125" t="s">
        <v>61</v>
      </c>
      <c r="H1125" t="s">
        <v>22</v>
      </c>
      <c r="I1125" t="s">
        <v>23</v>
      </c>
      <c r="J1125" t="s">
        <v>34</v>
      </c>
      <c r="K1125">
        <v>8</v>
      </c>
      <c r="L1125">
        <v>28600</v>
      </c>
      <c r="M1125">
        <v>25</v>
      </c>
      <c r="N1125">
        <v>171600</v>
      </c>
      <c r="O1125" t="s">
        <v>48</v>
      </c>
      <c r="P1125">
        <v>4</v>
      </c>
      <c r="Q1125" t="s">
        <v>74</v>
      </c>
    </row>
    <row r="1126" spans="1:17" x14ac:dyDescent="0.3">
      <c r="A1126" t="s">
        <v>2052</v>
      </c>
      <c r="B1126" t="s">
        <v>2053</v>
      </c>
      <c r="C1126" t="s">
        <v>71</v>
      </c>
      <c r="D1126" t="s">
        <v>20</v>
      </c>
      <c r="E1126">
        <v>30</v>
      </c>
      <c r="F1126" t="s">
        <v>30</v>
      </c>
      <c r="G1126" t="s">
        <v>57</v>
      </c>
      <c r="H1126" t="s">
        <v>62</v>
      </c>
      <c r="I1126" t="s">
        <v>63</v>
      </c>
      <c r="J1126" t="s">
        <v>72</v>
      </c>
      <c r="K1126">
        <v>5</v>
      </c>
      <c r="L1126">
        <v>49000</v>
      </c>
      <c r="M1126">
        <v>10</v>
      </c>
      <c r="N1126">
        <v>220500</v>
      </c>
      <c r="O1126" t="s">
        <v>105</v>
      </c>
      <c r="P1126">
        <v>5</v>
      </c>
      <c r="Q1126" t="s">
        <v>65</v>
      </c>
    </row>
    <row r="1127" spans="1:17" x14ac:dyDescent="0.3">
      <c r="A1127" t="s">
        <v>2054</v>
      </c>
      <c r="B1127" t="s">
        <v>690</v>
      </c>
      <c r="C1127" t="s">
        <v>113</v>
      </c>
      <c r="D1127" t="s">
        <v>83</v>
      </c>
      <c r="E1127">
        <v>62</v>
      </c>
      <c r="F1127" t="s">
        <v>77</v>
      </c>
      <c r="G1127" t="s">
        <v>95</v>
      </c>
      <c r="H1127" t="s">
        <v>46</v>
      </c>
      <c r="I1127" t="s">
        <v>47</v>
      </c>
      <c r="J1127" t="s">
        <v>72</v>
      </c>
      <c r="K1127">
        <v>8</v>
      </c>
      <c r="L1127">
        <v>23500</v>
      </c>
      <c r="M1127">
        <v>0</v>
      </c>
      <c r="N1127">
        <v>188000</v>
      </c>
      <c r="O1127" t="s">
        <v>73</v>
      </c>
      <c r="P1127">
        <v>1</v>
      </c>
      <c r="Q1127" t="s">
        <v>26</v>
      </c>
    </row>
    <row r="1128" spans="1:17" x14ac:dyDescent="0.3">
      <c r="A1128" t="s">
        <v>2055</v>
      </c>
      <c r="B1128" t="s">
        <v>161</v>
      </c>
      <c r="C1128" t="s">
        <v>38</v>
      </c>
      <c r="E1128">
        <v>55</v>
      </c>
      <c r="F1128" t="s">
        <v>61</v>
      </c>
      <c r="G1128" t="s">
        <v>61</v>
      </c>
      <c r="H1128" t="s">
        <v>62</v>
      </c>
      <c r="I1128" t="s">
        <v>140</v>
      </c>
      <c r="J1128" t="s">
        <v>89</v>
      </c>
      <c r="K1128">
        <v>1</v>
      </c>
      <c r="L1128">
        <v>38700</v>
      </c>
      <c r="M1128">
        <v>5</v>
      </c>
      <c r="N1128">
        <v>36765</v>
      </c>
      <c r="O1128" t="s">
        <v>25</v>
      </c>
      <c r="P1128">
        <v>4</v>
      </c>
      <c r="Q1128" t="s">
        <v>41</v>
      </c>
    </row>
    <row r="1129" spans="1:17" x14ac:dyDescent="0.3">
      <c r="A1129" t="s">
        <v>2056</v>
      </c>
      <c r="B1129" t="s">
        <v>2057</v>
      </c>
      <c r="C1129" t="s">
        <v>29</v>
      </c>
      <c r="D1129" t="s">
        <v>39</v>
      </c>
      <c r="E1129">
        <v>38</v>
      </c>
      <c r="F1129" t="s">
        <v>51</v>
      </c>
      <c r="G1129" t="s">
        <v>104</v>
      </c>
      <c r="H1129" t="s">
        <v>46</v>
      </c>
      <c r="I1129" t="s">
        <v>79</v>
      </c>
      <c r="J1129" t="s">
        <v>24</v>
      </c>
      <c r="K1129">
        <v>8</v>
      </c>
      <c r="L1129">
        <v>30800</v>
      </c>
      <c r="M1129">
        <v>10</v>
      </c>
      <c r="N1129">
        <v>221760</v>
      </c>
      <c r="O1129" t="s">
        <v>105</v>
      </c>
      <c r="P1129">
        <v>2</v>
      </c>
      <c r="Q1129" t="s">
        <v>26</v>
      </c>
    </row>
    <row r="1130" spans="1:17" x14ac:dyDescent="0.3">
      <c r="A1130" t="s">
        <v>2058</v>
      </c>
      <c r="B1130" t="s">
        <v>417</v>
      </c>
      <c r="C1130" t="s">
        <v>88</v>
      </c>
      <c r="E1130">
        <v>64</v>
      </c>
      <c r="F1130" t="s">
        <v>61</v>
      </c>
      <c r="G1130" t="s">
        <v>61</v>
      </c>
      <c r="H1130" t="s">
        <v>46</v>
      </c>
      <c r="I1130" t="s">
        <v>79</v>
      </c>
      <c r="J1130" t="s">
        <v>80</v>
      </c>
      <c r="K1130">
        <v>10</v>
      </c>
      <c r="L1130">
        <v>9700</v>
      </c>
      <c r="M1130">
        <v>0</v>
      </c>
      <c r="N1130">
        <v>97000</v>
      </c>
      <c r="O1130" t="s">
        <v>85</v>
      </c>
      <c r="Q1130" t="s">
        <v>65</v>
      </c>
    </row>
    <row r="1131" spans="1:17" x14ac:dyDescent="0.3">
      <c r="A1131" t="s">
        <v>2059</v>
      </c>
      <c r="B1131" t="s">
        <v>2060</v>
      </c>
      <c r="C1131" t="s">
        <v>60</v>
      </c>
      <c r="D1131" t="s">
        <v>103</v>
      </c>
      <c r="E1131">
        <v>49</v>
      </c>
      <c r="F1131" t="s">
        <v>44</v>
      </c>
      <c r="G1131" t="s">
        <v>100</v>
      </c>
      <c r="H1131" t="s">
        <v>22</v>
      </c>
      <c r="I1131" t="s">
        <v>84</v>
      </c>
      <c r="J1131" t="s">
        <v>24</v>
      </c>
      <c r="K1131">
        <v>1</v>
      </c>
      <c r="L1131">
        <v>45500</v>
      </c>
      <c r="M1131">
        <v>20</v>
      </c>
      <c r="N1131">
        <v>36400</v>
      </c>
      <c r="O1131" t="s">
        <v>73</v>
      </c>
      <c r="P1131">
        <v>5</v>
      </c>
      <c r="Q1131" t="s">
        <v>74</v>
      </c>
    </row>
    <row r="1132" spans="1:17" x14ac:dyDescent="0.3">
      <c r="A1132" t="s">
        <v>2061</v>
      </c>
      <c r="B1132" t="s">
        <v>2062</v>
      </c>
      <c r="C1132" t="s">
        <v>38</v>
      </c>
      <c r="D1132" t="s">
        <v>83</v>
      </c>
      <c r="E1132">
        <v>44</v>
      </c>
      <c r="F1132" t="s">
        <v>77</v>
      </c>
      <c r="G1132" t="s">
        <v>95</v>
      </c>
      <c r="H1132" t="s">
        <v>46</v>
      </c>
      <c r="I1132" t="s">
        <v>47</v>
      </c>
      <c r="J1132" t="s">
        <v>34</v>
      </c>
      <c r="K1132">
        <v>8</v>
      </c>
      <c r="L1132">
        <v>13300</v>
      </c>
      <c r="M1132">
        <v>5</v>
      </c>
      <c r="N1132">
        <v>101080</v>
      </c>
      <c r="O1132" t="s">
        <v>73</v>
      </c>
      <c r="P1132">
        <v>5</v>
      </c>
      <c r="Q1132" t="s">
        <v>74</v>
      </c>
    </row>
    <row r="1133" spans="1:17" x14ac:dyDescent="0.3">
      <c r="A1133" t="s">
        <v>2063</v>
      </c>
      <c r="B1133" t="s">
        <v>2064</v>
      </c>
      <c r="C1133" t="s">
        <v>19</v>
      </c>
      <c r="D1133" t="s">
        <v>39</v>
      </c>
      <c r="E1133">
        <v>36</v>
      </c>
      <c r="F1133" t="s">
        <v>44</v>
      </c>
      <c r="G1133" t="s">
        <v>100</v>
      </c>
      <c r="H1133" t="s">
        <v>32</v>
      </c>
      <c r="I1133" t="s">
        <v>33</v>
      </c>
      <c r="J1133" t="s">
        <v>64</v>
      </c>
      <c r="K1133">
        <v>10</v>
      </c>
      <c r="L1133">
        <v>5800</v>
      </c>
      <c r="M1133">
        <v>25</v>
      </c>
      <c r="N1133">
        <v>43500</v>
      </c>
      <c r="O1133" t="s">
        <v>40</v>
      </c>
      <c r="Q1133" t="s">
        <v>74</v>
      </c>
    </row>
    <row r="1134" spans="1:17" x14ac:dyDescent="0.3">
      <c r="A1134" t="s">
        <v>2065</v>
      </c>
      <c r="B1134" t="s">
        <v>1279</v>
      </c>
      <c r="C1134" t="s">
        <v>29</v>
      </c>
      <c r="D1134" t="s">
        <v>20</v>
      </c>
      <c r="E1134">
        <v>59</v>
      </c>
      <c r="F1134" t="s">
        <v>51</v>
      </c>
      <c r="G1134" t="s">
        <v>52</v>
      </c>
      <c r="H1134" t="s">
        <v>62</v>
      </c>
      <c r="I1134" t="s">
        <v>63</v>
      </c>
      <c r="J1134" t="s">
        <v>24</v>
      </c>
      <c r="K1134">
        <v>5</v>
      </c>
      <c r="L1134">
        <v>25800</v>
      </c>
      <c r="M1134">
        <v>5</v>
      </c>
      <c r="N1134">
        <v>122550</v>
      </c>
      <c r="O1134" t="s">
        <v>105</v>
      </c>
      <c r="P1134">
        <v>4</v>
      </c>
      <c r="Q1134" t="s">
        <v>65</v>
      </c>
    </row>
    <row r="1135" spans="1:17" x14ac:dyDescent="0.3">
      <c r="A1135" t="s">
        <v>2066</v>
      </c>
      <c r="B1135" t="s">
        <v>2067</v>
      </c>
      <c r="C1135" t="s">
        <v>29</v>
      </c>
      <c r="E1135">
        <v>61</v>
      </c>
      <c r="F1135" t="s">
        <v>51</v>
      </c>
      <c r="G1135" t="s">
        <v>52</v>
      </c>
      <c r="H1135" t="s">
        <v>431</v>
      </c>
      <c r="I1135" t="s">
        <v>79</v>
      </c>
      <c r="J1135" t="s">
        <v>34</v>
      </c>
      <c r="K1135">
        <v>9</v>
      </c>
      <c r="L1135">
        <v>13200</v>
      </c>
      <c r="M1135">
        <v>0</v>
      </c>
      <c r="N1135">
        <v>118800</v>
      </c>
      <c r="O1135" t="s">
        <v>85</v>
      </c>
      <c r="Q1135" t="s">
        <v>74</v>
      </c>
    </row>
    <row r="1136" spans="1:17" x14ac:dyDescent="0.3">
      <c r="A1136" t="s">
        <v>2068</v>
      </c>
      <c r="B1136" t="s">
        <v>805</v>
      </c>
      <c r="C1136" t="s">
        <v>121</v>
      </c>
      <c r="D1136" t="s">
        <v>39</v>
      </c>
      <c r="E1136">
        <v>62</v>
      </c>
      <c r="F1136" t="s">
        <v>77</v>
      </c>
      <c r="G1136" t="s">
        <v>78</v>
      </c>
      <c r="H1136" t="s">
        <v>46</v>
      </c>
      <c r="I1136" t="s">
        <v>79</v>
      </c>
      <c r="J1136" t="s">
        <v>89</v>
      </c>
      <c r="K1136">
        <v>6</v>
      </c>
      <c r="L1136">
        <v>9300</v>
      </c>
      <c r="M1136">
        <v>5</v>
      </c>
      <c r="N1136">
        <v>53010</v>
      </c>
      <c r="O1136" t="s">
        <v>25</v>
      </c>
      <c r="P1136">
        <v>2</v>
      </c>
      <c r="Q1136" t="s">
        <v>74</v>
      </c>
    </row>
    <row r="1137" spans="1:17" x14ac:dyDescent="0.3">
      <c r="A1137" t="s">
        <v>2069</v>
      </c>
      <c r="B1137" t="s">
        <v>1694</v>
      </c>
      <c r="C1137" t="s">
        <v>113</v>
      </c>
      <c r="D1137" t="s">
        <v>83</v>
      </c>
      <c r="E1137">
        <v>32</v>
      </c>
      <c r="F1137" t="s">
        <v>51</v>
      </c>
      <c r="G1137" t="s">
        <v>52</v>
      </c>
      <c r="H1137" t="s">
        <v>62</v>
      </c>
      <c r="I1137" t="s">
        <v>63</v>
      </c>
      <c r="J1137" t="s">
        <v>72</v>
      </c>
      <c r="K1137">
        <v>6</v>
      </c>
      <c r="L1137">
        <v>31400</v>
      </c>
      <c r="M1137">
        <v>0</v>
      </c>
      <c r="N1137">
        <v>188400</v>
      </c>
      <c r="O1137" t="s">
        <v>105</v>
      </c>
      <c r="P1137">
        <v>4</v>
      </c>
      <c r="Q1137" t="s">
        <v>26</v>
      </c>
    </row>
    <row r="1138" spans="1:17" x14ac:dyDescent="0.3">
      <c r="A1138" t="s">
        <v>2070</v>
      </c>
      <c r="B1138" t="s">
        <v>2071</v>
      </c>
      <c r="C1138" t="s">
        <v>71</v>
      </c>
      <c r="D1138" t="s">
        <v>83</v>
      </c>
      <c r="E1138">
        <v>58</v>
      </c>
      <c r="F1138" t="s">
        <v>51</v>
      </c>
      <c r="G1138" t="s">
        <v>52</v>
      </c>
      <c r="H1138" t="s">
        <v>32</v>
      </c>
      <c r="I1138" t="s">
        <v>33</v>
      </c>
      <c r="J1138" t="s">
        <v>64</v>
      </c>
      <c r="K1138">
        <v>2</v>
      </c>
      <c r="L1138">
        <v>15600</v>
      </c>
      <c r="M1138">
        <v>5</v>
      </c>
      <c r="N1138">
        <v>29640</v>
      </c>
      <c r="O1138" t="s">
        <v>73</v>
      </c>
      <c r="P1138">
        <v>1</v>
      </c>
      <c r="Q1138" t="s">
        <v>41</v>
      </c>
    </row>
    <row r="1139" spans="1:17" x14ac:dyDescent="0.3">
      <c r="A1139" t="s">
        <v>2072</v>
      </c>
      <c r="B1139" t="s">
        <v>2073</v>
      </c>
      <c r="C1139" t="s">
        <v>121</v>
      </c>
      <c r="D1139" t="s">
        <v>39</v>
      </c>
      <c r="E1139">
        <v>18</v>
      </c>
      <c r="F1139" t="s">
        <v>51</v>
      </c>
      <c r="G1139" t="s">
        <v>104</v>
      </c>
      <c r="H1139" t="s">
        <v>62</v>
      </c>
      <c r="I1139" t="s">
        <v>140</v>
      </c>
      <c r="J1139" t="s">
        <v>89</v>
      </c>
      <c r="K1139">
        <v>4</v>
      </c>
      <c r="L1139">
        <v>7800</v>
      </c>
      <c r="M1139">
        <v>0</v>
      </c>
      <c r="N1139">
        <v>31200</v>
      </c>
      <c r="O1139" t="s">
        <v>162</v>
      </c>
      <c r="P1139">
        <v>2</v>
      </c>
      <c r="Q1139" t="s">
        <v>26</v>
      </c>
    </row>
    <row r="1140" spans="1:17" x14ac:dyDescent="0.3">
      <c r="A1140" t="s">
        <v>2074</v>
      </c>
      <c r="B1140" t="s">
        <v>2075</v>
      </c>
      <c r="C1140" t="s">
        <v>60</v>
      </c>
      <c r="D1140" t="s">
        <v>83</v>
      </c>
      <c r="E1140">
        <v>53</v>
      </c>
      <c r="F1140" t="s">
        <v>44</v>
      </c>
      <c r="G1140" t="s">
        <v>100</v>
      </c>
      <c r="H1140" t="s">
        <v>62</v>
      </c>
      <c r="I1140" t="s">
        <v>140</v>
      </c>
      <c r="J1140" t="s">
        <v>80</v>
      </c>
      <c r="K1140">
        <v>1</v>
      </c>
      <c r="L1140">
        <v>14300</v>
      </c>
      <c r="M1140">
        <v>10</v>
      </c>
      <c r="N1140">
        <v>12870</v>
      </c>
      <c r="O1140" t="s">
        <v>73</v>
      </c>
      <c r="P1140">
        <v>3</v>
      </c>
      <c r="Q1140" t="s">
        <v>74</v>
      </c>
    </row>
    <row r="1141" spans="1:17" x14ac:dyDescent="0.3">
      <c r="A1141" t="s">
        <v>2076</v>
      </c>
      <c r="B1141" t="s">
        <v>1233</v>
      </c>
      <c r="C1141" t="s">
        <v>60</v>
      </c>
      <c r="D1141" t="s">
        <v>83</v>
      </c>
      <c r="E1141">
        <v>40</v>
      </c>
      <c r="F1141" t="s">
        <v>30</v>
      </c>
      <c r="G1141" t="s">
        <v>31</v>
      </c>
      <c r="H1141" t="s">
        <v>22</v>
      </c>
      <c r="I1141" t="s">
        <v>23</v>
      </c>
      <c r="J1141" t="s">
        <v>24</v>
      </c>
      <c r="K1141">
        <v>8</v>
      </c>
      <c r="L1141">
        <v>44500</v>
      </c>
      <c r="M1141">
        <v>25</v>
      </c>
      <c r="N1141">
        <v>267000</v>
      </c>
      <c r="O1141" t="s">
        <v>48</v>
      </c>
      <c r="P1141">
        <v>3</v>
      </c>
      <c r="Q1141" t="s">
        <v>65</v>
      </c>
    </row>
    <row r="1142" spans="1:17" x14ac:dyDescent="0.3">
      <c r="A1142" t="s">
        <v>2077</v>
      </c>
      <c r="B1142" t="s">
        <v>1312</v>
      </c>
      <c r="C1142" t="s">
        <v>113</v>
      </c>
      <c r="E1142">
        <v>32</v>
      </c>
      <c r="F1142" t="s">
        <v>51</v>
      </c>
      <c r="G1142" t="s">
        <v>104</v>
      </c>
      <c r="H1142" t="s">
        <v>32</v>
      </c>
      <c r="I1142" t="s">
        <v>53</v>
      </c>
      <c r="J1142" t="s">
        <v>89</v>
      </c>
      <c r="K1142">
        <v>5</v>
      </c>
      <c r="L1142">
        <v>18400</v>
      </c>
      <c r="M1142">
        <v>5</v>
      </c>
      <c r="N1142">
        <v>87400</v>
      </c>
      <c r="O1142" t="s">
        <v>40</v>
      </c>
      <c r="P1142">
        <v>3</v>
      </c>
      <c r="Q1142" t="s">
        <v>65</v>
      </c>
    </row>
    <row r="1143" spans="1:17" x14ac:dyDescent="0.3">
      <c r="A1143" t="s">
        <v>2078</v>
      </c>
      <c r="B1143" t="s">
        <v>2079</v>
      </c>
      <c r="C1143" t="s">
        <v>68</v>
      </c>
      <c r="D1143" t="s">
        <v>39</v>
      </c>
      <c r="E1143">
        <v>43</v>
      </c>
      <c r="F1143" t="s">
        <v>44</v>
      </c>
      <c r="G1143" t="s">
        <v>45</v>
      </c>
      <c r="H1143" t="s">
        <v>32</v>
      </c>
      <c r="I1143" t="s">
        <v>33</v>
      </c>
      <c r="J1143" t="s">
        <v>24</v>
      </c>
      <c r="K1143">
        <v>3</v>
      </c>
      <c r="L1143">
        <v>38800</v>
      </c>
      <c r="M1143">
        <v>20</v>
      </c>
      <c r="N1143">
        <v>93120</v>
      </c>
      <c r="O1143" t="s">
        <v>25</v>
      </c>
      <c r="P1143">
        <v>3</v>
      </c>
      <c r="Q1143" t="s">
        <v>26</v>
      </c>
    </row>
    <row r="1144" spans="1:17" x14ac:dyDescent="0.3">
      <c r="A1144" t="s">
        <v>2080</v>
      </c>
      <c r="B1144" t="s">
        <v>1843</v>
      </c>
      <c r="C1144" t="s">
        <v>94</v>
      </c>
      <c r="D1144" t="s">
        <v>103</v>
      </c>
      <c r="E1144">
        <v>51</v>
      </c>
      <c r="F1144" t="s">
        <v>44</v>
      </c>
      <c r="G1144" t="s">
        <v>45</v>
      </c>
      <c r="H1144" t="s">
        <v>32</v>
      </c>
      <c r="I1144" t="s">
        <v>33</v>
      </c>
      <c r="J1144" t="s">
        <v>72</v>
      </c>
      <c r="K1144">
        <v>7</v>
      </c>
      <c r="L1144">
        <v>49500</v>
      </c>
      <c r="M1144">
        <v>15</v>
      </c>
      <c r="N1144">
        <v>294525</v>
      </c>
      <c r="O1144" t="s">
        <v>25</v>
      </c>
      <c r="P1144">
        <v>4</v>
      </c>
      <c r="Q1144" t="s">
        <v>41</v>
      </c>
    </row>
    <row r="1145" spans="1:17" x14ac:dyDescent="0.3">
      <c r="A1145" t="s">
        <v>2081</v>
      </c>
      <c r="B1145" t="s">
        <v>692</v>
      </c>
      <c r="C1145" t="s">
        <v>38</v>
      </c>
      <c r="D1145" t="s">
        <v>39</v>
      </c>
      <c r="E1145">
        <v>54</v>
      </c>
      <c r="F1145" t="s">
        <v>77</v>
      </c>
      <c r="G1145" t="s">
        <v>95</v>
      </c>
      <c r="H1145" t="s">
        <v>62</v>
      </c>
      <c r="I1145" t="s">
        <v>63</v>
      </c>
      <c r="J1145" t="s">
        <v>89</v>
      </c>
      <c r="K1145">
        <v>1</v>
      </c>
      <c r="L1145">
        <v>28300</v>
      </c>
      <c r="M1145">
        <v>10</v>
      </c>
      <c r="N1145">
        <v>25470</v>
      </c>
      <c r="O1145" t="s">
        <v>48</v>
      </c>
      <c r="P1145">
        <v>4</v>
      </c>
      <c r="Q1145" t="s">
        <v>65</v>
      </c>
    </row>
    <row r="1146" spans="1:17" x14ac:dyDescent="0.3">
      <c r="A1146" t="s">
        <v>2082</v>
      </c>
      <c r="B1146" t="s">
        <v>1155</v>
      </c>
      <c r="C1146" t="s">
        <v>88</v>
      </c>
      <c r="E1146">
        <v>150</v>
      </c>
      <c r="F1146" t="s">
        <v>51</v>
      </c>
      <c r="G1146" t="s">
        <v>52</v>
      </c>
      <c r="H1146" t="s">
        <v>32</v>
      </c>
      <c r="I1146" t="s">
        <v>33</v>
      </c>
      <c r="J1146" t="s">
        <v>64</v>
      </c>
      <c r="K1146">
        <v>4</v>
      </c>
      <c r="L1146">
        <v>8900</v>
      </c>
      <c r="M1146">
        <v>10</v>
      </c>
      <c r="N1146">
        <v>32040</v>
      </c>
      <c r="O1146" t="s">
        <v>25</v>
      </c>
      <c r="P1146">
        <v>1</v>
      </c>
      <c r="Q1146" t="s">
        <v>74</v>
      </c>
    </row>
    <row r="1147" spans="1:17" x14ac:dyDescent="0.3">
      <c r="A1147" t="s">
        <v>2083</v>
      </c>
      <c r="B1147" t="s">
        <v>1291</v>
      </c>
      <c r="C1147" t="s">
        <v>121</v>
      </c>
      <c r="D1147" t="s">
        <v>39</v>
      </c>
      <c r="E1147">
        <v>55</v>
      </c>
      <c r="F1147" t="s">
        <v>30</v>
      </c>
      <c r="G1147" t="s">
        <v>31</v>
      </c>
      <c r="H1147" t="s">
        <v>431</v>
      </c>
      <c r="I1147" t="s">
        <v>79</v>
      </c>
      <c r="J1147" t="s">
        <v>34</v>
      </c>
      <c r="K1147" t="s">
        <v>184</v>
      </c>
      <c r="L1147">
        <v>35000</v>
      </c>
      <c r="M1147">
        <v>15</v>
      </c>
      <c r="N1147">
        <v>148750</v>
      </c>
      <c r="O1147" t="s">
        <v>73</v>
      </c>
      <c r="Q1147" t="s">
        <v>41</v>
      </c>
    </row>
    <row r="1148" spans="1:17" x14ac:dyDescent="0.3">
      <c r="A1148" t="s">
        <v>2084</v>
      </c>
      <c r="B1148" t="s">
        <v>1598</v>
      </c>
      <c r="C1148" t="s">
        <v>68</v>
      </c>
      <c r="D1148" t="s">
        <v>83</v>
      </c>
      <c r="E1148">
        <v>62</v>
      </c>
      <c r="F1148" t="s">
        <v>61</v>
      </c>
      <c r="G1148" t="s">
        <v>61</v>
      </c>
      <c r="H1148" t="s">
        <v>62</v>
      </c>
      <c r="I1148" t="s">
        <v>140</v>
      </c>
      <c r="J1148" t="s">
        <v>80</v>
      </c>
      <c r="K1148">
        <v>4</v>
      </c>
      <c r="L1148">
        <v>49600</v>
      </c>
      <c r="M1148">
        <v>20</v>
      </c>
      <c r="N1148">
        <v>158720</v>
      </c>
      <c r="O1148" t="s">
        <v>25</v>
      </c>
      <c r="Q1148" t="s">
        <v>65</v>
      </c>
    </row>
    <row r="1149" spans="1:17" x14ac:dyDescent="0.3">
      <c r="A1149" t="s">
        <v>2085</v>
      </c>
      <c r="B1149" t="s">
        <v>575</v>
      </c>
      <c r="C1149" t="s">
        <v>94</v>
      </c>
      <c r="E1149">
        <v>33</v>
      </c>
      <c r="F1149" t="s">
        <v>30</v>
      </c>
      <c r="G1149" t="s">
        <v>57</v>
      </c>
      <c r="H1149" t="s">
        <v>62</v>
      </c>
      <c r="I1149" t="s">
        <v>63</v>
      </c>
      <c r="J1149" t="s">
        <v>64</v>
      </c>
      <c r="K1149">
        <v>5</v>
      </c>
      <c r="L1149">
        <v>11400</v>
      </c>
      <c r="M1149">
        <v>25</v>
      </c>
      <c r="N1149">
        <v>42750</v>
      </c>
      <c r="O1149" t="s">
        <v>35</v>
      </c>
      <c r="Q1149" t="s">
        <v>41</v>
      </c>
    </row>
    <row r="1150" spans="1:17" x14ac:dyDescent="0.3">
      <c r="A1150" t="s">
        <v>2086</v>
      </c>
      <c r="B1150" t="s">
        <v>2087</v>
      </c>
      <c r="C1150" t="s">
        <v>29</v>
      </c>
      <c r="D1150" t="s">
        <v>39</v>
      </c>
      <c r="E1150">
        <v>22</v>
      </c>
      <c r="F1150" t="s">
        <v>51</v>
      </c>
      <c r="G1150" t="s">
        <v>104</v>
      </c>
      <c r="H1150" t="s">
        <v>22</v>
      </c>
      <c r="I1150" t="s">
        <v>23</v>
      </c>
      <c r="J1150" t="s">
        <v>72</v>
      </c>
      <c r="K1150">
        <v>10</v>
      </c>
      <c r="L1150">
        <v>49400</v>
      </c>
      <c r="M1150">
        <v>10</v>
      </c>
      <c r="N1150">
        <v>444600</v>
      </c>
      <c r="O1150" t="s">
        <v>48</v>
      </c>
      <c r="P1150">
        <v>4</v>
      </c>
      <c r="Q1150" t="s">
        <v>26</v>
      </c>
    </row>
    <row r="1151" spans="1:17" x14ac:dyDescent="0.3">
      <c r="A1151" t="s">
        <v>2088</v>
      </c>
      <c r="B1151" t="s">
        <v>2089</v>
      </c>
      <c r="C1151" t="s">
        <v>19</v>
      </c>
      <c r="D1151" t="s">
        <v>39</v>
      </c>
      <c r="E1151">
        <v>30</v>
      </c>
      <c r="F1151" t="s">
        <v>77</v>
      </c>
      <c r="G1151" t="s">
        <v>95</v>
      </c>
      <c r="H1151" t="s">
        <v>46</v>
      </c>
      <c r="I1151" t="s">
        <v>79</v>
      </c>
      <c r="J1151" t="s">
        <v>34</v>
      </c>
      <c r="K1151">
        <v>3</v>
      </c>
      <c r="L1151">
        <v>2000</v>
      </c>
      <c r="M1151">
        <v>25</v>
      </c>
      <c r="N1151">
        <v>4500</v>
      </c>
      <c r="O1151" t="s">
        <v>48</v>
      </c>
      <c r="P1151">
        <v>1</v>
      </c>
      <c r="Q1151" t="s">
        <v>41</v>
      </c>
    </row>
    <row r="1152" spans="1:17" x14ac:dyDescent="0.3">
      <c r="A1152" t="s">
        <v>2090</v>
      </c>
      <c r="B1152" t="s">
        <v>2091</v>
      </c>
      <c r="C1152" t="s">
        <v>71</v>
      </c>
      <c r="D1152" t="s">
        <v>83</v>
      </c>
      <c r="E1152">
        <v>56</v>
      </c>
      <c r="F1152" t="s">
        <v>51</v>
      </c>
      <c r="G1152" t="s">
        <v>52</v>
      </c>
      <c r="H1152" t="s">
        <v>32</v>
      </c>
      <c r="I1152" t="s">
        <v>33</v>
      </c>
      <c r="J1152" t="s">
        <v>80</v>
      </c>
      <c r="K1152">
        <v>5</v>
      </c>
      <c r="L1152">
        <v>44900</v>
      </c>
      <c r="M1152">
        <v>25</v>
      </c>
      <c r="N1152">
        <v>168375</v>
      </c>
      <c r="O1152" t="s">
        <v>73</v>
      </c>
      <c r="P1152">
        <v>4</v>
      </c>
      <c r="Q1152" t="s">
        <v>74</v>
      </c>
    </row>
    <row r="1153" spans="1:17" x14ac:dyDescent="0.3">
      <c r="A1153" t="s">
        <v>2092</v>
      </c>
      <c r="B1153" t="s">
        <v>938</v>
      </c>
      <c r="C1153" t="s">
        <v>68</v>
      </c>
      <c r="E1153">
        <v>48</v>
      </c>
      <c r="F1153" t="s">
        <v>30</v>
      </c>
      <c r="G1153" t="s">
        <v>31</v>
      </c>
      <c r="H1153" t="s">
        <v>62</v>
      </c>
      <c r="I1153" t="s">
        <v>140</v>
      </c>
      <c r="J1153" t="s">
        <v>80</v>
      </c>
      <c r="K1153">
        <v>9</v>
      </c>
      <c r="L1153">
        <v>15200</v>
      </c>
      <c r="M1153">
        <v>5</v>
      </c>
      <c r="N1153">
        <v>129960</v>
      </c>
      <c r="O1153" t="s">
        <v>25</v>
      </c>
      <c r="P1153">
        <v>5</v>
      </c>
      <c r="Q1153" t="s">
        <v>74</v>
      </c>
    </row>
    <row r="1154" spans="1:17" x14ac:dyDescent="0.3">
      <c r="A1154" t="s">
        <v>2093</v>
      </c>
      <c r="B1154" t="s">
        <v>1020</v>
      </c>
      <c r="C1154" t="s">
        <v>71</v>
      </c>
      <c r="D1154" t="s">
        <v>83</v>
      </c>
      <c r="E1154">
        <v>39</v>
      </c>
      <c r="F1154" t="s">
        <v>77</v>
      </c>
      <c r="G1154" t="s">
        <v>95</v>
      </c>
      <c r="H1154" t="s">
        <v>32</v>
      </c>
      <c r="I1154" t="s">
        <v>53</v>
      </c>
      <c r="J1154" t="s">
        <v>72</v>
      </c>
      <c r="K1154">
        <v>10</v>
      </c>
      <c r="L1154">
        <v>41600</v>
      </c>
      <c r="M1154">
        <v>15</v>
      </c>
      <c r="N1154">
        <v>353600</v>
      </c>
      <c r="O1154" t="s">
        <v>25</v>
      </c>
      <c r="Q1154" t="s">
        <v>74</v>
      </c>
    </row>
    <row r="1155" spans="1:17" x14ac:dyDescent="0.3">
      <c r="A1155" t="s">
        <v>2094</v>
      </c>
      <c r="B1155" t="s">
        <v>1806</v>
      </c>
      <c r="C1155" t="s">
        <v>38</v>
      </c>
      <c r="D1155" t="s">
        <v>83</v>
      </c>
      <c r="E1155">
        <v>20</v>
      </c>
      <c r="F1155" t="s">
        <v>44</v>
      </c>
      <c r="G1155" t="s">
        <v>45</v>
      </c>
      <c r="H1155" t="s">
        <v>62</v>
      </c>
      <c r="I1155" t="s">
        <v>63</v>
      </c>
      <c r="J1155" t="s">
        <v>64</v>
      </c>
      <c r="K1155">
        <v>3</v>
      </c>
      <c r="L1155">
        <v>11200</v>
      </c>
      <c r="M1155">
        <v>5</v>
      </c>
      <c r="N1155">
        <v>31920</v>
      </c>
      <c r="O1155" t="s">
        <v>40</v>
      </c>
      <c r="P1155">
        <v>5</v>
      </c>
      <c r="Q1155" t="s">
        <v>26</v>
      </c>
    </row>
    <row r="1156" spans="1:17" x14ac:dyDescent="0.3">
      <c r="A1156" t="s">
        <v>2095</v>
      </c>
      <c r="B1156" t="s">
        <v>2096</v>
      </c>
      <c r="C1156" t="s">
        <v>121</v>
      </c>
      <c r="E1156">
        <v>36</v>
      </c>
      <c r="F1156" t="s">
        <v>21</v>
      </c>
      <c r="G1156" t="s">
        <v>21</v>
      </c>
      <c r="H1156" t="s">
        <v>22</v>
      </c>
      <c r="I1156" t="s">
        <v>23</v>
      </c>
      <c r="J1156" t="s">
        <v>64</v>
      </c>
      <c r="K1156" t="s">
        <v>165</v>
      </c>
      <c r="L1156">
        <v>7500</v>
      </c>
      <c r="M1156">
        <v>15</v>
      </c>
      <c r="N1156">
        <v>6375</v>
      </c>
      <c r="O1156" t="s">
        <v>85</v>
      </c>
      <c r="Q1156" t="s">
        <v>41</v>
      </c>
    </row>
    <row r="1157" spans="1:17" x14ac:dyDescent="0.3">
      <c r="A1157" t="s">
        <v>2097</v>
      </c>
      <c r="B1157" t="s">
        <v>137</v>
      </c>
      <c r="C1157" t="s">
        <v>38</v>
      </c>
      <c r="E1157">
        <v>61</v>
      </c>
      <c r="F1157" t="s">
        <v>77</v>
      </c>
      <c r="G1157" t="s">
        <v>78</v>
      </c>
      <c r="H1157" t="s">
        <v>62</v>
      </c>
      <c r="I1157" t="s">
        <v>63</v>
      </c>
      <c r="J1157" t="s">
        <v>89</v>
      </c>
      <c r="K1157">
        <v>1</v>
      </c>
      <c r="L1157">
        <v>13000</v>
      </c>
      <c r="M1157">
        <v>25</v>
      </c>
      <c r="N1157">
        <v>9750</v>
      </c>
      <c r="O1157" t="s">
        <v>85</v>
      </c>
      <c r="Q1157" t="s">
        <v>65</v>
      </c>
    </row>
    <row r="1158" spans="1:17" x14ac:dyDescent="0.3">
      <c r="A1158" t="s">
        <v>2098</v>
      </c>
      <c r="B1158" t="s">
        <v>2099</v>
      </c>
      <c r="C1158" t="s">
        <v>38</v>
      </c>
      <c r="D1158" t="s">
        <v>39</v>
      </c>
      <c r="E1158">
        <v>55</v>
      </c>
      <c r="F1158" t="s">
        <v>77</v>
      </c>
      <c r="G1158" t="s">
        <v>95</v>
      </c>
      <c r="H1158" t="s">
        <v>22</v>
      </c>
      <c r="I1158" t="s">
        <v>84</v>
      </c>
      <c r="J1158" t="s">
        <v>89</v>
      </c>
      <c r="K1158" t="s">
        <v>173</v>
      </c>
      <c r="L1158">
        <v>34800</v>
      </c>
      <c r="M1158">
        <v>10</v>
      </c>
      <c r="N1158">
        <v>62640</v>
      </c>
      <c r="O1158" t="s">
        <v>105</v>
      </c>
      <c r="Q1158" t="s">
        <v>65</v>
      </c>
    </row>
    <row r="1159" spans="1:17" x14ac:dyDescent="0.3">
      <c r="A1159" t="s">
        <v>2100</v>
      </c>
      <c r="B1159" t="s">
        <v>2101</v>
      </c>
      <c r="C1159" t="s">
        <v>94</v>
      </c>
      <c r="D1159" t="s">
        <v>39</v>
      </c>
      <c r="E1159">
        <v>47</v>
      </c>
      <c r="F1159" t="s">
        <v>21</v>
      </c>
      <c r="G1159" t="s">
        <v>21</v>
      </c>
      <c r="H1159" t="s">
        <v>22</v>
      </c>
      <c r="I1159" t="s">
        <v>84</v>
      </c>
      <c r="J1159" t="s">
        <v>72</v>
      </c>
      <c r="K1159">
        <v>3</v>
      </c>
      <c r="L1159">
        <v>11500</v>
      </c>
      <c r="M1159">
        <v>0</v>
      </c>
      <c r="N1159">
        <v>34500</v>
      </c>
      <c r="O1159" t="s">
        <v>105</v>
      </c>
      <c r="P1159">
        <v>4</v>
      </c>
      <c r="Q1159" t="s">
        <v>74</v>
      </c>
    </row>
    <row r="1160" spans="1:17" x14ac:dyDescent="0.3">
      <c r="A1160" t="s">
        <v>2102</v>
      </c>
      <c r="B1160" t="s">
        <v>2103</v>
      </c>
      <c r="C1160" t="s">
        <v>113</v>
      </c>
      <c r="D1160" t="s">
        <v>39</v>
      </c>
      <c r="E1160">
        <v>36</v>
      </c>
      <c r="F1160" t="s">
        <v>77</v>
      </c>
      <c r="G1160" t="s">
        <v>95</v>
      </c>
      <c r="H1160" t="s">
        <v>22</v>
      </c>
      <c r="I1160" t="s">
        <v>23</v>
      </c>
      <c r="J1160" t="s">
        <v>72</v>
      </c>
      <c r="K1160">
        <v>2</v>
      </c>
      <c r="L1160">
        <v>39500</v>
      </c>
      <c r="M1160">
        <v>5</v>
      </c>
      <c r="N1160">
        <v>75050</v>
      </c>
      <c r="O1160" t="s">
        <v>105</v>
      </c>
      <c r="P1160">
        <v>2</v>
      </c>
      <c r="Q1160" t="s">
        <v>26</v>
      </c>
    </row>
    <row r="1161" spans="1:17" x14ac:dyDescent="0.3">
      <c r="A1161" t="s">
        <v>2104</v>
      </c>
      <c r="B1161" t="s">
        <v>1987</v>
      </c>
      <c r="C1161" t="s">
        <v>29</v>
      </c>
      <c r="E1161">
        <v>22</v>
      </c>
      <c r="F1161" t="s">
        <v>51</v>
      </c>
      <c r="G1161" t="s">
        <v>104</v>
      </c>
      <c r="H1161" t="s">
        <v>22</v>
      </c>
      <c r="I1161" t="s">
        <v>23</v>
      </c>
      <c r="J1161" t="s">
        <v>72</v>
      </c>
      <c r="K1161">
        <v>9</v>
      </c>
      <c r="L1161">
        <v>48700</v>
      </c>
      <c r="M1161">
        <v>25</v>
      </c>
      <c r="N1161">
        <v>328725</v>
      </c>
      <c r="O1161" t="s">
        <v>48</v>
      </c>
      <c r="Q1161" t="s">
        <v>74</v>
      </c>
    </row>
    <row r="1162" spans="1:17" x14ac:dyDescent="0.3">
      <c r="A1162" t="s">
        <v>2105</v>
      </c>
      <c r="B1162" t="s">
        <v>1660</v>
      </c>
      <c r="C1162" t="s">
        <v>68</v>
      </c>
      <c r="D1162" t="s">
        <v>103</v>
      </c>
      <c r="E1162">
        <v>21</v>
      </c>
      <c r="F1162" t="s">
        <v>44</v>
      </c>
      <c r="G1162" t="s">
        <v>45</v>
      </c>
      <c r="H1162" t="s">
        <v>62</v>
      </c>
      <c r="I1162" t="s">
        <v>63</v>
      </c>
      <c r="J1162" t="s">
        <v>89</v>
      </c>
      <c r="K1162" t="s">
        <v>562</v>
      </c>
      <c r="L1162">
        <v>21600</v>
      </c>
      <c r="M1162">
        <v>0</v>
      </c>
      <c r="N1162">
        <v>86400</v>
      </c>
      <c r="O1162" t="s">
        <v>105</v>
      </c>
      <c r="Q1162" t="s">
        <v>74</v>
      </c>
    </row>
    <row r="1163" spans="1:17" x14ac:dyDescent="0.3">
      <c r="A1163" t="s">
        <v>2106</v>
      </c>
      <c r="B1163" t="s">
        <v>2107</v>
      </c>
      <c r="C1163" t="s">
        <v>19</v>
      </c>
      <c r="D1163" t="s">
        <v>83</v>
      </c>
      <c r="E1163">
        <v>40</v>
      </c>
      <c r="F1163" t="s">
        <v>51</v>
      </c>
      <c r="G1163" t="s">
        <v>52</v>
      </c>
      <c r="H1163" t="s">
        <v>32</v>
      </c>
      <c r="I1163" t="s">
        <v>53</v>
      </c>
      <c r="J1163" t="s">
        <v>89</v>
      </c>
      <c r="K1163">
        <v>2</v>
      </c>
      <c r="L1163">
        <v>49100</v>
      </c>
      <c r="M1163">
        <v>10</v>
      </c>
      <c r="N1163">
        <v>88380</v>
      </c>
      <c r="O1163" t="s">
        <v>40</v>
      </c>
      <c r="Q1163" t="s">
        <v>41</v>
      </c>
    </row>
    <row r="1164" spans="1:17" x14ac:dyDescent="0.3">
      <c r="A1164" t="s">
        <v>2108</v>
      </c>
      <c r="B1164" t="s">
        <v>2109</v>
      </c>
      <c r="C1164" t="s">
        <v>121</v>
      </c>
      <c r="D1164" t="s">
        <v>103</v>
      </c>
      <c r="E1164">
        <v>52</v>
      </c>
      <c r="F1164" t="s">
        <v>77</v>
      </c>
      <c r="G1164" t="s">
        <v>78</v>
      </c>
      <c r="H1164" t="s">
        <v>46</v>
      </c>
      <c r="I1164" t="s">
        <v>79</v>
      </c>
      <c r="J1164" t="s">
        <v>80</v>
      </c>
      <c r="K1164">
        <v>4</v>
      </c>
      <c r="L1164">
        <v>11100</v>
      </c>
      <c r="M1164">
        <v>10</v>
      </c>
      <c r="N1164">
        <v>39960</v>
      </c>
      <c r="O1164" t="s">
        <v>85</v>
      </c>
      <c r="Q1164" t="s">
        <v>65</v>
      </c>
    </row>
    <row r="1165" spans="1:17" x14ac:dyDescent="0.3">
      <c r="A1165" t="s">
        <v>2110</v>
      </c>
      <c r="B1165" t="s">
        <v>327</v>
      </c>
      <c r="C1165" t="s">
        <v>121</v>
      </c>
      <c r="D1165" t="s">
        <v>39</v>
      </c>
      <c r="E1165">
        <v>22</v>
      </c>
      <c r="F1165" t="s">
        <v>21</v>
      </c>
      <c r="G1165" t="s">
        <v>21</v>
      </c>
      <c r="H1165" t="s">
        <v>22</v>
      </c>
      <c r="I1165" t="s">
        <v>23</v>
      </c>
      <c r="J1165" t="s">
        <v>72</v>
      </c>
      <c r="K1165">
        <v>2</v>
      </c>
      <c r="L1165">
        <v>30600</v>
      </c>
      <c r="M1165">
        <v>0</v>
      </c>
      <c r="N1165">
        <v>61200</v>
      </c>
      <c r="O1165" t="s">
        <v>25</v>
      </c>
      <c r="P1165">
        <v>2</v>
      </c>
      <c r="Q1165" t="s">
        <v>65</v>
      </c>
    </row>
    <row r="1166" spans="1:17" x14ac:dyDescent="0.3">
      <c r="A1166" t="s">
        <v>2111</v>
      </c>
      <c r="B1166" t="s">
        <v>172</v>
      </c>
      <c r="C1166" t="s">
        <v>71</v>
      </c>
      <c r="D1166" t="s">
        <v>103</v>
      </c>
      <c r="E1166">
        <v>53</v>
      </c>
      <c r="F1166" t="s">
        <v>77</v>
      </c>
      <c r="G1166" t="s">
        <v>78</v>
      </c>
      <c r="H1166" t="s">
        <v>62</v>
      </c>
      <c r="I1166" t="s">
        <v>63</v>
      </c>
      <c r="J1166" t="s">
        <v>24</v>
      </c>
      <c r="K1166">
        <v>10</v>
      </c>
      <c r="L1166">
        <v>16400</v>
      </c>
      <c r="M1166">
        <v>20</v>
      </c>
      <c r="N1166">
        <v>131200</v>
      </c>
      <c r="O1166" t="s">
        <v>35</v>
      </c>
      <c r="P1166">
        <v>2</v>
      </c>
      <c r="Q1166" t="s">
        <v>74</v>
      </c>
    </row>
    <row r="1167" spans="1:17" x14ac:dyDescent="0.3">
      <c r="A1167" t="s">
        <v>2112</v>
      </c>
      <c r="B1167" t="s">
        <v>486</v>
      </c>
      <c r="C1167" t="s">
        <v>94</v>
      </c>
      <c r="D1167" t="s">
        <v>39</v>
      </c>
      <c r="E1167">
        <v>30</v>
      </c>
      <c r="F1167" t="s">
        <v>77</v>
      </c>
      <c r="G1167" t="s">
        <v>78</v>
      </c>
      <c r="H1167" t="s">
        <v>62</v>
      </c>
      <c r="I1167" t="s">
        <v>63</v>
      </c>
      <c r="J1167" t="s">
        <v>80</v>
      </c>
      <c r="K1167">
        <v>2</v>
      </c>
      <c r="L1167">
        <v>11900</v>
      </c>
      <c r="M1167">
        <v>25</v>
      </c>
      <c r="N1167">
        <v>17850</v>
      </c>
      <c r="O1167" t="s">
        <v>40</v>
      </c>
      <c r="Q1167" t="s">
        <v>26</v>
      </c>
    </row>
    <row r="1168" spans="1:17" x14ac:dyDescent="0.3">
      <c r="A1168" t="s">
        <v>2113</v>
      </c>
      <c r="B1168" t="s">
        <v>987</v>
      </c>
      <c r="C1168" t="s">
        <v>88</v>
      </c>
      <c r="D1168" t="s">
        <v>103</v>
      </c>
      <c r="E1168">
        <v>37</v>
      </c>
      <c r="F1168" t="s">
        <v>30</v>
      </c>
      <c r="G1168" t="s">
        <v>31</v>
      </c>
      <c r="H1168" t="s">
        <v>22</v>
      </c>
      <c r="I1168" t="s">
        <v>84</v>
      </c>
      <c r="J1168" t="s">
        <v>34</v>
      </c>
      <c r="K1168">
        <v>10</v>
      </c>
      <c r="L1168">
        <v>17100</v>
      </c>
      <c r="M1168">
        <v>10</v>
      </c>
      <c r="N1168">
        <v>153900</v>
      </c>
      <c r="O1168" t="s">
        <v>162</v>
      </c>
      <c r="P1168">
        <v>4</v>
      </c>
      <c r="Q1168" t="s">
        <v>26</v>
      </c>
    </row>
    <row r="1169" spans="1:17" x14ac:dyDescent="0.3">
      <c r="A1169" t="s">
        <v>2114</v>
      </c>
      <c r="B1169" t="s">
        <v>585</v>
      </c>
      <c r="C1169" t="s">
        <v>71</v>
      </c>
      <c r="E1169">
        <v>64</v>
      </c>
      <c r="F1169" t="s">
        <v>61</v>
      </c>
      <c r="G1169" t="s">
        <v>61</v>
      </c>
      <c r="H1169" t="s">
        <v>32</v>
      </c>
      <c r="I1169" t="s">
        <v>33</v>
      </c>
      <c r="J1169" t="s">
        <v>64</v>
      </c>
      <c r="K1169">
        <v>6</v>
      </c>
      <c r="L1169">
        <v>46900</v>
      </c>
      <c r="M1169">
        <v>10</v>
      </c>
      <c r="N1169" t="s">
        <v>2115</v>
      </c>
      <c r="O1169" t="s">
        <v>85</v>
      </c>
      <c r="P1169">
        <v>1</v>
      </c>
      <c r="Q1169" t="s">
        <v>26</v>
      </c>
    </row>
    <row r="1170" spans="1:17" x14ac:dyDescent="0.3">
      <c r="A1170" t="s">
        <v>2116</v>
      </c>
      <c r="B1170" t="s">
        <v>2117</v>
      </c>
      <c r="C1170" t="s">
        <v>94</v>
      </c>
      <c r="D1170" t="s">
        <v>39</v>
      </c>
      <c r="E1170">
        <v>56</v>
      </c>
      <c r="F1170" t="s">
        <v>44</v>
      </c>
      <c r="G1170" t="s">
        <v>100</v>
      </c>
      <c r="H1170" t="s">
        <v>62</v>
      </c>
      <c r="I1170" t="s">
        <v>140</v>
      </c>
      <c r="J1170" t="s">
        <v>72</v>
      </c>
      <c r="K1170">
        <v>4</v>
      </c>
      <c r="L1170">
        <v>30000</v>
      </c>
      <c r="M1170">
        <v>10</v>
      </c>
      <c r="N1170">
        <v>108000</v>
      </c>
      <c r="O1170" t="s">
        <v>35</v>
      </c>
      <c r="P1170">
        <v>1</v>
      </c>
      <c r="Q1170" t="s">
        <v>26</v>
      </c>
    </row>
    <row r="1171" spans="1:17" x14ac:dyDescent="0.3">
      <c r="A1171" t="s">
        <v>2118</v>
      </c>
      <c r="B1171" t="s">
        <v>1310</v>
      </c>
      <c r="C1171" t="s">
        <v>94</v>
      </c>
      <c r="D1171" t="s">
        <v>83</v>
      </c>
      <c r="E1171">
        <v>26</v>
      </c>
      <c r="F1171" t="s">
        <v>61</v>
      </c>
      <c r="G1171" t="s">
        <v>61</v>
      </c>
      <c r="H1171" t="s">
        <v>62</v>
      </c>
      <c r="I1171" t="s">
        <v>140</v>
      </c>
      <c r="J1171" t="s">
        <v>24</v>
      </c>
      <c r="K1171">
        <v>8</v>
      </c>
      <c r="L1171">
        <v>37100</v>
      </c>
      <c r="M1171">
        <v>0</v>
      </c>
      <c r="N1171">
        <v>296800</v>
      </c>
      <c r="O1171" t="s">
        <v>25</v>
      </c>
      <c r="P1171">
        <v>4</v>
      </c>
      <c r="Q1171" t="s">
        <v>26</v>
      </c>
    </row>
    <row r="1172" spans="1:17" x14ac:dyDescent="0.3">
      <c r="A1172" t="s">
        <v>2119</v>
      </c>
      <c r="B1172" t="s">
        <v>2120</v>
      </c>
      <c r="C1172" t="s">
        <v>113</v>
      </c>
      <c r="E1172">
        <v>47</v>
      </c>
      <c r="F1172" t="s">
        <v>44</v>
      </c>
      <c r="G1172" t="s">
        <v>100</v>
      </c>
      <c r="H1172" t="s">
        <v>46</v>
      </c>
      <c r="I1172" t="s">
        <v>79</v>
      </c>
      <c r="J1172" t="s">
        <v>89</v>
      </c>
      <c r="K1172">
        <v>10</v>
      </c>
      <c r="L1172">
        <v>42300</v>
      </c>
      <c r="M1172">
        <v>10</v>
      </c>
      <c r="N1172">
        <v>380700</v>
      </c>
      <c r="O1172" t="s">
        <v>73</v>
      </c>
      <c r="P1172">
        <v>2</v>
      </c>
      <c r="Q1172" t="s">
        <v>74</v>
      </c>
    </row>
    <row r="1173" spans="1:17" x14ac:dyDescent="0.3">
      <c r="A1173" t="s">
        <v>2121</v>
      </c>
      <c r="B1173" t="s">
        <v>2122</v>
      </c>
      <c r="C1173" t="s">
        <v>88</v>
      </c>
      <c r="D1173" t="s">
        <v>20</v>
      </c>
      <c r="E1173">
        <v>25</v>
      </c>
      <c r="F1173" t="s">
        <v>30</v>
      </c>
      <c r="G1173" t="s">
        <v>57</v>
      </c>
      <c r="H1173" t="s">
        <v>22</v>
      </c>
      <c r="I1173" t="s">
        <v>23</v>
      </c>
      <c r="J1173" t="s">
        <v>64</v>
      </c>
      <c r="K1173" t="s">
        <v>562</v>
      </c>
      <c r="L1173">
        <v>44500</v>
      </c>
      <c r="M1173">
        <v>20</v>
      </c>
      <c r="N1173">
        <v>142400</v>
      </c>
      <c r="O1173" t="s">
        <v>25</v>
      </c>
      <c r="P1173">
        <v>4</v>
      </c>
      <c r="Q1173" t="s">
        <v>41</v>
      </c>
    </row>
    <row r="1174" spans="1:17" x14ac:dyDescent="0.3">
      <c r="A1174" t="s">
        <v>2123</v>
      </c>
      <c r="B1174" t="s">
        <v>2124</v>
      </c>
      <c r="C1174" t="s">
        <v>94</v>
      </c>
      <c r="D1174" t="s">
        <v>39</v>
      </c>
      <c r="E1174">
        <v>48</v>
      </c>
      <c r="F1174" t="s">
        <v>77</v>
      </c>
      <c r="G1174" t="s">
        <v>95</v>
      </c>
      <c r="H1174" t="s">
        <v>46</v>
      </c>
      <c r="I1174" t="s">
        <v>47</v>
      </c>
      <c r="J1174" t="s">
        <v>72</v>
      </c>
      <c r="K1174">
        <v>10</v>
      </c>
      <c r="L1174">
        <v>22900</v>
      </c>
      <c r="M1174">
        <v>20</v>
      </c>
      <c r="N1174">
        <v>183200</v>
      </c>
      <c r="O1174" t="s">
        <v>105</v>
      </c>
      <c r="P1174">
        <v>1</v>
      </c>
      <c r="Q1174" t="s">
        <v>74</v>
      </c>
    </row>
    <row r="1175" spans="1:17" x14ac:dyDescent="0.3">
      <c r="A1175" t="s">
        <v>2125</v>
      </c>
      <c r="B1175" t="s">
        <v>2126</v>
      </c>
      <c r="C1175" t="s">
        <v>113</v>
      </c>
      <c r="D1175" t="s">
        <v>20</v>
      </c>
      <c r="E1175">
        <v>53</v>
      </c>
      <c r="F1175" t="s">
        <v>21</v>
      </c>
      <c r="G1175" t="s">
        <v>21</v>
      </c>
      <c r="H1175" t="s">
        <v>46</v>
      </c>
      <c r="I1175" t="s">
        <v>47</v>
      </c>
      <c r="J1175" t="s">
        <v>89</v>
      </c>
      <c r="K1175">
        <v>4</v>
      </c>
      <c r="L1175">
        <v>20400</v>
      </c>
      <c r="M1175">
        <v>0</v>
      </c>
      <c r="N1175">
        <v>81600</v>
      </c>
      <c r="O1175" t="s">
        <v>105</v>
      </c>
      <c r="P1175">
        <v>2</v>
      </c>
      <c r="Q1175" t="s">
        <v>26</v>
      </c>
    </row>
    <row r="1176" spans="1:17" x14ac:dyDescent="0.3">
      <c r="A1176" t="s">
        <v>2127</v>
      </c>
      <c r="B1176" t="s">
        <v>2128</v>
      </c>
      <c r="C1176" t="s">
        <v>94</v>
      </c>
      <c r="E1176">
        <v>65</v>
      </c>
      <c r="F1176" t="s">
        <v>51</v>
      </c>
      <c r="G1176" t="s">
        <v>104</v>
      </c>
      <c r="H1176" t="s">
        <v>32</v>
      </c>
      <c r="I1176" t="s">
        <v>53</v>
      </c>
      <c r="J1176" t="s">
        <v>89</v>
      </c>
      <c r="K1176">
        <v>10</v>
      </c>
      <c r="L1176">
        <v>43200</v>
      </c>
      <c r="M1176">
        <v>20</v>
      </c>
      <c r="N1176">
        <v>345600</v>
      </c>
      <c r="O1176" t="s">
        <v>25</v>
      </c>
      <c r="P1176">
        <v>3</v>
      </c>
      <c r="Q1176" t="s">
        <v>65</v>
      </c>
    </row>
    <row r="1177" spans="1:17" x14ac:dyDescent="0.3">
      <c r="A1177" t="s">
        <v>2129</v>
      </c>
      <c r="B1177" t="s">
        <v>2130</v>
      </c>
      <c r="C1177" t="s">
        <v>60</v>
      </c>
      <c r="D1177" t="s">
        <v>39</v>
      </c>
      <c r="E1177">
        <v>46</v>
      </c>
      <c r="F1177" t="s">
        <v>30</v>
      </c>
      <c r="G1177" t="s">
        <v>31</v>
      </c>
      <c r="H1177" t="s">
        <v>62</v>
      </c>
      <c r="I1177" t="s">
        <v>63</v>
      </c>
      <c r="J1177" t="s">
        <v>64</v>
      </c>
      <c r="K1177">
        <v>5</v>
      </c>
      <c r="L1177">
        <v>24400</v>
      </c>
      <c r="M1177">
        <v>10</v>
      </c>
      <c r="N1177">
        <v>109800</v>
      </c>
      <c r="O1177" t="s">
        <v>85</v>
      </c>
      <c r="P1177">
        <v>5</v>
      </c>
      <c r="Q1177" t="s">
        <v>74</v>
      </c>
    </row>
    <row r="1178" spans="1:17" x14ac:dyDescent="0.3">
      <c r="A1178" t="s">
        <v>2131</v>
      </c>
      <c r="B1178" t="s">
        <v>2132</v>
      </c>
      <c r="C1178" t="s">
        <v>38</v>
      </c>
      <c r="D1178" t="s">
        <v>83</v>
      </c>
      <c r="E1178">
        <v>36</v>
      </c>
      <c r="F1178" t="s">
        <v>44</v>
      </c>
      <c r="G1178" t="s">
        <v>45</v>
      </c>
      <c r="H1178" t="s">
        <v>46</v>
      </c>
      <c r="I1178" t="s">
        <v>47</v>
      </c>
      <c r="J1178" t="s">
        <v>34</v>
      </c>
      <c r="K1178">
        <v>8</v>
      </c>
      <c r="L1178">
        <v>3900</v>
      </c>
      <c r="M1178">
        <v>20</v>
      </c>
      <c r="N1178">
        <v>24960</v>
      </c>
      <c r="O1178" t="s">
        <v>105</v>
      </c>
      <c r="P1178">
        <v>5</v>
      </c>
      <c r="Q1178" t="s">
        <v>41</v>
      </c>
    </row>
    <row r="1179" spans="1:17" x14ac:dyDescent="0.3">
      <c r="A1179" t="s">
        <v>2133</v>
      </c>
      <c r="B1179" t="s">
        <v>1217</v>
      </c>
      <c r="C1179" t="s">
        <v>29</v>
      </c>
      <c r="D1179" t="s">
        <v>83</v>
      </c>
      <c r="E1179">
        <v>22</v>
      </c>
      <c r="F1179" t="s">
        <v>21</v>
      </c>
      <c r="G1179" t="s">
        <v>21</v>
      </c>
      <c r="H1179" t="s">
        <v>46</v>
      </c>
      <c r="I1179" t="s">
        <v>47</v>
      </c>
      <c r="J1179" t="s">
        <v>64</v>
      </c>
      <c r="K1179">
        <v>2</v>
      </c>
      <c r="L1179">
        <v>45500</v>
      </c>
      <c r="M1179">
        <v>20</v>
      </c>
      <c r="N1179">
        <v>72800</v>
      </c>
      <c r="O1179" t="s">
        <v>85</v>
      </c>
      <c r="P1179">
        <v>2</v>
      </c>
      <c r="Q1179" t="s">
        <v>26</v>
      </c>
    </row>
    <row r="1180" spans="1:17" x14ac:dyDescent="0.3">
      <c r="A1180" t="s">
        <v>2134</v>
      </c>
      <c r="B1180" t="s">
        <v>2135</v>
      </c>
      <c r="C1180" t="s">
        <v>29</v>
      </c>
      <c r="D1180" t="s">
        <v>83</v>
      </c>
      <c r="E1180">
        <v>55</v>
      </c>
      <c r="F1180" t="s">
        <v>565</v>
      </c>
      <c r="G1180" t="s">
        <v>45</v>
      </c>
      <c r="H1180" t="s">
        <v>46</v>
      </c>
      <c r="I1180" t="s">
        <v>47</v>
      </c>
      <c r="J1180" t="s">
        <v>89</v>
      </c>
      <c r="K1180">
        <v>1</v>
      </c>
      <c r="L1180">
        <v>32300</v>
      </c>
      <c r="M1180">
        <v>25</v>
      </c>
      <c r="N1180">
        <v>24225</v>
      </c>
      <c r="O1180" t="s">
        <v>25</v>
      </c>
      <c r="P1180">
        <v>1</v>
      </c>
      <c r="Q1180" t="s">
        <v>41</v>
      </c>
    </row>
    <row r="1181" spans="1:17" x14ac:dyDescent="0.3">
      <c r="A1181" t="s">
        <v>2136</v>
      </c>
      <c r="B1181" t="s">
        <v>2137</v>
      </c>
      <c r="C1181" t="s">
        <v>113</v>
      </c>
      <c r="D1181" t="s">
        <v>20</v>
      </c>
      <c r="E1181">
        <v>39</v>
      </c>
      <c r="F1181" t="s">
        <v>21</v>
      </c>
      <c r="G1181" t="s">
        <v>21</v>
      </c>
      <c r="H1181" t="s">
        <v>32</v>
      </c>
      <c r="I1181" t="s">
        <v>53</v>
      </c>
      <c r="J1181" t="s">
        <v>80</v>
      </c>
      <c r="K1181" t="s">
        <v>562</v>
      </c>
      <c r="L1181">
        <v>31000</v>
      </c>
      <c r="M1181">
        <v>20</v>
      </c>
      <c r="N1181">
        <v>99200</v>
      </c>
      <c r="O1181" t="s">
        <v>40</v>
      </c>
      <c r="P1181">
        <v>3</v>
      </c>
      <c r="Q1181" t="s">
        <v>74</v>
      </c>
    </row>
    <row r="1182" spans="1:17" x14ac:dyDescent="0.3">
      <c r="A1182" t="s">
        <v>2138</v>
      </c>
      <c r="B1182" t="s">
        <v>890</v>
      </c>
      <c r="C1182" t="s">
        <v>29</v>
      </c>
      <c r="D1182" t="s">
        <v>20</v>
      </c>
      <c r="E1182">
        <v>35</v>
      </c>
      <c r="F1182" t="s">
        <v>77</v>
      </c>
      <c r="G1182" t="s">
        <v>95</v>
      </c>
      <c r="H1182" t="s">
        <v>62</v>
      </c>
      <c r="I1182" t="s">
        <v>140</v>
      </c>
      <c r="J1182" t="s">
        <v>64</v>
      </c>
      <c r="K1182">
        <v>2</v>
      </c>
      <c r="L1182">
        <v>2100</v>
      </c>
      <c r="M1182">
        <v>0</v>
      </c>
      <c r="N1182">
        <v>4200</v>
      </c>
      <c r="O1182" t="s">
        <v>35</v>
      </c>
      <c r="P1182">
        <v>4</v>
      </c>
      <c r="Q1182" t="s">
        <v>65</v>
      </c>
    </row>
    <row r="1183" spans="1:17" x14ac:dyDescent="0.3">
      <c r="A1183" t="s">
        <v>2139</v>
      </c>
      <c r="B1183" t="s">
        <v>2140</v>
      </c>
      <c r="C1183" t="s">
        <v>38</v>
      </c>
      <c r="D1183" t="s">
        <v>83</v>
      </c>
      <c r="E1183">
        <v>26</v>
      </c>
      <c r="F1183" t="s">
        <v>61</v>
      </c>
      <c r="G1183" t="s">
        <v>61</v>
      </c>
      <c r="H1183" t="s">
        <v>62</v>
      </c>
      <c r="I1183" t="s">
        <v>140</v>
      </c>
      <c r="J1183" t="s">
        <v>89</v>
      </c>
      <c r="K1183">
        <v>7</v>
      </c>
      <c r="L1183">
        <v>8400</v>
      </c>
      <c r="M1183">
        <v>25</v>
      </c>
      <c r="N1183">
        <v>44100</v>
      </c>
      <c r="O1183" t="s">
        <v>85</v>
      </c>
      <c r="Q1183" t="s">
        <v>74</v>
      </c>
    </row>
    <row r="1184" spans="1:17" x14ac:dyDescent="0.3">
      <c r="A1184" t="s">
        <v>2141</v>
      </c>
      <c r="B1184" t="s">
        <v>2142</v>
      </c>
      <c r="C1184" t="s">
        <v>71</v>
      </c>
      <c r="D1184" t="s">
        <v>20</v>
      </c>
      <c r="E1184">
        <v>23</v>
      </c>
      <c r="F1184" t="s">
        <v>51</v>
      </c>
      <c r="G1184" t="s">
        <v>52</v>
      </c>
      <c r="H1184" t="s">
        <v>22</v>
      </c>
      <c r="I1184" t="s">
        <v>84</v>
      </c>
      <c r="J1184" t="s">
        <v>72</v>
      </c>
      <c r="K1184">
        <v>10</v>
      </c>
      <c r="L1184">
        <v>16400</v>
      </c>
      <c r="M1184">
        <v>25</v>
      </c>
      <c r="N1184">
        <v>123000</v>
      </c>
      <c r="O1184" t="s">
        <v>25</v>
      </c>
      <c r="P1184">
        <v>3</v>
      </c>
      <c r="Q1184" t="s">
        <v>41</v>
      </c>
    </row>
    <row r="1185" spans="1:17" x14ac:dyDescent="0.3">
      <c r="A1185" t="s">
        <v>2143</v>
      </c>
      <c r="B1185" t="s">
        <v>2144</v>
      </c>
      <c r="C1185" t="s">
        <v>121</v>
      </c>
      <c r="E1185">
        <v>36</v>
      </c>
      <c r="F1185" t="s">
        <v>61</v>
      </c>
      <c r="G1185" t="s">
        <v>61</v>
      </c>
      <c r="H1185" t="s">
        <v>62</v>
      </c>
      <c r="I1185" t="s">
        <v>140</v>
      </c>
      <c r="J1185" t="s">
        <v>64</v>
      </c>
      <c r="K1185">
        <v>6</v>
      </c>
      <c r="L1185">
        <v>45700</v>
      </c>
      <c r="M1185">
        <v>25</v>
      </c>
      <c r="N1185">
        <v>205650</v>
      </c>
      <c r="O1185" t="s">
        <v>73</v>
      </c>
      <c r="P1185">
        <v>2</v>
      </c>
      <c r="Q1185" t="s">
        <v>74</v>
      </c>
    </row>
    <row r="1186" spans="1:17" x14ac:dyDescent="0.3">
      <c r="A1186" t="s">
        <v>2145</v>
      </c>
      <c r="B1186" t="s">
        <v>2146</v>
      </c>
      <c r="C1186" t="s">
        <v>19</v>
      </c>
      <c r="D1186" t="s">
        <v>103</v>
      </c>
      <c r="E1186">
        <v>20</v>
      </c>
      <c r="F1186" t="s">
        <v>21</v>
      </c>
      <c r="G1186" t="s">
        <v>21</v>
      </c>
      <c r="H1186" t="s">
        <v>62</v>
      </c>
      <c r="I1186" t="s">
        <v>63</v>
      </c>
      <c r="J1186" t="s">
        <v>80</v>
      </c>
      <c r="K1186">
        <v>4</v>
      </c>
      <c r="L1186">
        <v>42300</v>
      </c>
      <c r="M1186">
        <v>25</v>
      </c>
      <c r="N1186">
        <v>126900</v>
      </c>
      <c r="O1186" t="s">
        <v>40</v>
      </c>
      <c r="P1186">
        <v>2</v>
      </c>
      <c r="Q1186" t="s">
        <v>26</v>
      </c>
    </row>
    <row r="1187" spans="1:17" x14ac:dyDescent="0.3">
      <c r="A1187" t="s">
        <v>2147</v>
      </c>
      <c r="B1187" t="s">
        <v>1628</v>
      </c>
      <c r="C1187" t="s">
        <v>94</v>
      </c>
      <c r="D1187" t="s">
        <v>39</v>
      </c>
      <c r="E1187">
        <v>59</v>
      </c>
      <c r="F1187" t="s">
        <v>21</v>
      </c>
      <c r="G1187" t="s">
        <v>21</v>
      </c>
      <c r="H1187" t="s">
        <v>62</v>
      </c>
      <c r="I1187" t="s">
        <v>140</v>
      </c>
      <c r="J1187" t="s">
        <v>80</v>
      </c>
      <c r="K1187">
        <v>1</v>
      </c>
      <c r="L1187">
        <v>16700</v>
      </c>
      <c r="M1187">
        <v>25</v>
      </c>
      <c r="N1187">
        <v>12525</v>
      </c>
      <c r="O1187" t="s">
        <v>85</v>
      </c>
      <c r="P1187">
        <v>2</v>
      </c>
      <c r="Q1187" t="s">
        <v>26</v>
      </c>
    </row>
    <row r="1188" spans="1:17" x14ac:dyDescent="0.3">
      <c r="A1188" t="s">
        <v>2148</v>
      </c>
      <c r="B1188" t="s">
        <v>2149</v>
      </c>
      <c r="C1188" t="s">
        <v>121</v>
      </c>
      <c r="D1188" t="s">
        <v>83</v>
      </c>
      <c r="E1188">
        <v>27</v>
      </c>
      <c r="F1188" t="s">
        <v>30</v>
      </c>
      <c r="G1188" t="s">
        <v>57</v>
      </c>
      <c r="H1188" t="s">
        <v>32</v>
      </c>
      <c r="I1188" t="s">
        <v>53</v>
      </c>
      <c r="J1188" t="s">
        <v>72</v>
      </c>
      <c r="K1188">
        <v>6</v>
      </c>
      <c r="L1188">
        <v>47900</v>
      </c>
      <c r="M1188">
        <v>0</v>
      </c>
      <c r="N1188">
        <v>287400</v>
      </c>
      <c r="O1188" t="s">
        <v>48</v>
      </c>
      <c r="P1188">
        <v>5</v>
      </c>
      <c r="Q1188" t="s">
        <v>65</v>
      </c>
    </row>
    <row r="1189" spans="1:17" x14ac:dyDescent="0.3">
      <c r="A1189" t="s">
        <v>2150</v>
      </c>
      <c r="B1189" t="s">
        <v>2151</v>
      </c>
      <c r="C1189" t="s">
        <v>19</v>
      </c>
      <c r="D1189" t="s">
        <v>20</v>
      </c>
      <c r="E1189">
        <v>36</v>
      </c>
      <c r="F1189" t="s">
        <v>61</v>
      </c>
      <c r="G1189" t="s">
        <v>61</v>
      </c>
      <c r="H1189" t="s">
        <v>62</v>
      </c>
      <c r="I1189" t="s">
        <v>63</v>
      </c>
      <c r="J1189" t="s">
        <v>80</v>
      </c>
      <c r="K1189">
        <v>1</v>
      </c>
      <c r="L1189">
        <v>27200</v>
      </c>
      <c r="M1189">
        <v>25</v>
      </c>
      <c r="N1189">
        <v>20400</v>
      </c>
      <c r="O1189" t="s">
        <v>85</v>
      </c>
      <c r="Q1189" t="s">
        <v>65</v>
      </c>
    </row>
    <row r="1190" spans="1:17" x14ac:dyDescent="0.3">
      <c r="A1190" t="s">
        <v>2152</v>
      </c>
      <c r="B1190" t="s">
        <v>2153</v>
      </c>
      <c r="C1190" t="s">
        <v>94</v>
      </c>
      <c r="D1190" t="s">
        <v>83</v>
      </c>
      <c r="E1190">
        <v>36</v>
      </c>
      <c r="F1190" t="s">
        <v>61</v>
      </c>
      <c r="G1190" t="s">
        <v>61</v>
      </c>
      <c r="H1190" t="s">
        <v>32</v>
      </c>
      <c r="I1190" t="s">
        <v>33</v>
      </c>
      <c r="J1190" t="s">
        <v>72</v>
      </c>
      <c r="K1190">
        <v>7</v>
      </c>
      <c r="L1190">
        <v>28900</v>
      </c>
      <c r="M1190">
        <v>0</v>
      </c>
      <c r="N1190">
        <v>202300</v>
      </c>
      <c r="O1190" t="s">
        <v>48</v>
      </c>
      <c r="P1190">
        <v>5</v>
      </c>
      <c r="Q1190" t="s">
        <v>74</v>
      </c>
    </row>
    <row r="1191" spans="1:17" x14ac:dyDescent="0.3">
      <c r="A1191" t="s">
        <v>2154</v>
      </c>
      <c r="B1191" t="s">
        <v>123</v>
      </c>
      <c r="C1191" t="s">
        <v>94</v>
      </c>
      <c r="E1191">
        <v>60</v>
      </c>
      <c r="F1191" t="s">
        <v>44</v>
      </c>
      <c r="G1191" t="s">
        <v>100</v>
      </c>
      <c r="H1191" t="s">
        <v>455</v>
      </c>
      <c r="I1191" t="s">
        <v>63</v>
      </c>
      <c r="J1191" t="s">
        <v>64</v>
      </c>
      <c r="K1191">
        <v>5</v>
      </c>
      <c r="L1191">
        <v>28700</v>
      </c>
      <c r="M1191">
        <v>10</v>
      </c>
      <c r="N1191">
        <v>129150</v>
      </c>
      <c r="O1191" t="s">
        <v>48</v>
      </c>
      <c r="P1191">
        <v>1</v>
      </c>
      <c r="Q1191" t="s">
        <v>74</v>
      </c>
    </row>
    <row r="1192" spans="1:17" x14ac:dyDescent="0.3">
      <c r="A1192" t="s">
        <v>2155</v>
      </c>
      <c r="B1192" t="s">
        <v>2156</v>
      </c>
      <c r="C1192" t="s">
        <v>68</v>
      </c>
      <c r="D1192" t="s">
        <v>39</v>
      </c>
      <c r="E1192">
        <v>49</v>
      </c>
      <c r="F1192" t="s">
        <v>30</v>
      </c>
      <c r="G1192" t="s">
        <v>57</v>
      </c>
      <c r="H1192" t="s">
        <v>32</v>
      </c>
      <c r="I1192" t="s">
        <v>33</v>
      </c>
      <c r="J1192" t="s">
        <v>24</v>
      </c>
      <c r="K1192">
        <v>9</v>
      </c>
      <c r="L1192">
        <v>18000</v>
      </c>
      <c r="M1192">
        <v>5</v>
      </c>
      <c r="N1192">
        <v>153900</v>
      </c>
      <c r="O1192" t="s">
        <v>85</v>
      </c>
      <c r="P1192">
        <v>5</v>
      </c>
      <c r="Q1192" t="s">
        <v>74</v>
      </c>
    </row>
    <row r="1193" spans="1:17" x14ac:dyDescent="0.3">
      <c r="A1193" t="s">
        <v>2157</v>
      </c>
      <c r="B1193" t="s">
        <v>730</v>
      </c>
      <c r="C1193" t="s">
        <v>29</v>
      </c>
      <c r="D1193" t="s">
        <v>83</v>
      </c>
      <c r="E1193">
        <v>19</v>
      </c>
      <c r="F1193" t="s">
        <v>61</v>
      </c>
      <c r="G1193" t="s">
        <v>61</v>
      </c>
      <c r="H1193" t="s">
        <v>62</v>
      </c>
      <c r="I1193" t="s">
        <v>63</v>
      </c>
      <c r="J1193" t="s">
        <v>80</v>
      </c>
      <c r="K1193">
        <v>4</v>
      </c>
      <c r="L1193">
        <v>38100</v>
      </c>
      <c r="M1193">
        <v>25</v>
      </c>
      <c r="N1193">
        <v>114300</v>
      </c>
      <c r="O1193" t="s">
        <v>40</v>
      </c>
      <c r="P1193">
        <v>4</v>
      </c>
      <c r="Q1193" t="s">
        <v>74</v>
      </c>
    </row>
    <row r="1194" spans="1:17" x14ac:dyDescent="0.3">
      <c r="A1194" t="s">
        <v>2158</v>
      </c>
      <c r="B1194" t="s">
        <v>2159</v>
      </c>
      <c r="C1194" t="s">
        <v>71</v>
      </c>
      <c r="D1194" t="s">
        <v>20</v>
      </c>
      <c r="E1194">
        <v>150</v>
      </c>
      <c r="F1194" t="s">
        <v>30</v>
      </c>
      <c r="G1194" t="s">
        <v>31</v>
      </c>
      <c r="H1194" t="s">
        <v>32</v>
      </c>
      <c r="I1194" t="s">
        <v>33</v>
      </c>
      <c r="J1194" t="s">
        <v>80</v>
      </c>
      <c r="K1194">
        <v>5</v>
      </c>
      <c r="L1194">
        <v>8000</v>
      </c>
      <c r="M1194">
        <v>20</v>
      </c>
      <c r="N1194">
        <v>32000</v>
      </c>
      <c r="O1194" t="s">
        <v>105</v>
      </c>
      <c r="P1194">
        <v>4</v>
      </c>
      <c r="Q1194" t="s">
        <v>41</v>
      </c>
    </row>
    <row r="1195" spans="1:17" x14ac:dyDescent="0.3">
      <c r="A1195" t="s">
        <v>2160</v>
      </c>
      <c r="B1195" t="s">
        <v>906</v>
      </c>
      <c r="C1195" t="s">
        <v>68</v>
      </c>
      <c r="E1195">
        <v>38</v>
      </c>
      <c r="F1195" t="s">
        <v>77</v>
      </c>
      <c r="G1195" t="s">
        <v>95</v>
      </c>
      <c r="H1195" t="s">
        <v>32</v>
      </c>
      <c r="I1195" t="s">
        <v>33</v>
      </c>
      <c r="J1195" t="s">
        <v>80</v>
      </c>
      <c r="K1195">
        <v>2</v>
      </c>
      <c r="L1195">
        <v>45000</v>
      </c>
      <c r="M1195">
        <v>20</v>
      </c>
      <c r="N1195">
        <v>72000</v>
      </c>
      <c r="O1195" t="s">
        <v>35</v>
      </c>
      <c r="P1195">
        <v>4</v>
      </c>
      <c r="Q1195" t="s">
        <v>41</v>
      </c>
    </row>
    <row r="1196" spans="1:17" x14ac:dyDescent="0.3">
      <c r="A1196" t="s">
        <v>2161</v>
      </c>
      <c r="B1196" t="s">
        <v>476</v>
      </c>
      <c r="C1196" t="s">
        <v>71</v>
      </c>
      <c r="D1196" t="s">
        <v>103</v>
      </c>
      <c r="E1196">
        <v>38</v>
      </c>
      <c r="F1196" t="s">
        <v>77</v>
      </c>
      <c r="G1196" t="s">
        <v>78</v>
      </c>
      <c r="H1196" t="s">
        <v>46</v>
      </c>
      <c r="I1196" t="s">
        <v>47</v>
      </c>
      <c r="J1196" t="s">
        <v>89</v>
      </c>
      <c r="K1196">
        <v>8</v>
      </c>
      <c r="L1196">
        <v>13300</v>
      </c>
      <c r="M1196">
        <v>15</v>
      </c>
      <c r="N1196">
        <v>90440</v>
      </c>
      <c r="O1196" t="s">
        <v>105</v>
      </c>
      <c r="P1196">
        <v>1</v>
      </c>
      <c r="Q1196" t="s">
        <v>26</v>
      </c>
    </row>
    <row r="1197" spans="1:17" x14ac:dyDescent="0.3">
      <c r="A1197" t="s">
        <v>2162</v>
      </c>
      <c r="B1197" t="s">
        <v>609</v>
      </c>
      <c r="C1197" t="s">
        <v>88</v>
      </c>
      <c r="E1197">
        <v>65</v>
      </c>
      <c r="F1197" t="s">
        <v>21</v>
      </c>
      <c r="G1197" t="s">
        <v>21</v>
      </c>
      <c r="H1197" t="s">
        <v>32</v>
      </c>
      <c r="I1197" t="s">
        <v>53</v>
      </c>
      <c r="J1197" t="s">
        <v>89</v>
      </c>
      <c r="K1197">
        <v>3</v>
      </c>
      <c r="L1197">
        <v>25200</v>
      </c>
      <c r="M1197">
        <v>10</v>
      </c>
      <c r="N1197">
        <v>68040</v>
      </c>
      <c r="O1197" t="s">
        <v>162</v>
      </c>
      <c r="P1197">
        <v>5</v>
      </c>
      <c r="Q1197" t="s">
        <v>65</v>
      </c>
    </row>
    <row r="1198" spans="1:17" x14ac:dyDescent="0.3">
      <c r="A1198" t="s">
        <v>2163</v>
      </c>
      <c r="B1198" t="s">
        <v>1159</v>
      </c>
      <c r="C1198" t="s">
        <v>19</v>
      </c>
      <c r="D1198" t="s">
        <v>83</v>
      </c>
      <c r="E1198">
        <v>61</v>
      </c>
      <c r="F1198" t="s">
        <v>61</v>
      </c>
      <c r="G1198" t="s">
        <v>61</v>
      </c>
      <c r="H1198" t="s">
        <v>110</v>
      </c>
      <c r="I1198" t="s">
        <v>53</v>
      </c>
      <c r="J1198" t="s">
        <v>34</v>
      </c>
      <c r="K1198">
        <v>9</v>
      </c>
      <c r="L1198">
        <v>36700</v>
      </c>
      <c r="M1198">
        <v>10</v>
      </c>
      <c r="N1198">
        <v>297270</v>
      </c>
      <c r="O1198" t="s">
        <v>35</v>
      </c>
      <c r="P1198">
        <v>2</v>
      </c>
      <c r="Q1198" t="s">
        <v>74</v>
      </c>
    </row>
    <row r="1199" spans="1:17" x14ac:dyDescent="0.3">
      <c r="A1199" t="s">
        <v>2164</v>
      </c>
      <c r="B1199" t="s">
        <v>2107</v>
      </c>
      <c r="C1199" t="s">
        <v>121</v>
      </c>
      <c r="D1199" t="s">
        <v>103</v>
      </c>
      <c r="E1199">
        <v>32</v>
      </c>
      <c r="F1199" t="s">
        <v>30</v>
      </c>
      <c r="G1199" t="s">
        <v>57</v>
      </c>
      <c r="H1199" t="s">
        <v>46</v>
      </c>
      <c r="I1199" t="s">
        <v>79</v>
      </c>
      <c r="J1199" t="s">
        <v>24</v>
      </c>
      <c r="K1199">
        <v>9</v>
      </c>
      <c r="L1199">
        <v>9500</v>
      </c>
      <c r="M1199">
        <v>15</v>
      </c>
      <c r="N1199">
        <v>72675</v>
      </c>
      <c r="O1199" t="s">
        <v>35</v>
      </c>
      <c r="P1199">
        <v>1</v>
      </c>
      <c r="Q1199" t="s">
        <v>74</v>
      </c>
    </row>
    <row r="1200" spans="1:17" x14ac:dyDescent="0.3">
      <c r="A1200" t="s">
        <v>2165</v>
      </c>
      <c r="B1200" t="s">
        <v>2166</v>
      </c>
      <c r="C1200" t="s">
        <v>113</v>
      </c>
      <c r="D1200" t="s">
        <v>103</v>
      </c>
      <c r="E1200">
        <v>-3</v>
      </c>
      <c r="F1200" t="s">
        <v>21</v>
      </c>
      <c r="G1200" t="s">
        <v>21</v>
      </c>
      <c r="H1200" t="s">
        <v>62</v>
      </c>
      <c r="I1200" t="s">
        <v>63</v>
      </c>
      <c r="J1200" t="s">
        <v>34</v>
      </c>
      <c r="K1200">
        <v>1</v>
      </c>
      <c r="L1200">
        <v>11600</v>
      </c>
      <c r="M1200">
        <v>15</v>
      </c>
      <c r="N1200">
        <v>9860</v>
      </c>
      <c r="O1200" t="s">
        <v>40</v>
      </c>
      <c r="Q1200" t="s">
        <v>74</v>
      </c>
    </row>
    <row r="1201" spans="1:17" x14ac:dyDescent="0.3">
      <c r="A1201" t="s">
        <v>2167</v>
      </c>
      <c r="B1201" t="s">
        <v>150</v>
      </c>
      <c r="C1201" t="s">
        <v>94</v>
      </c>
      <c r="D1201" t="s">
        <v>20</v>
      </c>
      <c r="E1201">
        <v>39</v>
      </c>
      <c r="F1201" t="s">
        <v>77</v>
      </c>
      <c r="G1201" t="s">
        <v>95</v>
      </c>
      <c r="H1201" t="s">
        <v>32</v>
      </c>
      <c r="I1201" t="s">
        <v>33</v>
      </c>
      <c r="J1201" t="s">
        <v>24</v>
      </c>
      <c r="K1201" t="s">
        <v>443</v>
      </c>
      <c r="L1201">
        <v>49400</v>
      </c>
      <c r="M1201">
        <v>0</v>
      </c>
      <c r="N1201">
        <v>494000</v>
      </c>
      <c r="O1201" t="s">
        <v>85</v>
      </c>
      <c r="P1201">
        <v>2</v>
      </c>
      <c r="Q1201" t="s">
        <v>41</v>
      </c>
    </row>
    <row r="1202" spans="1:17" x14ac:dyDescent="0.3">
      <c r="A1202" t="s">
        <v>2168</v>
      </c>
      <c r="B1202" t="s">
        <v>938</v>
      </c>
      <c r="C1202" t="s">
        <v>71</v>
      </c>
      <c r="D1202" t="s">
        <v>103</v>
      </c>
      <c r="E1202">
        <v>55</v>
      </c>
      <c r="F1202" t="s">
        <v>51</v>
      </c>
      <c r="G1202" t="s">
        <v>104</v>
      </c>
      <c r="H1202" t="s">
        <v>62</v>
      </c>
      <c r="I1202" t="s">
        <v>140</v>
      </c>
      <c r="J1202" t="s">
        <v>80</v>
      </c>
      <c r="K1202">
        <v>9</v>
      </c>
      <c r="L1202">
        <v>20500</v>
      </c>
      <c r="M1202">
        <v>0</v>
      </c>
      <c r="N1202">
        <v>184500</v>
      </c>
      <c r="O1202" t="s">
        <v>48</v>
      </c>
      <c r="P1202">
        <v>1</v>
      </c>
      <c r="Q1202" t="s">
        <v>26</v>
      </c>
    </row>
    <row r="1203" spans="1:17" x14ac:dyDescent="0.3">
      <c r="A1203" t="s">
        <v>2169</v>
      </c>
      <c r="B1203" t="s">
        <v>2170</v>
      </c>
      <c r="C1203" t="s">
        <v>113</v>
      </c>
      <c r="D1203" t="s">
        <v>20</v>
      </c>
      <c r="E1203">
        <v>36</v>
      </c>
      <c r="F1203" t="s">
        <v>44</v>
      </c>
      <c r="G1203" t="s">
        <v>100</v>
      </c>
      <c r="H1203" t="s">
        <v>32</v>
      </c>
      <c r="I1203" t="s">
        <v>53</v>
      </c>
      <c r="J1203" t="s">
        <v>64</v>
      </c>
      <c r="K1203">
        <v>4</v>
      </c>
      <c r="L1203">
        <v>11900</v>
      </c>
      <c r="M1203">
        <v>15</v>
      </c>
      <c r="N1203">
        <v>40460</v>
      </c>
      <c r="O1203" t="s">
        <v>105</v>
      </c>
      <c r="P1203">
        <v>2</v>
      </c>
      <c r="Q1203" t="s">
        <v>65</v>
      </c>
    </row>
    <row r="1204" spans="1:17" x14ac:dyDescent="0.3">
      <c r="A1204" t="s">
        <v>2171</v>
      </c>
      <c r="B1204" t="s">
        <v>2172</v>
      </c>
      <c r="C1204" t="s">
        <v>113</v>
      </c>
      <c r="D1204" t="s">
        <v>103</v>
      </c>
      <c r="E1204">
        <v>24</v>
      </c>
      <c r="F1204" t="s">
        <v>61</v>
      </c>
      <c r="G1204" t="s">
        <v>61</v>
      </c>
      <c r="H1204" t="s">
        <v>110</v>
      </c>
      <c r="I1204" t="s">
        <v>33</v>
      </c>
      <c r="J1204" t="s">
        <v>64</v>
      </c>
      <c r="K1204">
        <v>9</v>
      </c>
      <c r="L1204">
        <v>28600</v>
      </c>
      <c r="M1204">
        <v>10</v>
      </c>
      <c r="N1204">
        <v>231660</v>
      </c>
      <c r="O1204" t="s">
        <v>25</v>
      </c>
      <c r="P1204">
        <v>5</v>
      </c>
      <c r="Q1204" t="s">
        <v>65</v>
      </c>
    </row>
    <row r="1205" spans="1:17" x14ac:dyDescent="0.3">
      <c r="A1205" t="s">
        <v>2173</v>
      </c>
      <c r="B1205" t="s">
        <v>2174</v>
      </c>
      <c r="C1205" t="s">
        <v>113</v>
      </c>
      <c r="D1205" t="s">
        <v>83</v>
      </c>
      <c r="E1205">
        <v>150</v>
      </c>
      <c r="F1205" t="s">
        <v>51</v>
      </c>
      <c r="G1205" t="s">
        <v>52</v>
      </c>
      <c r="H1205" t="s">
        <v>22</v>
      </c>
      <c r="I1205" t="s">
        <v>84</v>
      </c>
      <c r="J1205" t="s">
        <v>24</v>
      </c>
      <c r="K1205">
        <v>5</v>
      </c>
      <c r="L1205">
        <v>15400</v>
      </c>
      <c r="M1205">
        <v>5</v>
      </c>
      <c r="N1205">
        <v>73150</v>
      </c>
      <c r="O1205" t="s">
        <v>35</v>
      </c>
      <c r="P1205">
        <v>5</v>
      </c>
      <c r="Q1205" t="s">
        <v>26</v>
      </c>
    </row>
    <row r="1206" spans="1:17" x14ac:dyDescent="0.3">
      <c r="A1206" t="s">
        <v>2175</v>
      </c>
      <c r="B1206" t="s">
        <v>932</v>
      </c>
      <c r="C1206" t="s">
        <v>88</v>
      </c>
      <c r="D1206" t="s">
        <v>20</v>
      </c>
      <c r="E1206">
        <v>43</v>
      </c>
      <c r="F1206" t="s">
        <v>30</v>
      </c>
      <c r="G1206" t="s">
        <v>31</v>
      </c>
      <c r="H1206" t="s">
        <v>32</v>
      </c>
      <c r="I1206" t="s">
        <v>33</v>
      </c>
      <c r="J1206" t="s">
        <v>64</v>
      </c>
      <c r="K1206">
        <v>10</v>
      </c>
      <c r="L1206">
        <v>35300</v>
      </c>
      <c r="M1206">
        <v>25</v>
      </c>
      <c r="N1206">
        <v>264750</v>
      </c>
      <c r="O1206" t="s">
        <v>35</v>
      </c>
      <c r="Q1206" t="s">
        <v>41</v>
      </c>
    </row>
    <row r="1207" spans="1:17" x14ac:dyDescent="0.3">
      <c r="A1207" t="s">
        <v>2176</v>
      </c>
      <c r="B1207" t="s">
        <v>2177</v>
      </c>
      <c r="C1207" t="s">
        <v>38</v>
      </c>
      <c r="D1207" t="s">
        <v>39</v>
      </c>
      <c r="E1207">
        <v>-3</v>
      </c>
      <c r="F1207" t="s">
        <v>30</v>
      </c>
      <c r="G1207" t="s">
        <v>57</v>
      </c>
      <c r="H1207" t="s">
        <v>46</v>
      </c>
      <c r="I1207" t="s">
        <v>79</v>
      </c>
      <c r="J1207" t="s">
        <v>34</v>
      </c>
      <c r="K1207">
        <v>2</v>
      </c>
      <c r="L1207">
        <v>43300</v>
      </c>
      <c r="M1207">
        <v>0</v>
      </c>
      <c r="N1207">
        <v>86600</v>
      </c>
      <c r="O1207" t="s">
        <v>40</v>
      </c>
      <c r="P1207">
        <v>2</v>
      </c>
      <c r="Q1207" t="s">
        <v>26</v>
      </c>
    </row>
    <row r="1208" spans="1:17" x14ac:dyDescent="0.3">
      <c r="A1208" t="s">
        <v>2178</v>
      </c>
      <c r="B1208" t="s">
        <v>568</v>
      </c>
      <c r="C1208" t="s">
        <v>19</v>
      </c>
      <c r="D1208" t="s">
        <v>39</v>
      </c>
      <c r="E1208">
        <v>46</v>
      </c>
      <c r="F1208" t="s">
        <v>277</v>
      </c>
      <c r="G1208" t="s">
        <v>45</v>
      </c>
      <c r="H1208" t="s">
        <v>22</v>
      </c>
      <c r="I1208" t="s">
        <v>84</v>
      </c>
      <c r="J1208" t="s">
        <v>89</v>
      </c>
      <c r="K1208">
        <v>4</v>
      </c>
      <c r="L1208">
        <v>4100</v>
      </c>
      <c r="M1208">
        <v>10</v>
      </c>
      <c r="N1208" t="s">
        <v>2179</v>
      </c>
      <c r="O1208" t="s">
        <v>25</v>
      </c>
      <c r="Q1208" t="s">
        <v>74</v>
      </c>
    </row>
    <row r="1209" spans="1:17" x14ac:dyDescent="0.3">
      <c r="A1209" t="s">
        <v>2180</v>
      </c>
      <c r="B1209" t="s">
        <v>1080</v>
      </c>
      <c r="C1209" t="s">
        <v>71</v>
      </c>
      <c r="E1209">
        <v>55</v>
      </c>
      <c r="F1209" t="s">
        <v>61</v>
      </c>
      <c r="G1209" t="s">
        <v>61</v>
      </c>
      <c r="H1209" t="s">
        <v>62</v>
      </c>
      <c r="I1209" t="s">
        <v>140</v>
      </c>
      <c r="J1209" t="s">
        <v>34</v>
      </c>
      <c r="K1209">
        <v>1</v>
      </c>
      <c r="L1209">
        <v>45100</v>
      </c>
      <c r="M1209">
        <v>10</v>
      </c>
      <c r="N1209">
        <v>40590</v>
      </c>
      <c r="O1209" t="s">
        <v>105</v>
      </c>
      <c r="P1209">
        <v>3</v>
      </c>
      <c r="Q1209" t="s">
        <v>74</v>
      </c>
    </row>
    <row r="1210" spans="1:17" x14ac:dyDescent="0.3">
      <c r="A1210" t="s">
        <v>2181</v>
      </c>
      <c r="B1210" t="s">
        <v>1213</v>
      </c>
      <c r="C1210" t="s">
        <v>94</v>
      </c>
      <c r="D1210" t="s">
        <v>83</v>
      </c>
      <c r="E1210">
        <v>29</v>
      </c>
      <c r="F1210" t="s">
        <v>77</v>
      </c>
      <c r="G1210" t="s">
        <v>78</v>
      </c>
      <c r="H1210" t="s">
        <v>46</v>
      </c>
      <c r="I1210" t="s">
        <v>47</v>
      </c>
      <c r="J1210" t="s">
        <v>34</v>
      </c>
      <c r="K1210" t="s">
        <v>1072</v>
      </c>
      <c r="L1210">
        <v>15100</v>
      </c>
      <c r="M1210">
        <v>25</v>
      </c>
      <c r="N1210">
        <v>90600</v>
      </c>
      <c r="O1210" t="s">
        <v>73</v>
      </c>
      <c r="P1210">
        <v>5</v>
      </c>
      <c r="Q1210" t="s">
        <v>74</v>
      </c>
    </row>
    <row r="1211" spans="1:17" x14ac:dyDescent="0.3">
      <c r="A1211" t="s">
        <v>2182</v>
      </c>
      <c r="B1211" t="s">
        <v>2183</v>
      </c>
      <c r="C1211" t="s">
        <v>68</v>
      </c>
      <c r="D1211" t="s">
        <v>20</v>
      </c>
      <c r="E1211">
        <v>50</v>
      </c>
      <c r="F1211" t="s">
        <v>61</v>
      </c>
      <c r="G1211" t="s">
        <v>61</v>
      </c>
      <c r="H1211" t="s">
        <v>32</v>
      </c>
      <c r="I1211" t="s">
        <v>53</v>
      </c>
      <c r="J1211" t="s">
        <v>72</v>
      </c>
      <c r="K1211">
        <v>8</v>
      </c>
      <c r="L1211">
        <v>5600</v>
      </c>
      <c r="M1211">
        <v>15</v>
      </c>
      <c r="N1211">
        <v>38080</v>
      </c>
      <c r="O1211" t="s">
        <v>35</v>
      </c>
      <c r="Q1211" t="s">
        <v>41</v>
      </c>
    </row>
    <row r="1212" spans="1:17" x14ac:dyDescent="0.3">
      <c r="A1212" t="s">
        <v>2184</v>
      </c>
      <c r="B1212" t="s">
        <v>109</v>
      </c>
      <c r="C1212" t="s">
        <v>19</v>
      </c>
      <c r="D1212" t="s">
        <v>20</v>
      </c>
      <c r="E1212">
        <v>23</v>
      </c>
      <c r="F1212" t="s">
        <v>61</v>
      </c>
      <c r="G1212" t="s">
        <v>61</v>
      </c>
      <c r="H1212" t="s">
        <v>46</v>
      </c>
      <c r="I1212" t="s">
        <v>79</v>
      </c>
      <c r="J1212" t="s">
        <v>64</v>
      </c>
      <c r="K1212">
        <v>1</v>
      </c>
      <c r="L1212">
        <v>24300</v>
      </c>
      <c r="M1212">
        <v>25</v>
      </c>
      <c r="N1212">
        <v>18225</v>
      </c>
      <c r="O1212" t="s">
        <v>162</v>
      </c>
      <c r="Q1212" t="s">
        <v>65</v>
      </c>
    </row>
    <row r="1213" spans="1:17" x14ac:dyDescent="0.3">
      <c r="A1213" t="s">
        <v>2185</v>
      </c>
      <c r="B1213" t="s">
        <v>1868</v>
      </c>
      <c r="C1213" t="s">
        <v>38</v>
      </c>
      <c r="D1213" t="s">
        <v>103</v>
      </c>
      <c r="E1213">
        <v>48</v>
      </c>
      <c r="F1213" t="s">
        <v>77</v>
      </c>
      <c r="G1213" t="s">
        <v>95</v>
      </c>
      <c r="H1213" t="s">
        <v>46</v>
      </c>
      <c r="I1213" t="s">
        <v>79</v>
      </c>
      <c r="J1213" t="s">
        <v>64</v>
      </c>
      <c r="K1213">
        <v>5</v>
      </c>
      <c r="L1213">
        <v>20700</v>
      </c>
      <c r="M1213">
        <v>25</v>
      </c>
      <c r="N1213">
        <v>77625</v>
      </c>
      <c r="O1213" t="s">
        <v>105</v>
      </c>
      <c r="P1213">
        <v>2</v>
      </c>
      <c r="Q1213" t="s">
        <v>74</v>
      </c>
    </row>
    <row r="1214" spans="1:17" x14ac:dyDescent="0.3">
      <c r="A1214" t="s">
        <v>2186</v>
      </c>
      <c r="B1214" t="s">
        <v>2187</v>
      </c>
      <c r="C1214" t="s">
        <v>19</v>
      </c>
      <c r="E1214">
        <v>56</v>
      </c>
      <c r="F1214" t="s">
        <v>61</v>
      </c>
      <c r="G1214" t="s">
        <v>61</v>
      </c>
      <c r="H1214" t="s">
        <v>62</v>
      </c>
      <c r="I1214" t="s">
        <v>63</v>
      </c>
      <c r="J1214" t="s">
        <v>34</v>
      </c>
      <c r="K1214">
        <v>4</v>
      </c>
      <c r="L1214">
        <v>7000</v>
      </c>
      <c r="M1214">
        <v>25</v>
      </c>
      <c r="N1214">
        <v>21000</v>
      </c>
      <c r="O1214" t="s">
        <v>25</v>
      </c>
      <c r="Q1214" t="s">
        <v>26</v>
      </c>
    </row>
    <row r="1215" spans="1:17" x14ac:dyDescent="0.3">
      <c r="A1215" t="s">
        <v>2188</v>
      </c>
      <c r="B1215" t="s">
        <v>2189</v>
      </c>
      <c r="C1215" t="s">
        <v>121</v>
      </c>
      <c r="D1215" t="s">
        <v>20</v>
      </c>
      <c r="E1215">
        <v>28</v>
      </c>
      <c r="F1215" t="s">
        <v>44</v>
      </c>
      <c r="G1215" t="s">
        <v>100</v>
      </c>
      <c r="H1215" t="s">
        <v>46</v>
      </c>
      <c r="I1215" t="s">
        <v>79</v>
      </c>
      <c r="J1215" t="s">
        <v>34</v>
      </c>
      <c r="K1215">
        <v>3</v>
      </c>
      <c r="L1215">
        <v>3600</v>
      </c>
      <c r="M1215">
        <v>15</v>
      </c>
      <c r="N1215">
        <v>9180</v>
      </c>
      <c r="O1215" t="s">
        <v>48</v>
      </c>
      <c r="P1215">
        <v>3</v>
      </c>
      <c r="Q1215" t="s">
        <v>74</v>
      </c>
    </row>
    <row r="1216" spans="1:17" x14ac:dyDescent="0.3">
      <c r="A1216" t="s">
        <v>2190</v>
      </c>
      <c r="B1216" t="s">
        <v>2124</v>
      </c>
      <c r="C1216" t="s">
        <v>88</v>
      </c>
      <c r="E1216">
        <v>50</v>
      </c>
      <c r="F1216" t="s">
        <v>44</v>
      </c>
      <c r="G1216" t="s">
        <v>100</v>
      </c>
      <c r="H1216" t="s">
        <v>46</v>
      </c>
      <c r="I1216" t="s">
        <v>47</v>
      </c>
      <c r="J1216" t="s">
        <v>89</v>
      </c>
      <c r="K1216">
        <v>6</v>
      </c>
      <c r="L1216">
        <v>35000</v>
      </c>
      <c r="M1216">
        <v>5</v>
      </c>
      <c r="N1216">
        <v>199500</v>
      </c>
      <c r="O1216" t="s">
        <v>35</v>
      </c>
      <c r="Q1216" t="s">
        <v>65</v>
      </c>
    </row>
    <row r="1217" spans="1:17" x14ac:dyDescent="0.3">
      <c r="A1217" t="s">
        <v>2191</v>
      </c>
      <c r="B1217" t="s">
        <v>1435</v>
      </c>
      <c r="C1217" t="s">
        <v>94</v>
      </c>
      <c r="D1217" t="s">
        <v>83</v>
      </c>
      <c r="E1217">
        <v>25</v>
      </c>
      <c r="F1217" t="s">
        <v>21</v>
      </c>
      <c r="G1217" t="s">
        <v>21</v>
      </c>
      <c r="H1217" t="s">
        <v>22</v>
      </c>
      <c r="I1217" t="s">
        <v>23</v>
      </c>
      <c r="J1217" t="s">
        <v>72</v>
      </c>
      <c r="K1217">
        <v>4</v>
      </c>
      <c r="L1217">
        <v>44000</v>
      </c>
      <c r="M1217">
        <v>10</v>
      </c>
      <c r="N1217">
        <v>158400</v>
      </c>
      <c r="O1217" t="s">
        <v>40</v>
      </c>
      <c r="P1217">
        <v>2</v>
      </c>
      <c r="Q1217" t="s">
        <v>41</v>
      </c>
    </row>
    <row r="1218" spans="1:17" x14ac:dyDescent="0.3">
      <c r="A1218" t="s">
        <v>2192</v>
      </c>
      <c r="B1218" t="s">
        <v>2193</v>
      </c>
      <c r="C1218" t="s">
        <v>60</v>
      </c>
      <c r="D1218" t="s">
        <v>83</v>
      </c>
      <c r="E1218">
        <v>23</v>
      </c>
      <c r="F1218" t="s">
        <v>503</v>
      </c>
      <c r="G1218" t="s">
        <v>57</v>
      </c>
      <c r="H1218" t="s">
        <v>62</v>
      </c>
      <c r="I1218" t="s">
        <v>140</v>
      </c>
      <c r="J1218" t="s">
        <v>72</v>
      </c>
      <c r="K1218">
        <v>6</v>
      </c>
      <c r="L1218">
        <v>31600</v>
      </c>
      <c r="M1218">
        <v>15</v>
      </c>
      <c r="N1218">
        <v>161160</v>
      </c>
      <c r="O1218" t="s">
        <v>105</v>
      </c>
      <c r="Q1218" t="s">
        <v>26</v>
      </c>
    </row>
    <row r="1219" spans="1:17" x14ac:dyDescent="0.3">
      <c r="A1219" t="s">
        <v>2194</v>
      </c>
      <c r="B1219" t="s">
        <v>210</v>
      </c>
      <c r="C1219" t="s">
        <v>68</v>
      </c>
      <c r="D1219" t="s">
        <v>83</v>
      </c>
      <c r="E1219">
        <v>44</v>
      </c>
      <c r="F1219" t="s">
        <v>21</v>
      </c>
      <c r="G1219" t="s">
        <v>21</v>
      </c>
      <c r="H1219" t="s">
        <v>46</v>
      </c>
      <c r="I1219" t="s">
        <v>79</v>
      </c>
      <c r="J1219" t="s">
        <v>80</v>
      </c>
      <c r="K1219">
        <v>10</v>
      </c>
      <c r="L1219">
        <v>9300</v>
      </c>
      <c r="M1219">
        <v>15</v>
      </c>
      <c r="N1219">
        <v>79050</v>
      </c>
      <c r="O1219" t="s">
        <v>105</v>
      </c>
      <c r="P1219">
        <v>5</v>
      </c>
      <c r="Q1219" t="s">
        <v>26</v>
      </c>
    </row>
    <row r="1220" spans="1:17" x14ac:dyDescent="0.3">
      <c r="A1220" t="s">
        <v>2195</v>
      </c>
      <c r="B1220" t="s">
        <v>2196</v>
      </c>
      <c r="C1220" t="s">
        <v>29</v>
      </c>
      <c r="E1220">
        <v>36</v>
      </c>
      <c r="F1220" t="s">
        <v>51</v>
      </c>
      <c r="G1220" t="s">
        <v>104</v>
      </c>
      <c r="H1220" t="s">
        <v>22</v>
      </c>
      <c r="I1220" t="s">
        <v>84</v>
      </c>
      <c r="J1220" t="s">
        <v>72</v>
      </c>
      <c r="K1220">
        <v>8</v>
      </c>
      <c r="L1220">
        <v>11300</v>
      </c>
      <c r="M1220">
        <v>15</v>
      </c>
      <c r="N1220">
        <v>76840</v>
      </c>
      <c r="O1220" t="s">
        <v>105</v>
      </c>
      <c r="P1220">
        <v>5</v>
      </c>
      <c r="Q1220" t="s">
        <v>41</v>
      </c>
    </row>
    <row r="1221" spans="1:17" x14ac:dyDescent="0.3">
      <c r="A1221" t="s">
        <v>2197</v>
      </c>
      <c r="B1221" t="s">
        <v>940</v>
      </c>
      <c r="C1221" t="s">
        <v>29</v>
      </c>
      <c r="D1221" t="s">
        <v>20</v>
      </c>
      <c r="E1221">
        <v>61</v>
      </c>
      <c r="F1221" t="s">
        <v>30</v>
      </c>
      <c r="G1221" t="s">
        <v>31</v>
      </c>
      <c r="H1221" t="s">
        <v>46</v>
      </c>
      <c r="I1221" t="s">
        <v>47</v>
      </c>
      <c r="J1221" t="s">
        <v>24</v>
      </c>
      <c r="K1221">
        <v>8</v>
      </c>
      <c r="L1221">
        <v>25900</v>
      </c>
      <c r="M1221">
        <v>0</v>
      </c>
      <c r="N1221">
        <v>207200</v>
      </c>
      <c r="O1221" t="s">
        <v>73</v>
      </c>
      <c r="P1221">
        <v>4</v>
      </c>
      <c r="Q1221" t="s">
        <v>74</v>
      </c>
    </row>
    <row r="1222" spans="1:17" x14ac:dyDescent="0.3">
      <c r="A1222" t="s">
        <v>2198</v>
      </c>
      <c r="B1222" t="s">
        <v>2199</v>
      </c>
      <c r="C1222" t="s">
        <v>68</v>
      </c>
      <c r="E1222">
        <v>51</v>
      </c>
      <c r="F1222" t="s">
        <v>44</v>
      </c>
      <c r="G1222" t="s">
        <v>100</v>
      </c>
      <c r="H1222" t="s">
        <v>32</v>
      </c>
      <c r="I1222" t="s">
        <v>33</v>
      </c>
      <c r="J1222" t="s">
        <v>72</v>
      </c>
      <c r="K1222">
        <v>1</v>
      </c>
      <c r="L1222">
        <v>3600</v>
      </c>
      <c r="M1222">
        <v>20</v>
      </c>
      <c r="N1222">
        <v>2880</v>
      </c>
      <c r="O1222" t="s">
        <v>35</v>
      </c>
      <c r="P1222">
        <v>5</v>
      </c>
      <c r="Q1222" t="s">
        <v>26</v>
      </c>
    </row>
    <row r="1223" spans="1:17" x14ac:dyDescent="0.3">
      <c r="A1223" t="s">
        <v>2200</v>
      </c>
      <c r="B1223" t="s">
        <v>989</v>
      </c>
      <c r="C1223" t="s">
        <v>113</v>
      </c>
      <c r="D1223" t="s">
        <v>103</v>
      </c>
      <c r="E1223">
        <v>27</v>
      </c>
      <c r="F1223" t="s">
        <v>51</v>
      </c>
      <c r="G1223" t="s">
        <v>104</v>
      </c>
      <c r="H1223" t="s">
        <v>62</v>
      </c>
      <c r="I1223" t="s">
        <v>140</v>
      </c>
      <c r="J1223" t="s">
        <v>64</v>
      </c>
      <c r="K1223">
        <v>3</v>
      </c>
      <c r="L1223">
        <v>4900</v>
      </c>
      <c r="M1223">
        <v>20</v>
      </c>
      <c r="N1223">
        <v>11760</v>
      </c>
      <c r="O1223" t="s">
        <v>35</v>
      </c>
      <c r="P1223">
        <v>4</v>
      </c>
      <c r="Q1223" t="s">
        <v>65</v>
      </c>
    </row>
    <row r="1224" spans="1:17" x14ac:dyDescent="0.3">
      <c r="A1224" t="s">
        <v>2201</v>
      </c>
      <c r="B1224" t="s">
        <v>2202</v>
      </c>
      <c r="C1224" t="s">
        <v>71</v>
      </c>
      <c r="D1224" t="s">
        <v>39</v>
      </c>
      <c r="E1224">
        <v>65</v>
      </c>
      <c r="F1224" t="s">
        <v>77</v>
      </c>
      <c r="G1224" t="s">
        <v>78</v>
      </c>
      <c r="H1224" t="s">
        <v>32</v>
      </c>
      <c r="I1224" t="s">
        <v>33</v>
      </c>
      <c r="J1224" t="s">
        <v>80</v>
      </c>
      <c r="K1224">
        <v>8</v>
      </c>
      <c r="L1224">
        <v>14200</v>
      </c>
      <c r="M1224">
        <v>5</v>
      </c>
      <c r="N1224">
        <v>107920</v>
      </c>
      <c r="O1224" t="s">
        <v>73</v>
      </c>
      <c r="P1224">
        <v>4</v>
      </c>
      <c r="Q1224" t="s">
        <v>74</v>
      </c>
    </row>
    <row r="1225" spans="1:17" x14ac:dyDescent="0.3">
      <c r="A1225" t="s">
        <v>2203</v>
      </c>
      <c r="B1225" t="s">
        <v>832</v>
      </c>
      <c r="C1225" t="s">
        <v>113</v>
      </c>
      <c r="D1225" t="s">
        <v>83</v>
      </c>
      <c r="E1225">
        <v>41</v>
      </c>
      <c r="F1225" t="s">
        <v>61</v>
      </c>
      <c r="G1225" t="s">
        <v>61</v>
      </c>
      <c r="H1225" t="s">
        <v>455</v>
      </c>
      <c r="I1225" t="s">
        <v>63</v>
      </c>
      <c r="J1225" t="s">
        <v>89</v>
      </c>
      <c r="K1225">
        <v>7</v>
      </c>
      <c r="L1225">
        <v>34300</v>
      </c>
      <c r="M1225">
        <v>10</v>
      </c>
      <c r="N1225">
        <v>216090</v>
      </c>
      <c r="O1225" t="s">
        <v>73</v>
      </c>
      <c r="P1225">
        <v>2</v>
      </c>
      <c r="Q1225" t="s">
        <v>74</v>
      </c>
    </row>
    <row r="1226" spans="1:17" x14ac:dyDescent="0.3">
      <c r="A1226" t="s">
        <v>2204</v>
      </c>
      <c r="B1226" t="s">
        <v>2205</v>
      </c>
      <c r="C1226" t="s">
        <v>29</v>
      </c>
      <c r="D1226" t="s">
        <v>20</v>
      </c>
      <c r="E1226">
        <v>21</v>
      </c>
      <c r="F1226" t="s">
        <v>21</v>
      </c>
      <c r="G1226" t="s">
        <v>21</v>
      </c>
      <c r="H1226" t="s">
        <v>110</v>
      </c>
      <c r="I1226" t="s">
        <v>53</v>
      </c>
      <c r="J1226" t="s">
        <v>64</v>
      </c>
      <c r="K1226">
        <v>6</v>
      </c>
      <c r="L1226">
        <v>8800</v>
      </c>
      <c r="M1226">
        <v>0</v>
      </c>
      <c r="N1226">
        <v>52800</v>
      </c>
      <c r="O1226" t="s">
        <v>40</v>
      </c>
      <c r="Q1226" t="s">
        <v>41</v>
      </c>
    </row>
    <row r="1227" spans="1:17" x14ac:dyDescent="0.3">
      <c r="A1227" t="s">
        <v>2206</v>
      </c>
      <c r="B1227" t="s">
        <v>2207</v>
      </c>
      <c r="C1227" t="s">
        <v>71</v>
      </c>
      <c r="E1227">
        <v>52</v>
      </c>
      <c r="F1227" t="s">
        <v>44</v>
      </c>
      <c r="G1227" t="s">
        <v>45</v>
      </c>
      <c r="H1227" t="s">
        <v>431</v>
      </c>
      <c r="I1227" t="s">
        <v>79</v>
      </c>
      <c r="J1227" t="s">
        <v>64</v>
      </c>
      <c r="K1227">
        <v>5</v>
      </c>
      <c r="L1227">
        <v>40000</v>
      </c>
      <c r="M1227">
        <v>0</v>
      </c>
      <c r="N1227">
        <v>200000</v>
      </c>
      <c r="O1227" t="s">
        <v>73</v>
      </c>
      <c r="P1227">
        <v>3</v>
      </c>
      <c r="Q1227" t="s">
        <v>41</v>
      </c>
    </row>
    <row r="1228" spans="1:17" x14ac:dyDescent="0.3">
      <c r="A1228" t="s">
        <v>2208</v>
      </c>
      <c r="B1228" t="s">
        <v>2209</v>
      </c>
      <c r="C1228" t="s">
        <v>38</v>
      </c>
      <c r="D1228" t="s">
        <v>103</v>
      </c>
      <c r="E1228">
        <v>61</v>
      </c>
      <c r="F1228" t="s">
        <v>77</v>
      </c>
      <c r="G1228" t="s">
        <v>78</v>
      </c>
      <c r="H1228" t="s">
        <v>62</v>
      </c>
      <c r="I1228" t="s">
        <v>140</v>
      </c>
      <c r="J1228" t="s">
        <v>64</v>
      </c>
      <c r="K1228">
        <v>3</v>
      </c>
      <c r="L1228">
        <v>12400</v>
      </c>
      <c r="M1228">
        <v>20</v>
      </c>
      <c r="N1228">
        <v>29760</v>
      </c>
      <c r="O1228" t="s">
        <v>105</v>
      </c>
      <c r="Q1228" t="s">
        <v>74</v>
      </c>
    </row>
    <row r="1229" spans="1:17" x14ac:dyDescent="0.3">
      <c r="A1229" t="s">
        <v>2210</v>
      </c>
      <c r="B1229" t="s">
        <v>890</v>
      </c>
      <c r="C1229" t="s">
        <v>60</v>
      </c>
      <c r="D1229" t="s">
        <v>20</v>
      </c>
      <c r="E1229">
        <v>64</v>
      </c>
      <c r="F1229" t="s">
        <v>30</v>
      </c>
      <c r="G1229" t="s">
        <v>31</v>
      </c>
      <c r="H1229" t="s">
        <v>62</v>
      </c>
      <c r="I1229" t="s">
        <v>63</v>
      </c>
      <c r="J1229" t="s">
        <v>89</v>
      </c>
      <c r="K1229">
        <v>9</v>
      </c>
      <c r="L1229">
        <v>3900</v>
      </c>
      <c r="M1229">
        <v>10</v>
      </c>
      <c r="N1229">
        <v>31590</v>
      </c>
      <c r="O1229" t="s">
        <v>25</v>
      </c>
      <c r="P1229">
        <v>5</v>
      </c>
      <c r="Q1229" t="s">
        <v>26</v>
      </c>
    </row>
    <row r="1230" spans="1:17" x14ac:dyDescent="0.3">
      <c r="A1230" t="s">
        <v>2211</v>
      </c>
      <c r="B1230" t="s">
        <v>2212</v>
      </c>
      <c r="C1230" t="s">
        <v>88</v>
      </c>
      <c r="D1230" t="s">
        <v>103</v>
      </c>
      <c r="E1230">
        <v>41</v>
      </c>
      <c r="F1230" t="s">
        <v>51</v>
      </c>
      <c r="G1230" t="s">
        <v>104</v>
      </c>
      <c r="H1230" t="s">
        <v>32</v>
      </c>
      <c r="I1230" t="s">
        <v>53</v>
      </c>
      <c r="J1230" t="s">
        <v>64</v>
      </c>
      <c r="K1230">
        <v>8</v>
      </c>
      <c r="L1230">
        <v>48900</v>
      </c>
      <c r="M1230">
        <v>20</v>
      </c>
      <c r="N1230">
        <v>312960</v>
      </c>
      <c r="O1230" t="s">
        <v>40</v>
      </c>
      <c r="Q1230" t="s">
        <v>74</v>
      </c>
    </row>
    <row r="1231" spans="1:17" x14ac:dyDescent="0.3">
      <c r="A1231" t="s">
        <v>2213</v>
      </c>
      <c r="B1231" t="s">
        <v>1615</v>
      </c>
      <c r="C1231" t="s">
        <v>121</v>
      </c>
      <c r="D1231" t="s">
        <v>39</v>
      </c>
      <c r="E1231">
        <v>51</v>
      </c>
      <c r="F1231" t="s">
        <v>30</v>
      </c>
      <c r="G1231" t="s">
        <v>57</v>
      </c>
      <c r="H1231" t="s">
        <v>62</v>
      </c>
      <c r="I1231" t="s">
        <v>63</v>
      </c>
      <c r="J1231" t="s">
        <v>64</v>
      </c>
      <c r="K1231">
        <v>9</v>
      </c>
      <c r="L1231">
        <v>43700</v>
      </c>
      <c r="M1231">
        <v>10</v>
      </c>
      <c r="N1231">
        <v>353970</v>
      </c>
      <c r="O1231" t="s">
        <v>162</v>
      </c>
      <c r="P1231">
        <v>5</v>
      </c>
      <c r="Q1231" t="s">
        <v>26</v>
      </c>
    </row>
    <row r="1232" spans="1:17" x14ac:dyDescent="0.3">
      <c r="A1232" t="s">
        <v>2214</v>
      </c>
      <c r="B1232" t="s">
        <v>1429</v>
      </c>
      <c r="C1232" t="s">
        <v>94</v>
      </c>
      <c r="D1232" t="s">
        <v>39</v>
      </c>
      <c r="E1232">
        <v>34</v>
      </c>
      <c r="F1232" t="s">
        <v>44</v>
      </c>
      <c r="G1232" t="s">
        <v>100</v>
      </c>
      <c r="H1232" t="s">
        <v>32</v>
      </c>
      <c r="I1232" t="s">
        <v>53</v>
      </c>
      <c r="J1232" t="s">
        <v>72</v>
      </c>
      <c r="K1232">
        <v>3</v>
      </c>
      <c r="L1232">
        <v>26300</v>
      </c>
      <c r="M1232">
        <v>10</v>
      </c>
      <c r="N1232">
        <v>71010</v>
      </c>
      <c r="O1232" t="s">
        <v>48</v>
      </c>
      <c r="Q1232" t="s">
        <v>26</v>
      </c>
    </row>
    <row r="1233" spans="1:17" x14ac:dyDescent="0.3">
      <c r="A1233" t="s">
        <v>2215</v>
      </c>
      <c r="B1233" t="s">
        <v>1246</v>
      </c>
      <c r="C1233" t="s">
        <v>94</v>
      </c>
      <c r="D1233" t="s">
        <v>83</v>
      </c>
      <c r="E1233">
        <v>65</v>
      </c>
      <c r="F1233" t="s">
        <v>61</v>
      </c>
      <c r="G1233" t="s">
        <v>61</v>
      </c>
      <c r="H1233" t="s">
        <v>22</v>
      </c>
      <c r="I1233" t="s">
        <v>84</v>
      </c>
      <c r="J1233" t="s">
        <v>24</v>
      </c>
      <c r="K1233">
        <v>2</v>
      </c>
      <c r="L1233">
        <v>47100</v>
      </c>
      <c r="M1233">
        <v>5</v>
      </c>
      <c r="N1233">
        <v>89490</v>
      </c>
      <c r="O1233" t="s">
        <v>35</v>
      </c>
      <c r="Q1233" t="s">
        <v>65</v>
      </c>
    </row>
    <row r="1234" spans="1:17" x14ac:dyDescent="0.3">
      <c r="A1234" t="s">
        <v>2216</v>
      </c>
      <c r="B1234" t="s">
        <v>1118</v>
      </c>
      <c r="C1234" t="s">
        <v>38</v>
      </c>
      <c r="D1234" t="s">
        <v>103</v>
      </c>
      <c r="E1234">
        <v>37</v>
      </c>
      <c r="F1234" t="s">
        <v>1193</v>
      </c>
      <c r="G1234" t="s">
        <v>31</v>
      </c>
      <c r="H1234" t="s">
        <v>32</v>
      </c>
      <c r="I1234" t="s">
        <v>33</v>
      </c>
      <c r="J1234" t="s">
        <v>89</v>
      </c>
      <c r="K1234">
        <v>3</v>
      </c>
      <c r="L1234">
        <v>25600</v>
      </c>
      <c r="M1234">
        <v>5</v>
      </c>
      <c r="N1234">
        <v>72960</v>
      </c>
      <c r="O1234" t="s">
        <v>73</v>
      </c>
      <c r="Q1234" t="s">
        <v>41</v>
      </c>
    </row>
    <row r="1235" spans="1:17" x14ac:dyDescent="0.3">
      <c r="A1235" t="s">
        <v>2217</v>
      </c>
      <c r="B1235" t="s">
        <v>2218</v>
      </c>
      <c r="C1235" t="s">
        <v>88</v>
      </c>
      <c r="D1235" t="s">
        <v>39</v>
      </c>
      <c r="E1235">
        <v>46</v>
      </c>
      <c r="F1235" t="s">
        <v>21</v>
      </c>
      <c r="G1235" t="s">
        <v>21</v>
      </c>
      <c r="H1235" t="s">
        <v>46</v>
      </c>
      <c r="I1235" t="s">
        <v>79</v>
      </c>
      <c r="J1235" t="s">
        <v>80</v>
      </c>
      <c r="K1235">
        <v>9</v>
      </c>
      <c r="L1235">
        <v>40400</v>
      </c>
      <c r="M1235">
        <v>20</v>
      </c>
      <c r="N1235">
        <v>290880</v>
      </c>
      <c r="O1235" t="s">
        <v>40</v>
      </c>
      <c r="Q1235" t="s">
        <v>41</v>
      </c>
    </row>
    <row r="1236" spans="1:17" x14ac:dyDescent="0.3">
      <c r="A1236" t="s">
        <v>2219</v>
      </c>
      <c r="B1236" t="s">
        <v>1291</v>
      </c>
      <c r="C1236" t="s">
        <v>29</v>
      </c>
      <c r="D1236" t="s">
        <v>83</v>
      </c>
      <c r="E1236">
        <v>20</v>
      </c>
      <c r="F1236" t="s">
        <v>30</v>
      </c>
      <c r="G1236" t="s">
        <v>57</v>
      </c>
      <c r="H1236" t="s">
        <v>46</v>
      </c>
      <c r="I1236" t="s">
        <v>79</v>
      </c>
      <c r="J1236" t="s">
        <v>80</v>
      </c>
      <c r="K1236">
        <v>8</v>
      </c>
      <c r="L1236">
        <v>6000</v>
      </c>
      <c r="M1236">
        <v>10</v>
      </c>
      <c r="N1236">
        <v>43200</v>
      </c>
      <c r="O1236" t="s">
        <v>48</v>
      </c>
      <c r="Q1236" t="s">
        <v>65</v>
      </c>
    </row>
    <row r="1237" spans="1:17" x14ac:dyDescent="0.3">
      <c r="A1237" t="s">
        <v>2220</v>
      </c>
      <c r="B1237" t="s">
        <v>1215</v>
      </c>
      <c r="C1237" t="s">
        <v>88</v>
      </c>
      <c r="D1237" t="s">
        <v>39</v>
      </c>
      <c r="E1237">
        <v>35</v>
      </c>
      <c r="F1237" t="s">
        <v>30</v>
      </c>
      <c r="G1237" t="s">
        <v>57</v>
      </c>
      <c r="H1237" t="s">
        <v>22</v>
      </c>
      <c r="I1237" t="s">
        <v>84</v>
      </c>
      <c r="J1237" t="s">
        <v>64</v>
      </c>
      <c r="K1237">
        <v>5</v>
      </c>
      <c r="L1237">
        <v>45000</v>
      </c>
      <c r="M1237">
        <v>15</v>
      </c>
      <c r="N1237">
        <v>191250</v>
      </c>
      <c r="O1237" t="s">
        <v>40</v>
      </c>
      <c r="P1237">
        <v>1</v>
      </c>
      <c r="Q1237" t="s">
        <v>26</v>
      </c>
    </row>
    <row r="1238" spans="1:17" x14ac:dyDescent="0.3">
      <c r="A1238" t="s">
        <v>2221</v>
      </c>
      <c r="B1238" t="s">
        <v>2222</v>
      </c>
      <c r="C1238" t="s">
        <v>113</v>
      </c>
      <c r="D1238" t="s">
        <v>39</v>
      </c>
      <c r="E1238">
        <v>33</v>
      </c>
      <c r="F1238" t="s">
        <v>21</v>
      </c>
      <c r="G1238" t="s">
        <v>21</v>
      </c>
      <c r="H1238" t="s">
        <v>46</v>
      </c>
      <c r="I1238" t="s">
        <v>47</v>
      </c>
      <c r="J1238" t="s">
        <v>80</v>
      </c>
      <c r="K1238">
        <v>9</v>
      </c>
      <c r="L1238">
        <v>30200</v>
      </c>
      <c r="M1238">
        <v>10</v>
      </c>
      <c r="N1238">
        <v>244620</v>
      </c>
      <c r="O1238" t="s">
        <v>105</v>
      </c>
      <c r="Q1238" t="s">
        <v>41</v>
      </c>
    </row>
    <row r="1239" spans="1:17" x14ac:dyDescent="0.3">
      <c r="A1239" t="s">
        <v>2223</v>
      </c>
      <c r="B1239" t="s">
        <v>577</v>
      </c>
      <c r="C1239" t="s">
        <v>19</v>
      </c>
      <c r="D1239" t="s">
        <v>103</v>
      </c>
      <c r="E1239">
        <v>42</v>
      </c>
      <c r="F1239" t="s">
        <v>1122</v>
      </c>
      <c r="G1239" t="s">
        <v>78</v>
      </c>
      <c r="H1239" t="s">
        <v>62</v>
      </c>
      <c r="I1239" t="s">
        <v>140</v>
      </c>
      <c r="J1239" t="s">
        <v>89</v>
      </c>
      <c r="K1239">
        <v>6</v>
      </c>
      <c r="L1239">
        <v>19200</v>
      </c>
      <c r="M1239">
        <v>10</v>
      </c>
      <c r="N1239">
        <v>103680</v>
      </c>
      <c r="O1239" t="s">
        <v>40</v>
      </c>
      <c r="P1239">
        <v>4</v>
      </c>
      <c r="Q1239" t="s">
        <v>65</v>
      </c>
    </row>
    <row r="1240" spans="1:17" x14ac:dyDescent="0.3">
      <c r="A1240" t="s">
        <v>2224</v>
      </c>
      <c r="B1240" t="s">
        <v>1635</v>
      </c>
      <c r="C1240" t="s">
        <v>121</v>
      </c>
      <c r="E1240">
        <v>34</v>
      </c>
      <c r="F1240" t="s">
        <v>51</v>
      </c>
      <c r="G1240" t="s">
        <v>52</v>
      </c>
      <c r="H1240" t="s">
        <v>32</v>
      </c>
      <c r="I1240" t="s">
        <v>53</v>
      </c>
      <c r="J1240" t="s">
        <v>64</v>
      </c>
      <c r="K1240">
        <v>7</v>
      </c>
      <c r="L1240">
        <v>24700</v>
      </c>
      <c r="M1240">
        <v>0</v>
      </c>
      <c r="N1240">
        <v>172900</v>
      </c>
      <c r="O1240" t="s">
        <v>40</v>
      </c>
      <c r="P1240">
        <v>3</v>
      </c>
      <c r="Q1240" t="s">
        <v>26</v>
      </c>
    </row>
    <row r="1241" spans="1:17" x14ac:dyDescent="0.3">
      <c r="A1241" t="s">
        <v>2225</v>
      </c>
      <c r="B1241" t="s">
        <v>2226</v>
      </c>
      <c r="C1241" t="s">
        <v>38</v>
      </c>
      <c r="E1241">
        <v>-3</v>
      </c>
      <c r="F1241" t="s">
        <v>30</v>
      </c>
      <c r="G1241" t="s">
        <v>57</v>
      </c>
      <c r="H1241" t="s">
        <v>110</v>
      </c>
      <c r="I1241" t="s">
        <v>33</v>
      </c>
      <c r="J1241" t="s">
        <v>64</v>
      </c>
      <c r="K1241">
        <v>5</v>
      </c>
      <c r="L1241">
        <v>44900</v>
      </c>
      <c r="M1241">
        <v>5</v>
      </c>
      <c r="N1241">
        <v>213275</v>
      </c>
      <c r="O1241" t="s">
        <v>40</v>
      </c>
      <c r="P1241">
        <v>3</v>
      </c>
      <c r="Q1241" t="s">
        <v>41</v>
      </c>
    </row>
    <row r="1242" spans="1:17" x14ac:dyDescent="0.3">
      <c r="A1242" t="s">
        <v>2227</v>
      </c>
      <c r="B1242" t="s">
        <v>2228</v>
      </c>
      <c r="C1242" t="s">
        <v>68</v>
      </c>
      <c r="D1242" t="s">
        <v>103</v>
      </c>
      <c r="E1242">
        <v>48</v>
      </c>
      <c r="F1242" t="s">
        <v>61</v>
      </c>
      <c r="G1242" t="s">
        <v>61</v>
      </c>
      <c r="H1242" t="s">
        <v>32</v>
      </c>
      <c r="I1242" t="s">
        <v>33</v>
      </c>
      <c r="J1242" t="s">
        <v>89</v>
      </c>
      <c r="K1242" t="s">
        <v>1072</v>
      </c>
      <c r="L1242">
        <v>15500</v>
      </c>
      <c r="M1242">
        <v>25</v>
      </c>
      <c r="N1242">
        <v>93000</v>
      </c>
      <c r="O1242" t="s">
        <v>40</v>
      </c>
      <c r="Q1242" t="s">
        <v>41</v>
      </c>
    </row>
    <row r="1243" spans="1:17" x14ac:dyDescent="0.3">
      <c r="A1243" t="s">
        <v>2229</v>
      </c>
      <c r="B1243" t="s">
        <v>1014</v>
      </c>
      <c r="C1243" t="s">
        <v>113</v>
      </c>
      <c r="D1243" t="s">
        <v>103</v>
      </c>
      <c r="E1243">
        <v>58</v>
      </c>
      <c r="F1243" t="s">
        <v>21</v>
      </c>
      <c r="G1243" t="s">
        <v>21</v>
      </c>
      <c r="H1243" t="s">
        <v>22</v>
      </c>
      <c r="I1243" t="s">
        <v>84</v>
      </c>
      <c r="J1243" t="s">
        <v>64</v>
      </c>
      <c r="K1243">
        <v>3</v>
      </c>
      <c r="L1243">
        <v>30700</v>
      </c>
      <c r="M1243">
        <v>25</v>
      </c>
      <c r="N1243">
        <v>69075</v>
      </c>
      <c r="O1243" t="s">
        <v>162</v>
      </c>
      <c r="P1243">
        <v>1</v>
      </c>
      <c r="Q1243" t="s">
        <v>74</v>
      </c>
    </row>
    <row r="1244" spans="1:17" x14ac:dyDescent="0.3">
      <c r="A1244" t="s">
        <v>2230</v>
      </c>
      <c r="B1244" t="s">
        <v>2231</v>
      </c>
      <c r="C1244" t="s">
        <v>88</v>
      </c>
      <c r="D1244" t="s">
        <v>83</v>
      </c>
      <c r="E1244">
        <v>30</v>
      </c>
      <c r="F1244" t="s">
        <v>21</v>
      </c>
      <c r="G1244" t="s">
        <v>21</v>
      </c>
      <c r="H1244" t="s">
        <v>22</v>
      </c>
      <c r="I1244" t="s">
        <v>23</v>
      </c>
      <c r="J1244" t="s">
        <v>64</v>
      </c>
      <c r="K1244">
        <v>3</v>
      </c>
      <c r="L1244">
        <v>37200</v>
      </c>
      <c r="M1244">
        <v>15</v>
      </c>
      <c r="N1244">
        <v>94860</v>
      </c>
      <c r="O1244" t="s">
        <v>73</v>
      </c>
      <c r="Q1244" t="s">
        <v>74</v>
      </c>
    </row>
    <row r="1245" spans="1:17" x14ac:dyDescent="0.3">
      <c r="A1245" t="s">
        <v>2232</v>
      </c>
      <c r="B1245" t="s">
        <v>2233</v>
      </c>
      <c r="C1245" t="s">
        <v>19</v>
      </c>
      <c r="D1245" t="s">
        <v>39</v>
      </c>
      <c r="E1245">
        <v>23</v>
      </c>
      <c r="F1245" t="s">
        <v>44</v>
      </c>
      <c r="G1245" t="s">
        <v>100</v>
      </c>
      <c r="H1245" t="s">
        <v>32</v>
      </c>
      <c r="I1245" t="s">
        <v>33</v>
      </c>
      <c r="J1245" t="s">
        <v>72</v>
      </c>
      <c r="K1245">
        <v>6</v>
      </c>
      <c r="L1245">
        <v>26200</v>
      </c>
      <c r="M1245">
        <v>25</v>
      </c>
      <c r="N1245">
        <v>117900</v>
      </c>
      <c r="O1245" t="s">
        <v>40</v>
      </c>
      <c r="P1245">
        <v>2</v>
      </c>
      <c r="Q1245" t="s">
        <v>74</v>
      </c>
    </row>
    <row r="1246" spans="1:17" x14ac:dyDescent="0.3">
      <c r="A1246" t="s">
        <v>2234</v>
      </c>
      <c r="B1246" t="s">
        <v>2235</v>
      </c>
      <c r="C1246" t="s">
        <v>113</v>
      </c>
      <c r="D1246" t="s">
        <v>20</v>
      </c>
      <c r="E1246">
        <v>38</v>
      </c>
      <c r="F1246" t="s">
        <v>21</v>
      </c>
      <c r="G1246" t="s">
        <v>21</v>
      </c>
      <c r="H1246" t="s">
        <v>62</v>
      </c>
      <c r="I1246" t="s">
        <v>140</v>
      </c>
      <c r="J1246" t="s">
        <v>34</v>
      </c>
      <c r="K1246">
        <v>9</v>
      </c>
      <c r="L1246">
        <v>34000</v>
      </c>
      <c r="M1246">
        <v>15</v>
      </c>
      <c r="N1246">
        <v>260100</v>
      </c>
      <c r="O1246" t="s">
        <v>35</v>
      </c>
      <c r="P1246">
        <v>5</v>
      </c>
      <c r="Q1246" t="s">
        <v>65</v>
      </c>
    </row>
    <row r="1247" spans="1:17" x14ac:dyDescent="0.3">
      <c r="A1247" t="s">
        <v>2236</v>
      </c>
      <c r="B1247" t="s">
        <v>2237</v>
      </c>
      <c r="C1247" t="s">
        <v>29</v>
      </c>
      <c r="D1247" t="s">
        <v>103</v>
      </c>
      <c r="E1247">
        <v>45</v>
      </c>
      <c r="F1247" t="s">
        <v>30</v>
      </c>
      <c r="G1247" t="s">
        <v>57</v>
      </c>
      <c r="H1247" t="s">
        <v>46</v>
      </c>
      <c r="I1247" t="s">
        <v>47</v>
      </c>
      <c r="J1247" t="s">
        <v>72</v>
      </c>
      <c r="K1247">
        <v>4</v>
      </c>
      <c r="L1247">
        <v>23000</v>
      </c>
      <c r="M1247">
        <v>15</v>
      </c>
      <c r="N1247">
        <v>78200</v>
      </c>
      <c r="O1247" t="s">
        <v>73</v>
      </c>
      <c r="P1247">
        <v>2</v>
      </c>
      <c r="Q1247" t="s">
        <v>65</v>
      </c>
    </row>
    <row r="1248" spans="1:17" x14ac:dyDescent="0.3">
      <c r="A1248" t="s">
        <v>2238</v>
      </c>
      <c r="B1248" t="s">
        <v>635</v>
      </c>
      <c r="C1248" t="s">
        <v>94</v>
      </c>
      <c r="D1248" t="s">
        <v>83</v>
      </c>
      <c r="E1248">
        <v>55</v>
      </c>
      <c r="F1248" t="s">
        <v>61</v>
      </c>
      <c r="G1248" t="s">
        <v>61</v>
      </c>
      <c r="H1248" t="s">
        <v>46</v>
      </c>
      <c r="I1248" t="s">
        <v>47</v>
      </c>
      <c r="J1248" t="s">
        <v>34</v>
      </c>
      <c r="K1248">
        <v>6</v>
      </c>
      <c r="L1248">
        <v>46100</v>
      </c>
      <c r="M1248">
        <v>0</v>
      </c>
      <c r="N1248">
        <v>276600</v>
      </c>
      <c r="O1248" t="s">
        <v>48</v>
      </c>
      <c r="Q1248" t="s">
        <v>65</v>
      </c>
    </row>
    <row r="1249" spans="1:17" x14ac:dyDescent="0.3">
      <c r="A1249" t="s">
        <v>2239</v>
      </c>
      <c r="B1249" t="s">
        <v>2240</v>
      </c>
      <c r="C1249" t="s">
        <v>19</v>
      </c>
      <c r="E1249">
        <v>40</v>
      </c>
      <c r="F1249" t="s">
        <v>61</v>
      </c>
      <c r="G1249" t="s">
        <v>61</v>
      </c>
      <c r="H1249" t="s">
        <v>46</v>
      </c>
      <c r="I1249" t="s">
        <v>79</v>
      </c>
      <c r="J1249" t="s">
        <v>80</v>
      </c>
      <c r="K1249">
        <v>4</v>
      </c>
      <c r="L1249">
        <v>28200</v>
      </c>
      <c r="M1249">
        <v>5</v>
      </c>
      <c r="N1249">
        <v>107160</v>
      </c>
      <c r="O1249" t="s">
        <v>85</v>
      </c>
      <c r="Q1249" t="s">
        <v>65</v>
      </c>
    </row>
    <row r="1250" spans="1:17" x14ac:dyDescent="0.3">
      <c r="A1250" t="s">
        <v>2241</v>
      </c>
      <c r="B1250" t="s">
        <v>2242</v>
      </c>
      <c r="C1250" t="s">
        <v>113</v>
      </c>
      <c r="E1250">
        <v>32</v>
      </c>
      <c r="F1250" t="s">
        <v>21</v>
      </c>
      <c r="G1250" t="s">
        <v>21</v>
      </c>
      <c r="H1250" t="s">
        <v>22</v>
      </c>
      <c r="I1250" t="s">
        <v>84</v>
      </c>
      <c r="J1250" t="s">
        <v>80</v>
      </c>
      <c r="K1250">
        <v>8</v>
      </c>
      <c r="L1250">
        <v>20800</v>
      </c>
      <c r="M1250">
        <v>5</v>
      </c>
      <c r="N1250">
        <v>158080</v>
      </c>
      <c r="O1250" t="s">
        <v>73</v>
      </c>
      <c r="P1250">
        <v>2</v>
      </c>
      <c r="Q1250" t="s">
        <v>65</v>
      </c>
    </row>
    <row r="1251" spans="1:17" x14ac:dyDescent="0.3">
      <c r="A1251" t="s">
        <v>2243</v>
      </c>
      <c r="B1251" t="s">
        <v>2244</v>
      </c>
      <c r="C1251" t="s">
        <v>29</v>
      </c>
      <c r="D1251" t="s">
        <v>20</v>
      </c>
      <c r="E1251">
        <v>54</v>
      </c>
      <c r="F1251" t="s">
        <v>61</v>
      </c>
      <c r="G1251" t="s">
        <v>61</v>
      </c>
      <c r="H1251" t="s">
        <v>46</v>
      </c>
      <c r="I1251" t="s">
        <v>47</v>
      </c>
      <c r="J1251" t="s">
        <v>89</v>
      </c>
      <c r="K1251">
        <v>9</v>
      </c>
      <c r="L1251">
        <v>18200</v>
      </c>
      <c r="M1251">
        <v>5</v>
      </c>
      <c r="N1251">
        <v>155610</v>
      </c>
      <c r="O1251" t="s">
        <v>48</v>
      </c>
      <c r="P1251">
        <v>5</v>
      </c>
      <c r="Q1251" t="s">
        <v>41</v>
      </c>
    </row>
    <row r="1252" spans="1:17" x14ac:dyDescent="0.3">
      <c r="A1252" t="s">
        <v>2245</v>
      </c>
      <c r="B1252" t="s">
        <v>2246</v>
      </c>
      <c r="C1252" t="s">
        <v>19</v>
      </c>
      <c r="D1252" t="s">
        <v>103</v>
      </c>
      <c r="E1252">
        <v>37</v>
      </c>
      <c r="F1252" t="s">
        <v>30</v>
      </c>
      <c r="G1252" t="s">
        <v>31</v>
      </c>
      <c r="H1252" t="s">
        <v>22</v>
      </c>
      <c r="I1252" t="s">
        <v>23</v>
      </c>
      <c r="J1252" t="s">
        <v>80</v>
      </c>
      <c r="K1252">
        <v>2</v>
      </c>
      <c r="L1252">
        <v>22700</v>
      </c>
      <c r="M1252">
        <v>10</v>
      </c>
      <c r="N1252">
        <v>40860</v>
      </c>
      <c r="O1252" t="s">
        <v>85</v>
      </c>
      <c r="P1252">
        <v>4</v>
      </c>
      <c r="Q1252" t="s">
        <v>65</v>
      </c>
    </row>
    <row r="1253" spans="1:17" x14ac:dyDescent="0.3">
      <c r="A1253" t="s">
        <v>2247</v>
      </c>
      <c r="B1253" t="s">
        <v>991</v>
      </c>
      <c r="C1253" t="s">
        <v>29</v>
      </c>
      <c r="D1253" t="s">
        <v>39</v>
      </c>
      <c r="E1253">
        <v>25</v>
      </c>
      <c r="F1253" t="s">
        <v>51</v>
      </c>
      <c r="G1253" t="s">
        <v>52</v>
      </c>
      <c r="H1253" t="s">
        <v>46</v>
      </c>
      <c r="I1253" t="s">
        <v>79</v>
      </c>
      <c r="J1253" t="s">
        <v>80</v>
      </c>
      <c r="K1253">
        <v>7</v>
      </c>
      <c r="L1253">
        <v>29700</v>
      </c>
      <c r="M1253">
        <v>25</v>
      </c>
      <c r="N1253">
        <v>155925</v>
      </c>
      <c r="O1253" t="s">
        <v>40</v>
      </c>
      <c r="P1253">
        <v>5</v>
      </c>
      <c r="Q1253" t="s">
        <v>26</v>
      </c>
    </row>
    <row r="1254" spans="1:17" x14ac:dyDescent="0.3">
      <c r="A1254" t="s">
        <v>2248</v>
      </c>
      <c r="B1254" t="s">
        <v>1725</v>
      </c>
      <c r="C1254" t="s">
        <v>113</v>
      </c>
      <c r="D1254" t="s">
        <v>39</v>
      </c>
      <c r="E1254">
        <v>32</v>
      </c>
      <c r="F1254" t="s">
        <v>30</v>
      </c>
      <c r="G1254" t="s">
        <v>31</v>
      </c>
      <c r="H1254" t="s">
        <v>62</v>
      </c>
      <c r="I1254" t="s">
        <v>140</v>
      </c>
      <c r="J1254" t="s">
        <v>64</v>
      </c>
      <c r="K1254">
        <v>9</v>
      </c>
      <c r="L1254">
        <v>46900</v>
      </c>
      <c r="M1254">
        <v>10</v>
      </c>
      <c r="N1254">
        <v>379890</v>
      </c>
      <c r="O1254" t="s">
        <v>85</v>
      </c>
      <c r="P1254">
        <v>1</v>
      </c>
      <c r="Q1254" t="s">
        <v>41</v>
      </c>
    </row>
    <row r="1255" spans="1:17" x14ac:dyDescent="0.3">
      <c r="A1255" t="s">
        <v>2249</v>
      </c>
      <c r="B1255" t="s">
        <v>2250</v>
      </c>
      <c r="C1255" t="s">
        <v>88</v>
      </c>
      <c r="D1255" t="s">
        <v>39</v>
      </c>
      <c r="E1255">
        <v>34</v>
      </c>
      <c r="F1255" t="s">
        <v>220</v>
      </c>
      <c r="G1255" t="s">
        <v>21</v>
      </c>
      <c r="H1255" t="s">
        <v>46</v>
      </c>
      <c r="I1255" t="s">
        <v>47</v>
      </c>
      <c r="J1255" t="s">
        <v>64</v>
      </c>
      <c r="K1255">
        <v>1</v>
      </c>
      <c r="L1255">
        <v>43800</v>
      </c>
      <c r="M1255">
        <v>15</v>
      </c>
      <c r="N1255">
        <v>37230</v>
      </c>
      <c r="O1255" t="s">
        <v>48</v>
      </c>
      <c r="Q1255" t="s">
        <v>41</v>
      </c>
    </row>
    <row r="1256" spans="1:17" x14ac:dyDescent="0.3">
      <c r="A1256" t="s">
        <v>2251</v>
      </c>
      <c r="B1256" t="s">
        <v>540</v>
      </c>
      <c r="C1256" t="s">
        <v>121</v>
      </c>
      <c r="D1256" t="s">
        <v>103</v>
      </c>
      <c r="E1256">
        <v>56</v>
      </c>
      <c r="F1256" t="s">
        <v>77</v>
      </c>
      <c r="G1256" t="s">
        <v>78</v>
      </c>
      <c r="H1256" t="s">
        <v>62</v>
      </c>
      <c r="I1256" t="s">
        <v>140</v>
      </c>
      <c r="J1256" t="s">
        <v>80</v>
      </c>
      <c r="K1256">
        <v>9</v>
      </c>
      <c r="L1256">
        <v>10100</v>
      </c>
      <c r="M1256">
        <v>20</v>
      </c>
      <c r="N1256">
        <v>72720</v>
      </c>
      <c r="O1256" t="s">
        <v>40</v>
      </c>
      <c r="P1256">
        <v>2</v>
      </c>
      <c r="Q1256" t="s">
        <v>74</v>
      </c>
    </row>
    <row r="1257" spans="1:17" x14ac:dyDescent="0.3">
      <c r="A1257" t="s">
        <v>2252</v>
      </c>
      <c r="B1257" t="s">
        <v>1994</v>
      </c>
      <c r="C1257" t="s">
        <v>113</v>
      </c>
      <c r="D1257" t="s">
        <v>103</v>
      </c>
      <c r="E1257">
        <v>64</v>
      </c>
      <c r="F1257" t="s">
        <v>21</v>
      </c>
      <c r="G1257" t="s">
        <v>21</v>
      </c>
      <c r="H1257" t="s">
        <v>32</v>
      </c>
      <c r="I1257" t="s">
        <v>33</v>
      </c>
      <c r="J1257" t="s">
        <v>34</v>
      </c>
      <c r="K1257">
        <v>7</v>
      </c>
      <c r="L1257">
        <v>12100</v>
      </c>
      <c r="M1257">
        <v>25</v>
      </c>
      <c r="N1257">
        <v>63525</v>
      </c>
      <c r="O1257" t="s">
        <v>35</v>
      </c>
      <c r="P1257">
        <v>3</v>
      </c>
      <c r="Q1257" t="s">
        <v>65</v>
      </c>
    </row>
    <row r="1258" spans="1:17" x14ac:dyDescent="0.3">
      <c r="A1258" t="s">
        <v>2253</v>
      </c>
      <c r="B1258" t="s">
        <v>2235</v>
      </c>
      <c r="C1258" t="s">
        <v>94</v>
      </c>
      <c r="D1258" t="s">
        <v>103</v>
      </c>
      <c r="E1258">
        <v>25</v>
      </c>
      <c r="F1258" t="s">
        <v>51</v>
      </c>
      <c r="G1258" t="s">
        <v>52</v>
      </c>
      <c r="H1258" t="s">
        <v>22</v>
      </c>
      <c r="I1258" t="s">
        <v>84</v>
      </c>
      <c r="J1258" t="s">
        <v>89</v>
      </c>
      <c r="K1258">
        <v>10</v>
      </c>
      <c r="L1258">
        <v>29100</v>
      </c>
      <c r="M1258">
        <v>25</v>
      </c>
      <c r="N1258">
        <v>218250</v>
      </c>
      <c r="O1258" t="s">
        <v>48</v>
      </c>
      <c r="Q1258" t="s">
        <v>65</v>
      </c>
    </row>
    <row r="1259" spans="1:17" x14ac:dyDescent="0.3">
      <c r="A1259" t="s">
        <v>2254</v>
      </c>
      <c r="B1259" t="s">
        <v>2255</v>
      </c>
      <c r="C1259" t="s">
        <v>29</v>
      </c>
      <c r="D1259" t="s">
        <v>103</v>
      </c>
      <c r="E1259">
        <v>39</v>
      </c>
      <c r="F1259" t="s">
        <v>77</v>
      </c>
      <c r="G1259" t="s">
        <v>78</v>
      </c>
      <c r="H1259" t="s">
        <v>32</v>
      </c>
      <c r="I1259" t="s">
        <v>33</v>
      </c>
      <c r="J1259" t="s">
        <v>34</v>
      </c>
      <c r="K1259">
        <v>8</v>
      </c>
      <c r="L1259">
        <v>44400</v>
      </c>
      <c r="M1259">
        <v>15</v>
      </c>
      <c r="N1259">
        <v>301920</v>
      </c>
      <c r="O1259" t="s">
        <v>40</v>
      </c>
      <c r="P1259">
        <v>5</v>
      </c>
      <c r="Q1259" t="s">
        <v>65</v>
      </c>
    </row>
    <row r="1260" spans="1:17" x14ac:dyDescent="0.3">
      <c r="A1260" t="s">
        <v>2256</v>
      </c>
      <c r="B1260" t="s">
        <v>1007</v>
      </c>
      <c r="C1260" t="s">
        <v>38</v>
      </c>
      <c r="D1260" t="s">
        <v>20</v>
      </c>
      <c r="E1260">
        <v>62</v>
      </c>
      <c r="F1260" t="s">
        <v>21</v>
      </c>
      <c r="G1260" t="s">
        <v>21</v>
      </c>
      <c r="H1260" t="s">
        <v>62</v>
      </c>
      <c r="I1260" t="s">
        <v>140</v>
      </c>
      <c r="J1260" t="s">
        <v>34</v>
      </c>
      <c r="K1260">
        <v>5</v>
      </c>
      <c r="L1260">
        <v>20600</v>
      </c>
      <c r="M1260">
        <v>25</v>
      </c>
      <c r="N1260">
        <v>77250</v>
      </c>
      <c r="O1260" t="s">
        <v>162</v>
      </c>
      <c r="P1260">
        <v>4</v>
      </c>
      <c r="Q1260" t="s">
        <v>26</v>
      </c>
    </row>
    <row r="1261" spans="1:17" x14ac:dyDescent="0.3">
      <c r="A1261" t="s">
        <v>2257</v>
      </c>
      <c r="B1261" t="s">
        <v>723</v>
      </c>
      <c r="C1261" t="s">
        <v>68</v>
      </c>
      <c r="D1261" t="s">
        <v>83</v>
      </c>
      <c r="E1261">
        <v>46</v>
      </c>
      <c r="F1261" t="s">
        <v>21</v>
      </c>
      <c r="G1261" t="s">
        <v>21</v>
      </c>
      <c r="H1261" t="s">
        <v>22</v>
      </c>
      <c r="I1261" t="s">
        <v>84</v>
      </c>
      <c r="J1261" t="s">
        <v>64</v>
      </c>
      <c r="K1261" t="s">
        <v>863</v>
      </c>
      <c r="L1261">
        <v>4300</v>
      </c>
      <c r="M1261">
        <v>0</v>
      </c>
      <c r="N1261">
        <v>30100</v>
      </c>
      <c r="O1261" t="s">
        <v>73</v>
      </c>
      <c r="P1261">
        <v>1</v>
      </c>
      <c r="Q1261" t="s">
        <v>41</v>
      </c>
    </row>
    <row r="1262" spans="1:17" x14ac:dyDescent="0.3">
      <c r="A1262" t="s">
        <v>2258</v>
      </c>
      <c r="B1262" t="s">
        <v>748</v>
      </c>
      <c r="C1262" t="s">
        <v>38</v>
      </c>
      <c r="D1262" t="s">
        <v>39</v>
      </c>
      <c r="E1262">
        <v>56</v>
      </c>
      <c r="F1262" t="s">
        <v>44</v>
      </c>
      <c r="G1262" t="s">
        <v>100</v>
      </c>
      <c r="H1262" t="s">
        <v>32</v>
      </c>
      <c r="I1262" t="s">
        <v>53</v>
      </c>
      <c r="J1262" t="s">
        <v>89</v>
      </c>
      <c r="K1262">
        <v>8</v>
      </c>
      <c r="L1262">
        <v>17600</v>
      </c>
      <c r="M1262">
        <v>10</v>
      </c>
      <c r="N1262">
        <v>126720</v>
      </c>
      <c r="O1262" t="s">
        <v>40</v>
      </c>
      <c r="P1262">
        <v>2</v>
      </c>
      <c r="Q1262" t="s">
        <v>74</v>
      </c>
    </row>
    <row r="1263" spans="1:17" x14ac:dyDescent="0.3">
      <c r="A1263" t="s">
        <v>2259</v>
      </c>
      <c r="B1263" t="s">
        <v>2260</v>
      </c>
      <c r="C1263" t="s">
        <v>88</v>
      </c>
      <c r="E1263">
        <v>42</v>
      </c>
      <c r="F1263" t="s">
        <v>461</v>
      </c>
      <c r="G1263" t="s">
        <v>21</v>
      </c>
      <c r="H1263" t="s">
        <v>46</v>
      </c>
      <c r="I1263" t="s">
        <v>47</v>
      </c>
      <c r="J1263" t="s">
        <v>72</v>
      </c>
      <c r="K1263">
        <v>1</v>
      </c>
      <c r="L1263">
        <v>15400</v>
      </c>
      <c r="M1263">
        <v>15</v>
      </c>
      <c r="N1263">
        <v>13090</v>
      </c>
      <c r="O1263" t="s">
        <v>35</v>
      </c>
      <c r="P1263">
        <v>2</v>
      </c>
      <c r="Q1263" t="s">
        <v>41</v>
      </c>
    </row>
    <row r="1264" spans="1:17" x14ac:dyDescent="0.3">
      <c r="A1264" t="s">
        <v>2261</v>
      </c>
      <c r="B1264" t="s">
        <v>2146</v>
      </c>
      <c r="C1264" t="s">
        <v>71</v>
      </c>
      <c r="D1264" t="s">
        <v>20</v>
      </c>
      <c r="E1264">
        <v>49</v>
      </c>
      <c r="F1264" t="s">
        <v>30</v>
      </c>
      <c r="G1264" t="s">
        <v>31</v>
      </c>
      <c r="H1264" t="s">
        <v>32</v>
      </c>
      <c r="I1264" t="s">
        <v>33</v>
      </c>
      <c r="J1264" t="s">
        <v>89</v>
      </c>
      <c r="K1264">
        <v>7</v>
      </c>
      <c r="L1264">
        <v>23300</v>
      </c>
      <c r="M1264">
        <v>10</v>
      </c>
      <c r="N1264">
        <v>146790</v>
      </c>
      <c r="O1264" t="s">
        <v>85</v>
      </c>
      <c r="Q1264" t="s">
        <v>65</v>
      </c>
    </row>
    <row r="1265" spans="1:17" x14ac:dyDescent="0.3">
      <c r="A1265" t="s">
        <v>2262</v>
      </c>
      <c r="B1265" t="s">
        <v>2263</v>
      </c>
      <c r="C1265" t="s">
        <v>29</v>
      </c>
      <c r="D1265" t="s">
        <v>39</v>
      </c>
      <c r="E1265">
        <v>58</v>
      </c>
      <c r="F1265" t="s">
        <v>61</v>
      </c>
      <c r="G1265" t="s">
        <v>61</v>
      </c>
      <c r="H1265" t="s">
        <v>46</v>
      </c>
      <c r="I1265" t="s">
        <v>79</v>
      </c>
      <c r="J1265" t="s">
        <v>89</v>
      </c>
      <c r="K1265">
        <v>5</v>
      </c>
      <c r="L1265">
        <v>2800</v>
      </c>
      <c r="M1265">
        <v>10</v>
      </c>
      <c r="N1265">
        <v>12600</v>
      </c>
      <c r="O1265" t="s">
        <v>85</v>
      </c>
      <c r="P1265">
        <v>4</v>
      </c>
      <c r="Q1265" t="s">
        <v>41</v>
      </c>
    </row>
    <row r="1266" spans="1:17" x14ac:dyDescent="0.3">
      <c r="A1266" t="s">
        <v>2264</v>
      </c>
      <c r="B1266" t="s">
        <v>2265</v>
      </c>
      <c r="C1266" t="s">
        <v>19</v>
      </c>
      <c r="E1266">
        <v>52</v>
      </c>
      <c r="F1266" t="s">
        <v>30</v>
      </c>
      <c r="G1266" t="s">
        <v>31</v>
      </c>
      <c r="H1266" t="s">
        <v>22</v>
      </c>
      <c r="I1266" t="s">
        <v>23</v>
      </c>
      <c r="J1266" t="s">
        <v>89</v>
      </c>
      <c r="K1266">
        <v>7</v>
      </c>
      <c r="L1266">
        <v>4900</v>
      </c>
      <c r="M1266">
        <v>10</v>
      </c>
      <c r="N1266">
        <v>30870</v>
      </c>
      <c r="O1266" t="s">
        <v>25</v>
      </c>
      <c r="P1266">
        <v>3</v>
      </c>
      <c r="Q1266" t="s">
        <v>41</v>
      </c>
    </row>
    <row r="1267" spans="1:17" x14ac:dyDescent="0.3">
      <c r="A1267" t="s">
        <v>2266</v>
      </c>
      <c r="B1267" t="s">
        <v>1918</v>
      </c>
      <c r="C1267" t="s">
        <v>19</v>
      </c>
      <c r="D1267" t="s">
        <v>20</v>
      </c>
      <c r="E1267">
        <v>44</v>
      </c>
      <c r="F1267" t="s">
        <v>21</v>
      </c>
      <c r="G1267" t="s">
        <v>21</v>
      </c>
      <c r="H1267" t="s">
        <v>22</v>
      </c>
      <c r="I1267" t="s">
        <v>23</v>
      </c>
      <c r="J1267" t="s">
        <v>34</v>
      </c>
      <c r="K1267">
        <v>7</v>
      </c>
      <c r="L1267">
        <v>49200</v>
      </c>
      <c r="M1267">
        <v>25</v>
      </c>
      <c r="N1267">
        <v>258300</v>
      </c>
      <c r="O1267" t="s">
        <v>48</v>
      </c>
      <c r="P1267">
        <v>4</v>
      </c>
      <c r="Q1267" t="s">
        <v>65</v>
      </c>
    </row>
    <row r="1268" spans="1:17" x14ac:dyDescent="0.3">
      <c r="A1268" t="s">
        <v>2267</v>
      </c>
      <c r="B1268" t="s">
        <v>1031</v>
      </c>
      <c r="C1268" t="s">
        <v>19</v>
      </c>
      <c r="D1268" t="s">
        <v>83</v>
      </c>
      <c r="E1268">
        <v>24</v>
      </c>
      <c r="F1268" t="s">
        <v>77</v>
      </c>
      <c r="G1268" t="s">
        <v>95</v>
      </c>
      <c r="H1268" t="s">
        <v>46</v>
      </c>
      <c r="I1268" t="s">
        <v>79</v>
      </c>
      <c r="J1268" t="s">
        <v>24</v>
      </c>
      <c r="K1268">
        <v>6</v>
      </c>
      <c r="L1268">
        <v>46300</v>
      </c>
      <c r="M1268">
        <v>15</v>
      </c>
      <c r="N1268">
        <v>236130</v>
      </c>
      <c r="O1268" t="s">
        <v>105</v>
      </c>
      <c r="Q1268" t="s">
        <v>74</v>
      </c>
    </row>
    <row r="1269" spans="1:17" x14ac:dyDescent="0.3">
      <c r="A1269" t="s">
        <v>2268</v>
      </c>
      <c r="B1269" t="s">
        <v>2269</v>
      </c>
      <c r="C1269" t="s">
        <v>94</v>
      </c>
      <c r="D1269" t="s">
        <v>103</v>
      </c>
      <c r="E1269">
        <v>27</v>
      </c>
      <c r="F1269" t="s">
        <v>30</v>
      </c>
      <c r="G1269" t="s">
        <v>57</v>
      </c>
      <c r="H1269" t="s">
        <v>22</v>
      </c>
      <c r="I1269" t="s">
        <v>23</v>
      </c>
      <c r="J1269" t="s">
        <v>24</v>
      </c>
      <c r="K1269">
        <v>10</v>
      </c>
      <c r="L1269">
        <v>19200</v>
      </c>
      <c r="M1269">
        <v>15</v>
      </c>
      <c r="N1269">
        <v>163200</v>
      </c>
      <c r="O1269" t="s">
        <v>35</v>
      </c>
      <c r="P1269">
        <v>1</v>
      </c>
      <c r="Q1269" t="s">
        <v>65</v>
      </c>
    </row>
    <row r="1270" spans="1:17" x14ac:dyDescent="0.3">
      <c r="A1270" t="s">
        <v>2270</v>
      </c>
      <c r="B1270" t="s">
        <v>1673</v>
      </c>
      <c r="C1270" t="s">
        <v>29</v>
      </c>
      <c r="D1270" t="s">
        <v>83</v>
      </c>
      <c r="E1270">
        <v>59</v>
      </c>
      <c r="F1270" t="s">
        <v>77</v>
      </c>
      <c r="G1270" t="s">
        <v>95</v>
      </c>
      <c r="H1270" t="s">
        <v>32</v>
      </c>
      <c r="I1270" t="s">
        <v>33</v>
      </c>
      <c r="J1270" t="s">
        <v>80</v>
      </c>
      <c r="K1270">
        <v>7</v>
      </c>
      <c r="L1270">
        <v>37400</v>
      </c>
      <c r="M1270">
        <v>20</v>
      </c>
      <c r="N1270">
        <v>209440</v>
      </c>
      <c r="O1270" t="s">
        <v>73</v>
      </c>
      <c r="P1270">
        <v>3</v>
      </c>
      <c r="Q1270" t="s">
        <v>26</v>
      </c>
    </row>
    <row r="1271" spans="1:17" x14ac:dyDescent="0.3">
      <c r="A1271" t="s">
        <v>2271</v>
      </c>
      <c r="B1271" t="s">
        <v>948</v>
      </c>
      <c r="C1271" t="s">
        <v>38</v>
      </c>
      <c r="D1271" t="s">
        <v>83</v>
      </c>
      <c r="E1271">
        <v>150</v>
      </c>
      <c r="F1271" t="s">
        <v>44</v>
      </c>
      <c r="G1271" t="s">
        <v>100</v>
      </c>
      <c r="H1271" t="s">
        <v>62</v>
      </c>
      <c r="I1271" t="s">
        <v>63</v>
      </c>
      <c r="J1271" t="s">
        <v>34</v>
      </c>
      <c r="K1271">
        <v>10</v>
      </c>
      <c r="L1271">
        <v>46000</v>
      </c>
      <c r="M1271">
        <v>5</v>
      </c>
      <c r="N1271">
        <v>437000</v>
      </c>
      <c r="O1271" t="s">
        <v>73</v>
      </c>
      <c r="P1271">
        <v>4</v>
      </c>
      <c r="Q1271" t="s">
        <v>26</v>
      </c>
    </row>
    <row r="1272" spans="1:17" x14ac:dyDescent="0.3">
      <c r="A1272" t="s">
        <v>2272</v>
      </c>
      <c r="B1272" t="s">
        <v>2235</v>
      </c>
      <c r="C1272" t="s">
        <v>29</v>
      </c>
      <c r="D1272" t="s">
        <v>39</v>
      </c>
      <c r="E1272">
        <v>19</v>
      </c>
      <c r="F1272" t="s">
        <v>77</v>
      </c>
      <c r="G1272" t="s">
        <v>78</v>
      </c>
      <c r="H1272" t="s">
        <v>62</v>
      </c>
      <c r="I1272" t="s">
        <v>140</v>
      </c>
      <c r="J1272" t="s">
        <v>72</v>
      </c>
      <c r="K1272">
        <v>10</v>
      </c>
      <c r="L1272">
        <v>38200</v>
      </c>
      <c r="M1272">
        <v>20</v>
      </c>
      <c r="N1272">
        <v>305600</v>
      </c>
      <c r="O1272" t="s">
        <v>48</v>
      </c>
      <c r="P1272">
        <v>5</v>
      </c>
      <c r="Q1272" t="s">
        <v>26</v>
      </c>
    </row>
    <row r="1273" spans="1:17" x14ac:dyDescent="0.3">
      <c r="A1273" t="s">
        <v>2273</v>
      </c>
      <c r="B1273" t="s">
        <v>2274</v>
      </c>
      <c r="C1273" t="s">
        <v>121</v>
      </c>
      <c r="E1273">
        <v>46</v>
      </c>
      <c r="F1273" t="s">
        <v>77</v>
      </c>
      <c r="G1273" t="s">
        <v>78</v>
      </c>
      <c r="H1273" t="s">
        <v>62</v>
      </c>
      <c r="I1273" t="s">
        <v>63</v>
      </c>
      <c r="J1273" t="s">
        <v>24</v>
      </c>
      <c r="K1273">
        <v>10</v>
      </c>
      <c r="L1273">
        <v>17100</v>
      </c>
      <c r="M1273">
        <v>0</v>
      </c>
      <c r="N1273">
        <v>171000</v>
      </c>
      <c r="O1273" t="s">
        <v>105</v>
      </c>
      <c r="Q1273" t="s">
        <v>26</v>
      </c>
    </row>
    <row r="1274" spans="1:17" x14ac:dyDescent="0.3">
      <c r="A1274" t="s">
        <v>2275</v>
      </c>
      <c r="B1274" t="s">
        <v>1007</v>
      </c>
      <c r="C1274" t="s">
        <v>38</v>
      </c>
      <c r="D1274" t="s">
        <v>103</v>
      </c>
      <c r="E1274">
        <v>49</v>
      </c>
      <c r="F1274" t="s">
        <v>77</v>
      </c>
      <c r="G1274" t="s">
        <v>95</v>
      </c>
      <c r="H1274" t="s">
        <v>62</v>
      </c>
      <c r="I1274" t="s">
        <v>140</v>
      </c>
      <c r="J1274" t="s">
        <v>72</v>
      </c>
      <c r="K1274">
        <v>7</v>
      </c>
      <c r="L1274">
        <v>22100</v>
      </c>
      <c r="M1274">
        <v>15</v>
      </c>
      <c r="N1274">
        <v>131495</v>
      </c>
      <c r="O1274" t="s">
        <v>25</v>
      </c>
      <c r="P1274">
        <v>3</v>
      </c>
      <c r="Q1274" t="s">
        <v>65</v>
      </c>
    </row>
    <row r="1275" spans="1:17" x14ac:dyDescent="0.3">
      <c r="A1275" t="s">
        <v>2276</v>
      </c>
      <c r="B1275" t="s">
        <v>2277</v>
      </c>
      <c r="C1275" t="s">
        <v>88</v>
      </c>
      <c r="D1275" t="s">
        <v>20</v>
      </c>
      <c r="E1275">
        <v>21</v>
      </c>
      <c r="F1275" t="s">
        <v>21</v>
      </c>
      <c r="G1275" t="s">
        <v>21</v>
      </c>
      <c r="H1275" t="s">
        <v>32</v>
      </c>
      <c r="I1275" t="s">
        <v>33</v>
      </c>
      <c r="J1275" t="s">
        <v>89</v>
      </c>
      <c r="K1275">
        <v>7</v>
      </c>
      <c r="L1275">
        <v>45100</v>
      </c>
      <c r="M1275">
        <v>20</v>
      </c>
      <c r="N1275">
        <v>252560</v>
      </c>
      <c r="O1275" t="s">
        <v>35</v>
      </c>
      <c r="P1275">
        <v>1</v>
      </c>
      <c r="Q1275" t="s">
        <v>74</v>
      </c>
    </row>
    <row r="1276" spans="1:17" x14ac:dyDescent="0.3">
      <c r="A1276" t="s">
        <v>2278</v>
      </c>
      <c r="B1276" t="s">
        <v>2279</v>
      </c>
      <c r="C1276" t="s">
        <v>94</v>
      </c>
      <c r="E1276">
        <v>55</v>
      </c>
      <c r="F1276" t="s">
        <v>61</v>
      </c>
      <c r="G1276" t="s">
        <v>61</v>
      </c>
      <c r="H1276" t="s">
        <v>62</v>
      </c>
      <c r="I1276" t="s">
        <v>63</v>
      </c>
      <c r="J1276" t="s">
        <v>34</v>
      </c>
      <c r="K1276">
        <v>2</v>
      </c>
      <c r="L1276">
        <v>41400</v>
      </c>
      <c r="M1276">
        <v>10</v>
      </c>
      <c r="N1276">
        <v>74520</v>
      </c>
      <c r="O1276" t="s">
        <v>85</v>
      </c>
      <c r="P1276">
        <v>3</v>
      </c>
      <c r="Q1276" t="s">
        <v>65</v>
      </c>
    </row>
    <row r="1277" spans="1:17" x14ac:dyDescent="0.3">
      <c r="A1277" t="s">
        <v>2280</v>
      </c>
      <c r="B1277" t="s">
        <v>1615</v>
      </c>
      <c r="C1277" t="s">
        <v>19</v>
      </c>
      <c r="D1277" t="s">
        <v>20</v>
      </c>
      <c r="E1277">
        <v>25</v>
      </c>
      <c r="F1277" t="s">
        <v>61</v>
      </c>
      <c r="G1277" t="s">
        <v>61</v>
      </c>
      <c r="H1277" t="s">
        <v>46</v>
      </c>
      <c r="I1277" t="s">
        <v>47</v>
      </c>
      <c r="J1277" t="s">
        <v>89</v>
      </c>
      <c r="K1277">
        <v>8</v>
      </c>
      <c r="L1277">
        <v>3300</v>
      </c>
      <c r="M1277">
        <v>25</v>
      </c>
      <c r="N1277">
        <v>19800</v>
      </c>
      <c r="O1277" t="s">
        <v>35</v>
      </c>
      <c r="P1277">
        <v>2</v>
      </c>
      <c r="Q1277" t="s">
        <v>65</v>
      </c>
    </row>
    <row r="1278" spans="1:17" x14ac:dyDescent="0.3">
      <c r="A1278" t="s">
        <v>2281</v>
      </c>
      <c r="B1278" t="s">
        <v>2282</v>
      </c>
      <c r="C1278" t="s">
        <v>60</v>
      </c>
      <c r="D1278" t="s">
        <v>39</v>
      </c>
      <c r="E1278">
        <v>64</v>
      </c>
      <c r="F1278" t="s">
        <v>77</v>
      </c>
      <c r="G1278" t="s">
        <v>78</v>
      </c>
      <c r="H1278" t="s">
        <v>22</v>
      </c>
      <c r="I1278" t="s">
        <v>84</v>
      </c>
      <c r="J1278" t="s">
        <v>72</v>
      </c>
      <c r="K1278">
        <v>9</v>
      </c>
      <c r="L1278">
        <v>36800</v>
      </c>
      <c r="M1278">
        <v>10</v>
      </c>
      <c r="N1278">
        <v>298080</v>
      </c>
      <c r="O1278" t="s">
        <v>35</v>
      </c>
      <c r="P1278">
        <v>3</v>
      </c>
      <c r="Q1278" t="s">
        <v>65</v>
      </c>
    </row>
    <row r="1279" spans="1:17" x14ac:dyDescent="0.3">
      <c r="A1279" t="s">
        <v>2283</v>
      </c>
      <c r="B1279" t="s">
        <v>2284</v>
      </c>
      <c r="C1279" t="s">
        <v>121</v>
      </c>
      <c r="D1279" t="s">
        <v>103</v>
      </c>
      <c r="E1279">
        <v>63</v>
      </c>
      <c r="F1279" t="s">
        <v>21</v>
      </c>
      <c r="G1279" t="s">
        <v>21</v>
      </c>
      <c r="H1279" t="s">
        <v>32</v>
      </c>
      <c r="I1279" t="s">
        <v>33</v>
      </c>
      <c r="J1279" t="s">
        <v>72</v>
      </c>
      <c r="K1279">
        <v>10</v>
      </c>
      <c r="L1279">
        <v>12400</v>
      </c>
      <c r="M1279">
        <v>20</v>
      </c>
      <c r="N1279">
        <v>99200</v>
      </c>
      <c r="O1279" t="s">
        <v>73</v>
      </c>
      <c r="P1279">
        <v>2</v>
      </c>
      <c r="Q1279" t="s">
        <v>74</v>
      </c>
    </row>
    <row r="1280" spans="1:17" x14ac:dyDescent="0.3">
      <c r="A1280" t="s">
        <v>2285</v>
      </c>
      <c r="B1280" t="s">
        <v>2286</v>
      </c>
      <c r="C1280" t="s">
        <v>113</v>
      </c>
      <c r="D1280" t="s">
        <v>103</v>
      </c>
      <c r="E1280">
        <v>33</v>
      </c>
      <c r="F1280" t="s">
        <v>61</v>
      </c>
      <c r="G1280" t="s">
        <v>61</v>
      </c>
      <c r="H1280" t="s">
        <v>32</v>
      </c>
      <c r="I1280" t="s">
        <v>33</v>
      </c>
      <c r="J1280" t="s">
        <v>34</v>
      </c>
      <c r="K1280">
        <v>6</v>
      </c>
      <c r="L1280">
        <v>11900</v>
      </c>
      <c r="M1280">
        <v>0</v>
      </c>
      <c r="N1280">
        <v>71400</v>
      </c>
      <c r="O1280" t="s">
        <v>162</v>
      </c>
      <c r="P1280">
        <v>5</v>
      </c>
      <c r="Q1280" t="s">
        <v>74</v>
      </c>
    </row>
    <row r="1281" spans="1:17" x14ac:dyDescent="0.3">
      <c r="A1281" t="s">
        <v>2287</v>
      </c>
      <c r="B1281" t="s">
        <v>2288</v>
      </c>
      <c r="C1281" t="s">
        <v>94</v>
      </c>
      <c r="D1281" t="s">
        <v>103</v>
      </c>
      <c r="E1281">
        <v>57</v>
      </c>
      <c r="F1281" t="s">
        <v>61</v>
      </c>
      <c r="G1281" t="s">
        <v>61</v>
      </c>
      <c r="H1281" t="s">
        <v>32</v>
      </c>
      <c r="I1281" t="s">
        <v>53</v>
      </c>
      <c r="J1281" t="s">
        <v>80</v>
      </c>
      <c r="K1281">
        <v>3</v>
      </c>
      <c r="L1281">
        <v>18200</v>
      </c>
      <c r="M1281">
        <v>25</v>
      </c>
      <c r="N1281">
        <v>40950</v>
      </c>
      <c r="O1281" t="s">
        <v>48</v>
      </c>
      <c r="P1281">
        <v>4</v>
      </c>
      <c r="Q1281" t="s">
        <v>65</v>
      </c>
    </row>
    <row r="1282" spans="1:17" x14ac:dyDescent="0.3">
      <c r="A1282" t="s">
        <v>2289</v>
      </c>
      <c r="B1282" t="s">
        <v>2290</v>
      </c>
      <c r="C1282" t="s">
        <v>121</v>
      </c>
      <c r="D1282" t="s">
        <v>20</v>
      </c>
      <c r="E1282">
        <v>55</v>
      </c>
      <c r="F1282" t="s">
        <v>44</v>
      </c>
      <c r="G1282" t="s">
        <v>45</v>
      </c>
      <c r="H1282" t="s">
        <v>62</v>
      </c>
      <c r="I1282" t="s">
        <v>140</v>
      </c>
      <c r="J1282" t="s">
        <v>34</v>
      </c>
      <c r="K1282">
        <v>10</v>
      </c>
      <c r="L1282">
        <v>26300</v>
      </c>
      <c r="M1282">
        <v>10</v>
      </c>
      <c r="N1282">
        <v>236700</v>
      </c>
      <c r="O1282" t="s">
        <v>73</v>
      </c>
      <c r="P1282">
        <v>3</v>
      </c>
      <c r="Q1282" t="s">
        <v>41</v>
      </c>
    </row>
    <row r="1283" spans="1:17" x14ac:dyDescent="0.3">
      <c r="A1283" t="s">
        <v>2291</v>
      </c>
      <c r="B1283" t="s">
        <v>2265</v>
      </c>
      <c r="C1283" t="s">
        <v>60</v>
      </c>
      <c r="D1283" t="s">
        <v>83</v>
      </c>
      <c r="E1283">
        <v>19</v>
      </c>
      <c r="F1283" t="s">
        <v>44</v>
      </c>
      <c r="G1283" t="s">
        <v>45</v>
      </c>
      <c r="H1283" t="s">
        <v>46</v>
      </c>
      <c r="I1283" t="s">
        <v>79</v>
      </c>
      <c r="J1283" t="s">
        <v>24</v>
      </c>
      <c r="K1283">
        <v>9</v>
      </c>
      <c r="L1283">
        <v>15200</v>
      </c>
      <c r="M1283">
        <v>10</v>
      </c>
      <c r="N1283" t="s">
        <v>2292</v>
      </c>
      <c r="O1283" t="s">
        <v>105</v>
      </c>
      <c r="P1283">
        <v>5</v>
      </c>
      <c r="Q1283" t="s">
        <v>65</v>
      </c>
    </row>
    <row r="1284" spans="1:17" x14ac:dyDescent="0.3">
      <c r="A1284" t="s">
        <v>2293</v>
      </c>
      <c r="B1284" t="s">
        <v>2294</v>
      </c>
      <c r="C1284" t="s">
        <v>71</v>
      </c>
      <c r="E1284">
        <v>37</v>
      </c>
      <c r="F1284" t="s">
        <v>30</v>
      </c>
      <c r="G1284" t="s">
        <v>31</v>
      </c>
      <c r="H1284" t="s">
        <v>46</v>
      </c>
      <c r="I1284" t="s">
        <v>47</v>
      </c>
      <c r="J1284" t="s">
        <v>80</v>
      </c>
      <c r="K1284">
        <v>10</v>
      </c>
      <c r="L1284">
        <v>43700</v>
      </c>
      <c r="M1284">
        <v>10</v>
      </c>
      <c r="N1284" t="s">
        <v>2295</v>
      </c>
      <c r="O1284" t="s">
        <v>40</v>
      </c>
      <c r="P1284">
        <v>5</v>
      </c>
      <c r="Q1284" t="s">
        <v>65</v>
      </c>
    </row>
    <row r="1285" spans="1:17" x14ac:dyDescent="0.3">
      <c r="A1285" t="s">
        <v>2296</v>
      </c>
      <c r="B1285" t="s">
        <v>2297</v>
      </c>
      <c r="C1285" t="s">
        <v>113</v>
      </c>
      <c r="D1285" t="s">
        <v>20</v>
      </c>
      <c r="E1285">
        <v>-3</v>
      </c>
      <c r="F1285" t="s">
        <v>44</v>
      </c>
      <c r="G1285" t="s">
        <v>100</v>
      </c>
      <c r="H1285" t="s">
        <v>46</v>
      </c>
      <c r="I1285" t="s">
        <v>47</v>
      </c>
      <c r="J1285" t="s">
        <v>89</v>
      </c>
      <c r="K1285" t="s">
        <v>443</v>
      </c>
      <c r="L1285">
        <v>27500</v>
      </c>
      <c r="M1285">
        <v>5</v>
      </c>
      <c r="N1285">
        <v>261250</v>
      </c>
      <c r="O1285" t="s">
        <v>40</v>
      </c>
      <c r="P1285">
        <v>3</v>
      </c>
      <c r="Q1285" t="s">
        <v>26</v>
      </c>
    </row>
    <row r="1286" spans="1:17" x14ac:dyDescent="0.3">
      <c r="A1286" t="s">
        <v>2298</v>
      </c>
      <c r="B1286" t="s">
        <v>1435</v>
      </c>
      <c r="C1286" t="s">
        <v>60</v>
      </c>
      <c r="D1286" t="s">
        <v>39</v>
      </c>
      <c r="E1286">
        <v>35</v>
      </c>
      <c r="F1286" t="s">
        <v>51</v>
      </c>
      <c r="G1286" t="s">
        <v>104</v>
      </c>
      <c r="H1286" t="s">
        <v>32</v>
      </c>
      <c r="I1286" t="s">
        <v>33</v>
      </c>
      <c r="J1286" t="s">
        <v>89</v>
      </c>
      <c r="K1286">
        <v>8</v>
      </c>
      <c r="L1286">
        <v>28900</v>
      </c>
      <c r="M1286">
        <v>10</v>
      </c>
      <c r="N1286">
        <v>208080</v>
      </c>
      <c r="O1286" t="s">
        <v>25</v>
      </c>
      <c r="P1286">
        <v>3</v>
      </c>
      <c r="Q1286" t="s">
        <v>41</v>
      </c>
    </row>
    <row r="1287" spans="1:17" x14ac:dyDescent="0.3">
      <c r="A1287" t="s">
        <v>2299</v>
      </c>
      <c r="B1287" t="s">
        <v>2300</v>
      </c>
      <c r="C1287" t="s">
        <v>121</v>
      </c>
      <c r="E1287">
        <v>29</v>
      </c>
      <c r="F1287" t="s">
        <v>77</v>
      </c>
      <c r="G1287" t="s">
        <v>78</v>
      </c>
      <c r="H1287" t="s">
        <v>32</v>
      </c>
      <c r="I1287" t="s">
        <v>53</v>
      </c>
      <c r="J1287" t="s">
        <v>80</v>
      </c>
      <c r="K1287">
        <v>4</v>
      </c>
      <c r="L1287">
        <v>49400</v>
      </c>
      <c r="M1287">
        <v>25</v>
      </c>
      <c r="N1287">
        <v>148200</v>
      </c>
      <c r="O1287" t="s">
        <v>35</v>
      </c>
      <c r="Q1287" t="s">
        <v>41</v>
      </c>
    </row>
    <row r="1288" spans="1:17" x14ac:dyDescent="0.3">
      <c r="A1288" t="s">
        <v>2301</v>
      </c>
      <c r="B1288" t="s">
        <v>1137</v>
      </c>
      <c r="C1288" t="s">
        <v>19</v>
      </c>
      <c r="D1288" t="s">
        <v>83</v>
      </c>
      <c r="E1288">
        <v>39</v>
      </c>
      <c r="F1288" t="s">
        <v>44</v>
      </c>
      <c r="G1288" t="s">
        <v>45</v>
      </c>
      <c r="H1288" t="s">
        <v>32</v>
      </c>
      <c r="I1288" t="s">
        <v>33</v>
      </c>
      <c r="J1288" t="s">
        <v>24</v>
      </c>
      <c r="K1288">
        <v>9</v>
      </c>
      <c r="L1288">
        <v>38600</v>
      </c>
      <c r="M1288">
        <v>10</v>
      </c>
      <c r="N1288">
        <v>312660</v>
      </c>
      <c r="O1288" t="s">
        <v>40</v>
      </c>
      <c r="P1288">
        <v>3</v>
      </c>
      <c r="Q1288" t="s">
        <v>65</v>
      </c>
    </row>
    <row r="1289" spans="1:17" x14ac:dyDescent="0.3">
      <c r="A1289" t="s">
        <v>2302</v>
      </c>
      <c r="B1289" t="s">
        <v>769</v>
      </c>
      <c r="C1289" t="s">
        <v>19</v>
      </c>
      <c r="E1289">
        <v>42</v>
      </c>
      <c r="F1289" t="s">
        <v>21</v>
      </c>
      <c r="G1289" t="s">
        <v>21</v>
      </c>
      <c r="H1289" t="s">
        <v>22</v>
      </c>
      <c r="I1289" t="s">
        <v>84</v>
      </c>
      <c r="J1289" t="s">
        <v>80</v>
      </c>
      <c r="K1289">
        <v>7</v>
      </c>
      <c r="L1289">
        <v>35800</v>
      </c>
      <c r="M1289">
        <v>15</v>
      </c>
      <c r="N1289">
        <v>213010</v>
      </c>
      <c r="O1289" t="s">
        <v>48</v>
      </c>
      <c r="Q1289" t="s">
        <v>41</v>
      </c>
    </row>
    <row r="1290" spans="1:17" x14ac:dyDescent="0.3">
      <c r="A1290" t="s">
        <v>2303</v>
      </c>
      <c r="B1290" t="s">
        <v>2304</v>
      </c>
      <c r="C1290" t="s">
        <v>113</v>
      </c>
      <c r="D1290" t="s">
        <v>83</v>
      </c>
      <c r="E1290">
        <v>57</v>
      </c>
      <c r="F1290" t="s">
        <v>44</v>
      </c>
      <c r="G1290" t="s">
        <v>100</v>
      </c>
      <c r="H1290" t="s">
        <v>46</v>
      </c>
      <c r="I1290" t="s">
        <v>79</v>
      </c>
      <c r="J1290" t="s">
        <v>24</v>
      </c>
      <c r="K1290">
        <v>4</v>
      </c>
      <c r="L1290">
        <v>2100</v>
      </c>
      <c r="M1290">
        <v>15</v>
      </c>
      <c r="N1290">
        <v>7140</v>
      </c>
      <c r="O1290" t="s">
        <v>73</v>
      </c>
      <c r="P1290">
        <v>5</v>
      </c>
      <c r="Q1290" t="s">
        <v>74</v>
      </c>
    </row>
    <row r="1291" spans="1:17" x14ac:dyDescent="0.3">
      <c r="A1291" t="s">
        <v>2305</v>
      </c>
      <c r="B1291" t="s">
        <v>637</v>
      </c>
      <c r="C1291" t="s">
        <v>68</v>
      </c>
      <c r="D1291" t="s">
        <v>20</v>
      </c>
      <c r="E1291">
        <v>27</v>
      </c>
      <c r="F1291" t="s">
        <v>44</v>
      </c>
      <c r="G1291" t="s">
        <v>45</v>
      </c>
      <c r="H1291" t="s">
        <v>62</v>
      </c>
      <c r="I1291" t="s">
        <v>63</v>
      </c>
      <c r="J1291" t="s">
        <v>24</v>
      </c>
      <c r="K1291">
        <v>9</v>
      </c>
      <c r="L1291">
        <v>47800</v>
      </c>
      <c r="M1291">
        <v>0</v>
      </c>
      <c r="N1291">
        <v>430200</v>
      </c>
      <c r="O1291" t="s">
        <v>40</v>
      </c>
      <c r="P1291">
        <v>2</v>
      </c>
      <c r="Q1291" t="s">
        <v>65</v>
      </c>
    </row>
    <row r="1292" spans="1:17" x14ac:dyDescent="0.3">
      <c r="A1292" t="s">
        <v>2306</v>
      </c>
      <c r="B1292" t="s">
        <v>2307</v>
      </c>
      <c r="C1292" t="s">
        <v>60</v>
      </c>
      <c r="E1292">
        <v>55</v>
      </c>
      <c r="F1292" t="s">
        <v>77</v>
      </c>
      <c r="G1292" t="s">
        <v>78</v>
      </c>
      <c r="H1292" t="s">
        <v>46</v>
      </c>
      <c r="I1292" t="s">
        <v>79</v>
      </c>
      <c r="J1292" t="s">
        <v>24</v>
      </c>
      <c r="K1292">
        <v>1</v>
      </c>
      <c r="L1292">
        <v>19900</v>
      </c>
      <c r="M1292">
        <v>0</v>
      </c>
      <c r="N1292">
        <v>19900</v>
      </c>
      <c r="O1292" t="s">
        <v>73</v>
      </c>
      <c r="P1292">
        <v>4</v>
      </c>
      <c r="Q1292" t="s">
        <v>74</v>
      </c>
    </row>
    <row r="1293" spans="1:17" x14ac:dyDescent="0.3">
      <c r="A1293" t="s">
        <v>2308</v>
      </c>
      <c r="B1293" t="s">
        <v>1439</v>
      </c>
      <c r="C1293" t="s">
        <v>68</v>
      </c>
      <c r="D1293" t="s">
        <v>20</v>
      </c>
      <c r="E1293">
        <v>39</v>
      </c>
      <c r="F1293" t="s">
        <v>61</v>
      </c>
      <c r="G1293" t="s">
        <v>61</v>
      </c>
      <c r="H1293" t="s">
        <v>62</v>
      </c>
      <c r="I1293" t="s">
        <v>140</v>
      </c>
      <c r="J1293" t="s">
        <v>64</v>
      </c>
      <c r="K1293">
        <v>9</v>
      </c>
      <c r="L1293">
        <v>44800</v>
      </c>
      <c r="M1293">
        <v>0</v>
      </c>
      <c r="N1293">
        <v>403200</v>
      </c>
      <c r="O1293" t="s">
        <v>40</v>
      </c>
      <c r="Q1293" t="s">
        <v>65</v>
      </c>
    </row>
    <row r="1294" spans="1:17" x14ac:dyDescent="0.3">
      <c r="A1294" t="s">
        <v>2309</v>
      </c>
      <c r="B1294" t="s">
        <v>2310</v>
      </c>
      <c r="C1294" t="s">
        <v>121</v>
      </c>
      <c r="D1294" t="s">
        <v>39</v>
      </c>
      <c r="E1294">
        <v>54</v>
      </c>
      <c r="F1294" t="s">
        <v>1193</v>
      </c>
      <c r="G1294" t="s">
        <v>31</v>
      </c>
      <c r="H1294" t="s">
        <v>32</v>
      </c>
      <c r="I1294" t="s">
        <v>33</v>
      </c>
      <c r="J1294" t="s">
        <v>64</v>
      </c>
      <c r="K1294">
        <v>6</v>
      </c>
      <c r="L1294">
        <v>5900</v>
      </c>
      <c r="M1294">
        <v>15</v>
      </c>
      <c r="N1294">
        <v>30090</v>
      </c>
      <c r="O1294" t="s">
        <v>25</v>
      </c>
      <c r="P1294">
        <v>2</v>
      </c>
      <c r="Q1294" t="s">
        <v>26</v>
      </c>
    </row>
    <row r="1295" spans="1:17" x14ac:dyDescent="0.3">
      <c r="A1295" t="s">
        <v>2311</v>
      </c>
      <c r="B1295" t="s">
        <v>2312</v>
      </c>
      <c r="C1295" t="s">
        <v>113</v>
      </c>
      <c r="D1295" t="s">
        <v>103</v>
      </c>
      <c r="E1295">
        <v>43</v>
      </c>
      <c r="F1295" t="s">
        <v>30</v>
      </c>
      <c r="G1295" t="s">
        <v>57</v>
      </c>
      <c r="H1295" t="s">
        <v>62</v>
      </c>
      <c r="I1295" t="s">
        <v>63</v>
      </c>
      <c r="J1295" t="s">
        <v>64</v>
      </c>
      <c r="K1295">
        <v>5</v>
      </c>
      <c r="L1295">
        <v>44900</v>
      </c>
      <c r="M1295">
        <v>20</v>
      </c>
      <c r="N1295">
        <v>179600</v>
      </c>
      <c r="O1295" t="s">
        <v>73</v>
      </c>
      <c r="P1295">
        <v>5</v>
      </c>
      <c r="Q1295" t="s">
        <v>26</v>
      </c>
    </row>
    <row r="1296" spans="1:17" x14ac:dyDescent="0.3">
      <c r="A1296" t="s">
        <v>2313</v>
      </c>
      <c r="B1296" t="s">
        <v>828</v>
      </c>
      <c r="C1296" t="s">
        <v>60</v>
      </c>
      <c r="D1296" t="s">
        <v>83</v>
      </c>
      <c r="E1296">
        <v>52</v>
      </c>
      <c r="F1296" t="s">
        <v>30</v>
      </c>
      <c r="G1296" t="s">
        <v>31</v>
      </c>
      <c r="H1296" t="s">
        <v>62</v>
      </c>
      <c r="I1296" t="s">
        <v>63</v>
      </c>
      <c r="J1296" t="s">
        <v>34</v>
      </c>
      <c r="K1296">
        <v>2</v>
      </c>
      <c r="L1296">
        <v>32500</v>
      </c>
      <c r="M1296">
        <v>25</v>
      </c>
      <c r="N1296">
        <v>48750</v>
      </c>
      <c r="O1296" t="s">
        <v>73</v>
      </c>
      <c r="P1296">
        <v>1</v>
      </c>
      <c r="Q1296" t="s">
        <v>41</v>
      </c>
    </row>
    <row r="1297" spans="1:17" x14ac:dyDescent="0.3">
      <c r="A1297" t="s">
        <v>2314</v>
      </c>
      <c r="B1297" t="s">
        <v>2315</v>
      </c>
      <c r="C1297" t="s">
        <v>60</v>
      </c>
      <c r="E1297">
        <v>60</v>
      </c>
      <c r="F1297" t="s">
        <v>107</v>
      </c>
      <c r="G1297" t="s">
        <v>52</v>
      </c>
      <c r="H1297" t="s">
        <v>22</v>
      </c>
      <c r="I1297" t="s">
        <v>23</v>
      </c>
      <c r="J1297" t="s">
        <v>89</v>
      </c>
      <c r="K1297">
        <v>5</v>
      </c>
      <c r="L1297">
        <v>31600</v>
      </c>
      <c r="M1297">
        <v>0</v>
      </c>
      <c r="N1297">
        <v>158000</v>
      </c>
      <c r="O1297" t="s">
        <v>40</v>
      </c>
      <c r="P1297">
        <v>4</v>
      </c>
      <c r="Q1297" t="s">
        <v>74</v>
      </c>
    </row>
    <row r="1298" spans="1:17" x14ac:dyDescent="0.3">
      <c r="A1298" t="s">
        <v>2316</v>
      </c>
      <c r="B1298" t="s">
        <v>2317</v>
      </c>
      <c r="C1298" t="s">
        <v>113</v>
      </c>
      <c r="D1298" t="s">
        <v>20</v>
      </c>
      <c r="E1298">
        <v>32</v>
      </c>
      <c r="F1298" t="s">
        <v>77</v>
      </c>
      <c r="G1298" t="s">
        <v>78</v>
      </c>
      <c r="H1298" t="s">
        <v>46</v>
      </c>
      <c r="I1298" t="s">
        <v>79</v>
      </c>
      <c r="J1298" t="s">
        <v>24</v>
      </c>
      <c r="K1298">
        <v>2</v>
      </c>
      <c r="L1298">
        <v>49800</v>
      </c>
      <c r="M1298">
        <v>20</v>
      </c>
      <c r="N1298">
        <v>79680</v>
      </c>
      <c r="O1298" t="s">
        <v>40</v>
      </c>
      <c r="P1298">
        <v>4</v>
      </c>
      <c r="Q1298" t="s">
        <v>26</v>
      </c>
    </row>
    <row r="1299" spans="1:17" x14ac:dyDescent="0.3">
      <c r="A1299" t="s">
        <v>2318</v>
      </c>
      <c r="B1299" t="s">
        <v>2319</v>
      </c>
      <c r="C1299" t="s">
        <v>68</v>
      </c>
      <c r="D1299" t="s">
        <v>39</v>
      </c>
      <c r="E1299">
        <v>37</v>
      </c>
      <c r="F1299" t="s">
        <v>44</v>
      </c>
      <c r="G1299" t="s">
        <v>100</v>
      </c>
      <c r="H1299" t="s">
        <v>22</v>
      </c>
      <c r="I1299" t="s">
        <v>84</v>
      </c>
      <c r="J1299" t="s">
        <v>89</v>
      </c>
      <c r="K1299">
        <v>10</v>
      </c>
      <c r="L1299">
        <v>18800</v>
      </c>
      <c r="M1299">
        <v>25</v>
      </c>
      <c r="N1299">
        <v>141000</v>
      </c>
      <c r="O1299" t="s">
        <v>40</v>
      </c>
      <c r="P1299">
        <v>3</v>
      </c>
      <c r="Q1299" t="s">
        <v>65</v>
      </c>
    </row>
    <row r="1300" spans="1:17" x14ac:dyDescent="0.3">
      <c r="A1300" t="s">
        <v>2320</v>
      </c>
      <c r="B1300" t="s">
        <v>2321</v>
      </c>
      <c r="C1300" t="s">
        <v>19</v>
      </c>
      <c r="D1300" t="s">
        <v>83</v>
      </c>
      <c r="E1300">
        <v>60</v>
      </c>
      <c r="F1300" t="s">
        <v>51</v>
      </c>
      <c r="G1300" t="s">
        <v>104</v>
      </c>
      <c r="H1300" t="s">
        <v>46</v>
      </c>
      <c r="I1300" t="s">
        <v>79</v>
      </c>
      <c r="J1300" t="s">
        <v>64</v>
      </c>
      <c r="K1300">
        <v>7</v>
      </c>
      <c r="L1300">
        <v>13900</v>
      </c>
      <c r="M1300">
        <v>20</v>
      </c>
      <c r="N1300">
        <v>77840</v>
      </c>
      <c r="O1300" t="s">
        <v>85</v>
      </c>
      <c r="P1300">
        <v>4</v>
      </c>
      <c r="Q1300" t="s">
        <v>41</v>
      </c>
    </row>
    <row r="1301" spans="1:17" x14ac:dyDescent="0.3">
      <c r="A1301" t="s">
        <v>2322</v>
      </c>
      <c r="B1301" t="s">
        <v>2323</v>
      </c>
      <c r="C1301" t="s">
        <v>88</v>
      </c>
      <c r="E1301">
        <v>63</v>
      </c>
      <c r="F1301" t="s">
        <v>77</v>
      </c>
      <c r="G1301" t="s">
        <v>95</v>
      </c>
      <c r="H1301" t="s">
        <v>32</v>
      </c>
      <c r="I1301" t="s">
        <v>33</v>
      </c>
      <c r="J1301" t="s">
        <v>24</v>
      </c>
      <c r="K1301">
        <v>1</v>
      </c>
      <c r="L1301">
        <v>22400</v>
      </c>
      <c r="M1301">
        <v>5</v>
      </c>
      <c r="N1301">
        <v>21280</v>
      </c>
      <c r="O1301" t="s">
        <v>35</v>
      </c>
      <c r="P1301">
        <v>5</v>
      </c>
      <c r="Q1301" t="s">
        <v>74</v>
      </c>
    </row>
    <row r="1302" spans="1:17" x14ac:dyDescent="0.3">
      <c r="A1302" t="s">
        <v>2324</v>
      </c>
      <c r="B1302" t="s">
        <v>2325</v>
      </c>
      <c r="C1302" t="s">
        <v>113</v>
      </c>
      <c r="D1302" t="s">
        <v>103</v>
      </c>
      <c r="E1302">
        <v>34</v>
      </c>
      <c r="F1302" t="s">
        <v>202</v>
      </c>
      <c r="G1302" t="s">
        <v>52</v>
      </c>
      <c r="H1302" t="s">
        <v>32</v>
      </c>
      <c r="I1302" t="s">
        <v>33</v>
      </c>
      <c r="J1302" t="s">
        <v>24</v>
      </c>
      <c r="K1302">
        <v>2</v>
      </c>
      <c r="L1302">
        <v>20100</v>
      </c>
      <c r="M1302">
        <v>5</v>
      </c>
      <c r="N1302">
        <v>38190</v>
      </c>
      <c r="O1302" t="s">
        <v>35</v>
      </c>
      <c r="P1302">
        <v>1</v>
      </c>
      <c r="Q1302" t="s">
        <v>41</v>
      </c>
    </row>
    <row r="1303" spans="1:17" x14ac:dyDescent="0.3">
      <c r="A1303" t="s">
        <v>2326</v>
      </c>
      <c r="B1303" t="s">
        <v>120</v>
      </c>
      <c r="C1303" t="s">
        <v>68</v>
      </c>
      <c r="D1303" t="s">
        <v>20</v>
      </c>
      <c r="E1303">
        <v>46</v>
      </c>
      <c r="F1303" t="s">
        <v>61</v>
      </c>
      <c r="G1303" t="s">
        <v>61</v>
      </c>
      <c r="H1303" t="s">
        <v>46</v>
      </c>
      <c r="I1303" t="s">
        <v>47</v>
      </c>
      <c r="J1303" t="s">
        <v>64</v>
      </c>
      <c r="K1303">
        <v>1</v>
      </c>
      <c r="L1303">
        <v>45500</v>
      </c>
      <c r="M1303">
        <v>15</v>
      </c>
      <c r="N1303">
        <v>38675</v>
      </c>
      <c r="O1303" t="s">
        <v>105</v>
      </c>
      <c r="Q1303" t="s">
        <v>74</v>
      </c>
    </row>
    <row r="1304" spans="1:17" x14ac:dyDescent="0.3">
      <c r="A1304" t="s">
        <v>2327</v>
      </c>
      <c r="B1304" t="s">
        <v>2328</v>
      </c>
      <c r="C1304" t="s">
        <v>68</v>
      </c>
      <c r="D1304" t="s">
        <v>103</v>
      </c>
      <c r="E1304">
        <v>28</v>
      </c>
      <c r="F1304" t="s">
        <v>51</v>
      </c>
      <c r="G1304" t="s">
        <v>104</v>
      </c>
      <c r="H1304" t="s">
        <v>46</v>
      </c>
      <c r="I1304" t="s">
        <v>79</v>
      </c>
      <c r="J1304" t="s">
        <v>89</v>
      </c>
      <c r="K1304">
        <v>10</v>
      </c>
      <c r="L1304">
        <v>39100</v>
      </c>
      <c r="M1304">
        <v>25</v>
      </c>
      <c r="N1304" t="s">
        <v>2329</v>
      </c>
      <c r="O1304" t="s">
        <v>48</v>
      </c>
      <c r="Q1304" t="s">
        <v>65</v>
      </c>
    </row>
    <row r="1305" spans="1:17" x14ac:dyDescent="0.3">
      <c r="A1305" t="s">
        <v>2330</v>
      </c>
      <c r="B1305" t="s">
        <v>2331</v>
      </c>
      <c r="C1305" t="s">
        <v>29</v>
      </c>
      <c r="D1305" t="s">
        <v>20</v>
      </c>
      <c r="E1305">
        <v>55</v>
      </c>
      <c r="F1305" t="s">
        <v>51</v>
      </c>
      <c r="G1305" t="s">
        <v>52</v>
      </c>
      <c r="H1305" t="s">
        <v>22</v>
      </c>
      <c r="I1305" t="s">
        <v>84</v>
      </c>
      <c r="J1305" t="s">
        <v>64</v>
      </c>
      <c r="K1305">
        <v>3</v>
      </c>
      <c r="L1305">
        <v>19700</v>
      </c>
      <c r="M1305">
        <v>5</v>
      </c>
      <c r="N1305">
        <v>56145</v>
      </c>
      <c r="O1305" t="s">
        <v>35</v>
      </c>
      <c r="P1305">
        <v>1</v>
      </c>
      <c r="Q1305" t="s">
        <v>74</v>
      </c>
    </row>
    <row r="1306" spans="1:17" x14ac:dyDescent="0.3">
      <c r="A1306" t="s">
        <v>2332</v>
      </c>
      <c r="B1306" t="s">
        <v>2233</v>
      </c>
      <c r="C1306" t="s">
        <v>29</v>
      </c>
      <c r="D1306" t="s">
        <v>83</v>
      </c>
      <c r="E1306">
        <v>54</v>
      </c>
      <c r="F1306" t="s">
        <v>30</v>
      </c>
      <c r="G1306" t="s">
        <v>57</v>
      </c>
      <c r="H1306" t="s">
        <v>62</v>
      </c>
      <c r="I1306" t="s">
        <v>63</v>
      </c>
      <c r="J1306" t="s">
        <v>80</v>
      </c>
      <c r="K1306">
        <v>8</v>
      </c>
      <c r="L1306">
        <v>26600</v>
      </c>
      <c r="M1306">
        <v>20</v>
      </c>
      <c r="N1306">
        <v>170240</v>
      </c>
      <c r="O1306" t="s">
        <v>25</v>
      </c>
      <c r="Q1306" t="s">
        <v>65</v>
      </c>
    </row>
    <row r="1307" spans="1:17" x14ac:dyDescent="0.3">
      <c r="A1307" t="s">
        <v>2333</v>
      </c>
      <c r="B1307" t="s">
        <v>2334</v>
      </c>
      <c r="C1307" t="s">
        <v>121</v>
      </c>
      <c r="E1307">
        <v>41</v>
      </c>
      <c r="F1307" t="s">
        <v>44</v>
      </c>
      <c r="G1307" t="s">
        <v>100</v>
      </c>
      <c r="H1307" t="s">
        <v>62</v>
      </c>
      <c r="I1307" t="s">
        <v>140</v>
      </c>
      <c r="J1307" t="s">
        <v>34</v>
      </c>
      <c r="K1307">
        <v>1</v>
      </c>
      <c r="L1307">
        <v>40500</v>
      </c>
      <c r="M1307">
        <v>15</v>
      </c>
      <c r="N1307">
        <v>34425</v>
      </c>
      <c r="O1307" t="s">
        <v>40</v>
      </c>
      <c r="Q1307" t="s">
        <v>65</v>
      </c>
    </row>
    <row r="1308" spans="1:17" x14ac:dyDescent="0.3">
      <c r="A1308" t="s">
        <v>2335</v>
      </c>
      <c r="B1308" t="s">
        <v>2336</v>
      </c>
      <c r="C1308" t="s">
        <v>68</v>
      </c>
      <c r="D1308" t="s">
        <v>20</v>
      </c>
      <c r="E1308">
        <v>60</v>
      </c>
      <c r="F1308" t="s">
        <v>51</v>
      </c>
      <c r="G1308" t="s">
        <v>52</v>
      </c>
      <c r="H1308" t="s">
        <v>32</v>
      </c>
      <c r="I1308" t="s">
        <v>33</v>
      </c>
      <c r="J1308" t="s">
        <v>64</v>
      </c>
      <c r="K1308">
        <v>8</v>
      </c>
      <c r="L1308">
        <v>29700</v>
      </c>
      <c r="M1308">
        <v>20</v>
      </c>
      <c r="N1308" t="s">
        <v>2337</v>
      </c>
      <c r="O1308" t="s">
        <v>48</v>
      </c>
      <c r="P1308">
        <v>4</v>
      </c>
      <c r="Q1308" t="s">
        <v>65</v>
      </c>
    </row>
    <row r="1309" spans="1:17" x14ac:dyDescent="0.3">
      <c r="A1309" t="s">
        <v>2338</v>
      </c>
      <c r="B1309" t="s">
        <v>607</v>
      </c>
      <c r="C1309" t="s">
        <v>29</v>
      </c>
      <c r="D1309" t="s">
        <v>39</v>
      </c>
      <c r="E1309">
        <v>37</v>
      </c>
      <c r="F1309" t="s">
        <v>427</v>
      </c>
      <c r="G1309" t="s">
        <v>78</v>
      </c>
      <c r="H1309" t="s">
        <v>62</v>
      </c>
      <c r="I1309" t="s">
        <v>63</v>
      </c>
      <c r="J1309" t="s">
        <v>64</v>
      </c>
      <c r="K1309">
        <v>9</v>
      </c>
      <c r="L1309">
        <v>24400</v>
      </c>
      <c r="M1309">
        <v>15</v>
      </c>
      <c r="N1309">
        <v>186660</v>
      </c>
      <c r="O1309" t="s">
        <v>40</v>
      </c>
      <c r="P1309">
        <v>2</v>
      </c>
      <c r="Q1309" t="s">
        <v>65</v>
      </c>
    </row>
    <row r="1310" spans="1:17" x14ac:dyDescent="0.3">
      <c r="A1310" t="s">
        <v>2339</v>
      </c>
      <c r="B1310" t="s">
        <v>2340</v>
      </c>
      <c r="C1310" t="s">
        <v>60</v>
      </c>
      <c r="D1310" t="s">
        <v>39</v>
      </c>
      <c r="E1310">
        <v>63</v>
      </c>
      <c r="F1310" t="s">
        <v>1122</v>
      </c>
      <c r="G1310" t="s">
        <v>78</v>
      </c>
      <c r="H1310" t="s">
        <v>46</v>
      </c>
      <c r="I1310" t="s">
        <v>47</v>
      </c>
      <c r="J1310" t="s">
        <v>89</v>
      </c>
      <c r="K1310">
        <v>7</v>
      </c>
      <c r="L1310">
        <v>47500</v>
      </c>
      <c r="M1310">
        <v>15</v>
      </c>
      <c r="N1310">
        <v>282625</v>
      </c>
      <c r="O1310" t="s">
        <v>73</v>
      </c>
      <c r="Q1310" t="s">
        <v>41</v>
      </c>
    </row>
    <row r="1311" spans="1:17" x14ac:dyDescent="0.3">
      <c r="A1311" t="s">
        <v>2341</v>
      </c>
      <c r="B1311" t="s">
        <v>2342</v>
      </c>
      <c r="C1311" t="s">
        <v>94</v>
      </c>
      <c r="E1311">
        <v>24</v>
      </c>
      <c r="F1311" t="s">
        <v>21</v>
      </c>
      <c r="G1311" t="s">
        <v>21</v>
      </c>
      <c r="H1311" t="s">
        <v>46</v>
      </c>
      <c r="I1311" t="s">
        <v>47</v>
      </c>
      <c r="J1311" t="s">
        <v>80</v>
      </c>
      <c r="K1311">
        <v>5</v>
      </c>
      <c r="L1311">
        <v>3600</v>
      </c>
      <c r="M1311">
        <v>25</v>
      </c>
      <c r="N1311">
        <v>13500</v>
      </c>
      <c r="O1311" t="s">
        <v>105</v>
      </c>
      <c r="Q1311" t="s">
        <v>41</v>
      </c>
    </row>
    <row r="1312" spans="1:17" x14ac:dyDescent="0.3">
      <c r="A1312" t="s">
        <v>2343</v>
      </c>
      <c r="B1312" t="s">
        <v>2344</v>
      </c>
      <c r="C1312" t="s">
        <v>88</v>
      </c>
      <c r="E1312">
        <v>53</v>
      </c>
      <c r="F1312" t="s">
        <v>51</v>
      </c>
      <c r="G1312" t="s">
        <v>52</v>
      </c>
      <c r="H1312" t="s">
        <v>455</v>
      </c>
      <c r="I1312" t="s">
        <v>63</v>
      </c>
      <c r="J1312" t="s">
        <v>89</v>
      </c>
      <c r="K1312">
        <v>8</v>
      </c>
      <c r="L1312">
        <v>4800</v>
      </c>
      <c r="M1312">
        <v>0</v>
      </c>
      <c r="N1312">
        <v>38400</v>
      </c>
      <c r="O1312" t="s">
        <v>35</v>
      </c>
      <c r="Q1312" t="s">
        <v>41</v>
      </c>
    </row>
    <row r="1313" spans="1:17" x14ac:dyDescent="0.3">
      <c r="A1313" t="s">
        <v>2345</v>
      </c>
      <c r="B1313" t="s">
        <v>206</v>
      </c>
      <c r="C1313" t="s">
        <v>60</v>
      </c>
      <c r="D1313" t="s">
        <v>83</v>
      </c>
      <c r="E1313">
        <v>28</v>
      </c>
      <c r="F1313" t="s">
        <v>51</v>
      </c>
      <c r="G1313" t="s">
        <v>104</v>
      </c>
      <c r="H1313" t="s">
        <v>22</v>
      </c>
      <c r="I1313" t="s">
        <v>84</v>
      </c>
      <c r="J1313" t="s">
        <v>72</v>
      </c>
      <c r="K1313">
        <v>6</v>
      </c>
      <c r="L1313">
        <v>24600</v>
      </c>
      <c r="M1313">
        <v>10</v>
      </c>
      <c r="N1313">
        <v>132840</v>
      </c>
      <c r="O1313" t="s">
        <v>25</v>
      </c>
      <c r="P1313">
        <v>4</v>
      </c>
      <c r="Q1313" t="s">
        <v>74</v>
      </c>
    </row>
    <row r="1314" spans="1:17" x14ac:dyDescent="0.3">
      <c r="A1314" t="s">
        <v>2346</v>
      </c>
      <c r="B1314" t="s">
        <v>1139</v>
      </c>
      <c r="C1314" t="s">
        <v>121</v>
      </c>
      <c r="D1314" t="s">
        <v>103</v>
      </c>
      <c r="E1314">
        <v>19</v>
      </c>
      <c r="F1314" t="s">
        <v>51</v>
      </c>
      <c r="G1314" t="s">
        <v>52</v>
      </c>
      <c r="H1314" t="s">
        <v>62</v>
      </c>
      <c r="I1314" t="s">
        <v>140</v>
      </c>
      <c r="J1314" t="s">
        <v>89</v>
      </c>
      <c r="K1314">
        <v>1</v>
      </c>
      <c r="L1314">
        <v>6100</v>
      </c>
      <c r="M1314">
        <v>5</v>
      </c>
      <c r="N1314">
        <v>5795</v>
      </c>
      <c r="O1314" t="s">
        <v>35</v>
      </c>
      <c r="P1314">
        <v>4</v>
      </c>
      <c r="Q1314" t="s">
        <v>74</v>
      </c>
    </row>
    <row r="1315" spans="1:17" x14ac:dyDescent="0.3">
      <c r="A1315" t="s">
        <v>2347</v>
      </c>
      <c r="B1315" t="s">
        <v>2348</v>
      </c>
      <c r="C1315" t="s">
        <v>71</v>
      </c>
      <c r="D1315" t="s">
        <v>39</v>
      </c>
      <c r="E1315">
        <v>46</v>
      </c>
      <c r="F1315" t="s">
        <v>30</v>
      </c>
      <c r="G1315" t="s">
        <v>31</v>
      </c>
      <c r="H1315" t="s">
        <v>46</v>
      </c>
      <c r="I1315" t="s">
        <v>47</v>
      </c>
      <c r="J1315" t="s">
        <v>34</v>
      </c>
      <c r="K1315">
        <v>4</v>
      </c>
      <c r="L1315">
        <v>3100</v>
      </c>
      <c r="M1315">
        <v>15</v>
      </c>
      <c r="N1315">
        <v>10540</v>
      </c>
      <c r="O1315" t="s">
        <v>48</v>
      </c>
      <c r="P1315">
        <v>4</v>
      </c>
      <c r="Q1315" t="s">
        <v>65</v>
      </c>
    </row>
    <row r="1316" spans="1:17" x14ac:dyDescent="0.3">
      <c r="A1316" t="s">
        <v>2349</v>
      </c>
      <c r="B1316" t="s">
        <v>1792</v>
      </c>
      <c r="C1316" t="s">
        <v>121</v>
      </c>
      <c r="E1316">
        <v>150</v>
      </c>
      <c r="F1316" t="s">
        <v>61</v>
      </c>
      <c r="G1316" t="s">
        <v>61</v>
      </c>
      <c r="H1316" t="s">
        <v>32</v>
      </c>
      <c r="I1316" t="s">
        <v>53</v>
      </c>
      <c r="J1316" t="s">
        <v>24</v>
      </c>
      <c r="K1316">
        <v>10</v>
      </c>
      <c r="L1316">
        <v>45400</v>
      </c>
      <c r="M1316">
        <v>5</v>
      </c>
      <c r="N1316">
        <v>431300</v>
      </c>
      <c r="O1316" t="s">
        <v>105</v>
      </c>
      <c r="Q1316" t="s">
        <v>26</v>
      </c>
    </row>
    <row r="1317" spans="1:17" x14ac:dyDescent="0.3">
      <c r="A1317" t="s">
        <v>2350</v>
      </c>
      <c r="B1317" t="s">
        <v>2351</v>
      </c>
      <c r="C1317" t="s">
        <v>88</v>
      </c>
      <c r="D1317" t="s">
        <v>103</v>
      </c>
      <c r="E1317">
        <v>23</v>
      </c>
      <c r="F1317" t="s">
        <v>51</v>
      </c>
      <c r="G1317" t="s">
        <v>104</v>
      </c>
      <c r="H1317" t="s">
        <v>46</v>
      </c>
      <c r="I1317" t="s">
        <v>79</v>
      </c>
      <c r="J1317" t="s">
        <v>80</v>
      </c>
      <c r="K1317">
        <v>5</v>
      </c>
      <c r="L1317">
        <v>30600</v>
      </c>
      <c r="M1317">
        <v>25</v>
      </c>
      <c r="N1317">
        <v>114750</v>
      </c>
      <c r="O1317" t="s">
        <v>48</v>
      </c>
      <c r="P1317">
        <v>1</v>
      </c>
      <c r="Q1317" t="s">
        <v>65</v>
      </c>
    </row>
    <row r="1318" spans="1:17" x14ac:dyDescent="0.3">
      <c r="A1318" t="s">
        <v>2352</v>
      </c>
      <c r="B1318" t="s">
        <v>446</v>
      </c>
      <c r="C1318" t="s">
        <v>29</v>
      </c>
      <c r="D1318" t="s">
        <v>103</v>
      </c>
      <c r="E1318">
        <v>37</v>
      </c>
      <c r="F1318" t="s">
        <v>44</v>
      </c>
      <c r="G1318" t="s">
        <v>100</v>
      </c>
      <c r="H1318" t="s">
        <v>62</v>
      </c>
      <c r="I1318" t="s">
        <v>63</v>
      </c>
      <c r="J1318" t="s">
        <v>72</v>
      </c>
      <c r="K1318">
        <v>2</v>
      </c>
      <c r="L1318">
        <v>2100</v>
      </c>
      <c r="M1318">
        <v>25</v>
      </c>
      <c r="N1318">
        <v>3150</v>
      </c>
      <c r="O1318" t="s">
        <v>40</v>
      </c>
      <c r="P1318">
        <v>4</v>
      </c>
      <c r="Q1318" t="s">
        <v>74</v>
      </c>
    </row>
    <row r="1319" spans="1:17" x14ac:dyDescent="0.3">
      <c r="A1319" t="s">
        <v>2353</v>
      </c>
      <c r="B1319" t="s">
        <v>2189</v>
      </c>
      <c r="C1319" t="s">
        <v>113</v>
      </c>
      <c r="E1319">
        <v>23</v>
      </c>
      <c r="F1319" t="s">
        <v>30</v>
      </c>
      <c r="G1319" t="s">
        <v>57</v>
      </c>
      <c r="H1319" t="s">
        <v>32</v>
      </c>
      <c r="I1319" t="s">
        <v>33</v>
      </c>
      <c r="J1319" t="s">
        <v>34</v>
      </c>
      <c r="K1319">
        <v>8</v>
      </c>
      <c r="L1319">
        <v>10800</v>
      </c>
      <c r="M1319">
        <v>5</v>
      </c>
      <c r="N1319">
        <v>82080</v>
      </c>
      <c r="O1319" t="s">
        <v>35</v>
      </c>
      <c r="Q1319" t="s">
        <v>74</v>
      </c>
    </row>
    <row r="1320" spans="1:17" x14ac:dyDescent="0.3">
      <c r="A1320" t="s">
        <v>2354</v>
      </c>
      <c r="B1320" t="s">
        <v>1110</v>
      </c>
      <c r="C1320" t="s">
        <v>38</v>
      </c>
      <c r="E1320">
        <v>32</v>
      </c>
      <c r="F1320" t="s">
        <v>21</v>
      </c>
      <c r="G1320" t="s">
        <v>21</v>
      </c>
      <c r="H1320" t="s">
        <v>62</v>
      </c>
      <c r="I1320" t="s">
        <v>63</v>
      </c>
      <c r="J1320" t="s">
        <v>80</v>
      </c>
      <c r="K1320">
        <v>7</v>
      </c>
      <c r="L1320">
        <v>25300</v>
      </c>
      <c r="M1320">
        <v>25</v>
      </c>
      <c r="N1320">
        <v>132825</v>
      </c>
      <c r="O1320" t="s">
        <v>85</v>
      </c>
      <c r="P1320">
        <v>1</v>
      </c>
      <c r="Q1320" t="s">
        <v>41</v>
      </c>
    </row>
    <row r="1321" spans="1:17" x14ac:dyDescent="0.3">
      <c r="A1321" t="s">
        <v>2355</v>
      </c>
      <c r="B1321" t="s">
        <v>2356</v>
      </c>
      <c r="C1321" t="s">
        <v>94</v>
      </c>
      <c r="D1321" t="s">
        <v>39</v>
      </c>
      <c r="E1321">
        <v>56</v>
      </c>
      <c r="F1321" t="s">
        <v>44</v>
      </c>
      <c r="G1321" t="s">
        <v>100</v>
      </c>
      <c r="H1321" t="s">
        <v>46</v>
      </c>
      <c r="I1321" t="s">
        <v>79</v>
      </c>
      <c r="J1321" t="s">
        <v>34</v>
      </c>
      <c r="K1321">
        <v>1</v>
      </c>
      <c r="L1321">
        <v>41500</v>
      </c>
      <c r="M1321">
        <v>5</v>
      </c>
      <c r="N1321">
        <v>39425</v>
      </c>
      <c r="O1321" t="s">
        <v>73</v>
      </c>
      <c r="Q1321" t="s">
        <v>26</v>
      </c>
    </row>
    <row r="1322" spans="1:17" x14ac:dyDescent="0.3">
      <c r="A1322" t="s">
        <v>2357</v>
      </c>
      <c r="B1322" t="s">
        <v>482</v>
      </c>
      <c r="C1322" t="s">
        <v>19</v>
      </c>
      <c r="E1322">
        <v>35</v>
      </c>
      <c r="F1322" t="s">
        <v>61</v>
      </c>
      <c r="G1322" t="s">
        <v>61</v>
      </c>
      <c r="H1322" t="s">
        <v>62</v>
      </c>
      <c r="I1322" t="s">
        <v>140</v>
      </c>
      <c r="J1322" t="s">
        <v>72</v>
      </c>
      <c r="K1322">
        <v>5</v>
      </c>
      <c r="L1322">
        <v>18700</v>
      </c>
      <c r="M1322">
        <v>15</v>
      </c>
      <c r="N1322" t="s">
        <v>2358</v>
      </c>
      <c r="O1322" t="s">
        <v>35</v>
      </c>
      <c r="P1322">
        <v>5</v>
      </c>
      <c r="Q1322" t="s">
        <v>26</v>
      </c>
    </row>
    <row r="1323" spans="1:17" x14ac:dyDescent="0.3">
      <c r="A1323" t="s">
        <v>2359</v>
      </c>
      <c r="B1323" t="s">
        <v>343</v>
      </c>
      <c r="C1323" t="s">
        <v>113</v>
      </c>
      <c r="D1323" t="s">
        <v>83</v>
      </c>
      <c r="E1323">
        <v>34</v>
      </c>
      <c r="F1323" t="s">
        <v>44</v>
      </c>
      <c r="G1323" t="s">
        <v>100</v>
      </c>
      <c r="H1323" t="s">
        <v>116</v>
      </c>
      <c r="I1323" t="s">
        <v>23</v>
      </c>
      <c r="J1323" t="s">
        <v>80</v>
      </c>
      <c r="K1323">
        <v>5</v>
      </c>
      <c r="L1323">
        <v>19600</v>
      </c>
      <c r="M1323">
        <v>5</v>
      </c>
      <c r="N1323">
        <v>93100</v>
      </c>
      <c r="O1323" t="s">
        <v>73</v>
      </c>
      <c r="Q1323" t="s">
        <v>65</v>
      </c>
    </row>
    <row r="1324" spans="1:17" x14ac:dyDescent="0.3">
      <c r="A1324" t="s">
        <v>2360</v>
      </c>
      <c r="B1324" t="s">
        <v>2361</v>
      </c>
      <c r="C1324" t="s">
        <v>68</v>
      </c>
      <c r="D1324" t="s">
        <v>83</v>
      </c>
      <c r="E1324">
        <v>21</v>
      </c>
      <c r="F1324" t="s">
        <v>44</v>
      </c>
      <c r="G1324" t="s">
        <v>45</v>
      </c>
      <c r="H1324" t="s">
        <v>62</v>
      </c>
      <c r="I1324" t="s">
        <v>63</v>
      </c>
      <c r="J1324" t="s">
        <v>80</v>
      </c>
      <c r="K1324">
        <v>1</v>
      </c>
      <c r="L1324">
        <v>37700</v>
      </c>
      <c r="M1324">
        <v>5</v>
      </c>
      <c r="N1324">
        <v>35815</v>
      </c>
      <c r="O1324" t="s">
        <v>105</v>
      </c>
      <c r="P1324">
        <v>5</v>
      </c>
      <c r="Q1324" t="s">
        <v>74</v>
      </c>
    </row>
    <row r="1325" spans="1:17" x14ac:dyDescent="0.3">
      <c r="A1325" t="s">
        <v>2362</v>
      </c>
      <c r="B1325" t="s">
        <v>2363</v>
      </c>
      <c r="C1325" t="s">
        <v>94</v>
      </c>
      <c r="D1325" t="s">
        <v>39</v>
      </c>
      <c r="E1325">
        <v>29</v>
      </c>
      <c r="F1325" t="s">
        <v>61</v>
      </c>
      <c r="G1325" t="s">
        <v>61</v>
      </c>
      <c r="H1325" t="s">
        <v>32</v>
      </c>
      <c r="I1325" t="s">
        <v>53</v>
      </c>
      <c r="J1325" t="s">
        <v>80</v>
      </c>
      <c r="K1325">
        <v>4</v>
      </c>
      <c r="L1325">
        <v>20400</v>
      </c>
      <c r="M1325">
        <v>5</v>
      </c>
      <c r="N1325">
        <v>77520</v>
      </c>
      <c r="O1325" t="s">
        <v>25</v>
      </c>
      <c r="Q1325" t="s">
        <v>65</v>
      </c>
    </row>
    <row r="1326" spans="1:17" x14ac:dyDescent="0.3">
      <c r="A1326" t="s">
        <v>2364</v>
      </c>
      <c r="B1326" t="s">
        <v>2365</v>
      </c>
      <c r="C1326" t="s">
        <v>88</v>
      </c>
      <c r="E1326">
        <v>59</v>
      </c>
      <c r="F1326" t="s">
        <v>61</v>
      </c>
      <c r="G1326" t="s">
        <v>61</v>
      </c>
      <c r="H1326" t="s">
        <v>32</v>
      </c>
      <c r="I1326" t="s">
        <v>53</v>
      </c>
      <c r="J1326" t="s">
        <v>24</v>
      </c>
      <c r="K1326">
        <v>6</v>
      </c>
      <c r="L1326">
        <v>8700</v>
      </c>
      <c r="M1326">
        <v>0</v>
      </c>
      <c r="N1326">
        <v>52200</v>
      </c>
      <c r="O1326" t="s">
        <v>40</v>
      </c>
      <c r="P1326">
        <v>5</v>
      </c>
      <c r="Q1326" t="s">
        <v>65</v>
      </c>
    </row>
    <row r="1327" spans="1:17" x14ac:dyDescent="0.3">
      <c r="A1327" t="s">
        <v>2366</v>
      </c>
      <c r="B1327" t="s">
        <v>625</v>
      </c>
      <c r="C1327" t="s">
        <v>38</v>
      </c>
      <c r="E1327">
        <v>55</v>
      </c>
      <c r="F1327" t="s">
        <v>51</v>
      </c>
      <c r="G1327" t="s">
        <v>104</v>
      </c>
      <c r="H1327" t="s">
        <v>46</v>
      </c>
      <c r="I1327" t="s">
        <v>47</v>
      </c>
      <c r="J1327" t="s">
        <v>34</v>
      </c>
      <c r="K1327">
        <v>6</v>
      </c>
      <c r="L1327">
        <v>39700</v>
      </c>
      <c r="M1327">
        <v>5</v>
      </c>
      <c r="N1327">
        <v>226290</v>
      </c>
      <c r="O1327" t="s">
        <v>85</v>
      </c>
      <c r="Q1327" t="s">
        <v>74</v>
      </c>
    </row>
    <row r="1328" spans="1:17" x14ac:dyDescent="0.3">
      <c r="A1328" t="s">
        <v>2367</v>
      </c>
      <c r="B1328" t="s">
        <v>183</v>
      </c>
      <c r="C1328" t="s">
        <v>113</v>
      </c>
      <c r="D1328" t="s">
        <v>39</v>
      </c>
      <c r="E1328">
        <v>35</v>
      </c>
      <c r="F1328" t="s">
        <v>1046</v>
      </c>
      <c r="G1328" t="s">
        <v>21</v>
      </c>
      <c r="H1328" t="s">
        <v>22</v>
      </c>
      <c r="I1328" t="s">
        <v>84</v>
      </c>
      <c r="J1328" t="s">
        <v>64</v>
      </c>
      <c r="K1328">
        <v>3</v>
      </c>
      <c r="L1328">
        <v>4400</v>
      </c>
      <c r="M1328">
        <v>25</v>
      </c>
      <c r="N1328">
        <v>9900</v>
      </c>
      <c r="O1328" t="s">
        <v>25</v>
      </c>
      <c r="Q1328" t="s">
        <v>74</v>
      </c>
    </row>
    <row r="1329" spans="1:17" x14ac:dyDescent="0.3">
      <c r="A1329" t="s">
        <v>2368</v>
      </c>
      <c r="B1329" t="s">
        <v>2240</v>
      </c>
      <c r="C1329" t="s">
        <v>71</v>
      </c>
      <c r="D1329" t="s">
        <v>103</v>
      </c>
      <c r="E1329">
        <v>60</v>
      </c>
      <c r="F1329" t="s">
        <v>21</v>
      </c>
      <c r="G1329" t="s">
        <v>21</v>
      </c>
      <c r="H1329" t="s">
        <v>46</v>
      </c>
      <c r="I1329" t="s">
        <v>47</v>
      </c>
      <c r="J1329" t="s">
        <v>89</v>
      </c>
      <c r="K1329">
        <v>3</v>
      </c>
      <c r="L1329">
        <v>23300</v>
      </c>
      <c r="M1329">
        <v>0</v>
      </c>
      <c r="N1329">
        <v>69900</v>
      </c>
      <c r="O1329" t="s">
        <v>105</v>
      </c>
      <c r="P1329">
        <v>2</v>
      </c>
      <c r="Q1329" t="s">
        <v>26</v>
      </c>
    </row>
    <row r="1330" spans="1:17" x14ac:dyDescent="0.3">
      <c r="A1330" t="s">
        <v>2369</v>
      </c>
      <c r="B1330" t="s">
        <v>1183</v>
      </c>
      <c r="C1330" t="s">
        <v>121</v>
      </c>
      <c r="D1330" t="s">
        <v>83</v>
      </c>
      <c r="E1330">
        <v>57</v>
      </c>
      <c r="F1330" t="s">
        <v>21</v>
      </c>
      <c r="G1330" t="s">
        <v>21</v>
      </c>
      <c r="H1330" t="s">
        <v>46</v>
      </c>
      <c r="I1330" t="s">
        <v>79</v>
      </c>
      <c r="J1330" t="s">
        <v>34</v>
      </c>
      <c r="K1330">
        <v>6</v>
      </c>
      <c r="L1330">
        <v>31100</v>
      </c>
      <c r="M1330">
        <v>15</v>
      </c>
      <c r="N1330">
        <v>158610</v>
      </c>
      <c r="O1330" t="s">
        <v>73</v>
      </c>
      <c r="P1330">
        <v>4</v>
      </c>
      <c r="Q1330" t="s">
        <v>65</v>
      </c>
    </row>
    <row r="1331" spans="1:17" x14ac:dyDescent="0.3">
      <c r="A1331" t="s">
        <v>2370</v>
      </c>
      <c r="B1331" t="s">
        <v>1947</v>
      </c>
      <c r="C1331" t="s">
        <v>60</v>
      </c>
      <c r="E1331">
        <v>44</v>
      </c>
      <c r="F1331" t="s">
        <v>51</v>
      </c>
      <c r="G1331" t="s">
        <v>104</v>
      </c>
      <c r="H1331" t="s">
        <v>32</v>
      </c>
      <c r="I1331" t="s">
        <v>33</v>
      </c>
      <c r="J1331" t="s">
        <v>80</v>
      </c>
      <c r="K1331">
        <v>8</v>
      </c>
      <c r="L1331">
        <v>25300</v>
      </c>
      <c r="M1331">
        <v>5</v>
      </c>
      <c r="N1331">
        <v>192280</v>
      </c>
      <c r="O1331" t="s">
        <v>85</v>
      </c>
      <c r="Q1331" t="s">
        <v>41</v>
      </c>
    </row>
    <row r="1332" spans="1:17" x14ac:dyDescent="0.3">
      <c r="A1332" t="s">
        <v>2371</v>
      </c>
      <c r="B1332" t="s">
        <v>2372</v>
      </c>
      <c r="C1332" t="s">
        <v>29</v>
      </c>
      <c r="E1332">
        <v>21</v>
      </c>
      <c r="F1332" t="s">
        <v>30</v>
      </c>
      <c r="G1332" t="s">
        <v>31</v>
      </c>
      <c r="H1332" t="s">
        <v>32</v>
      </c>
      <c r="I1332" t="s">
        <v>53</v>
      </c>
      <c r="J1332" t="s">
        <v>89</v>
      </c>
      <c r="K1332">
        <v>6</v>
      </c>
      <c r="L1332">
        <v>12200</v>
      </c>
      <c r="M1332">
        <v>0</v>
      </c>
      <c r="N1332">
        <v>73200</v>
      </c>
      <c r="O1332" t="s">
        <v>48</v>
      </c>
      <c r="P1332">
        <v>5</v>
      </c>
      <c r="Q1332" t="s">
        <v>74</v>
      </c>
    </row>
    <row r="1333" spans="1:17" x14ac:dyDescent="0.3">
      <c r="A1333" t="s">
        <v>2373</v>
      </c>
      <c r="B1333" t="s">
        <v>2374</v>
      </c>
      <c r="C1333" t="s">
        <v>94</v>
      </c>
      <c r="D1333" t="s">
        <v>39</v>
      </c>
      <c r="E1333">
        <v>25</v>
      </c>
      <c r="F1333" t="s">
        <v>30</v>
      </c>
      <c r="G1333" t="s">
        <v>57</v>
      </c>
      <c r="H1333" t="s">
        <v>32</v>
      </c>
      <c r="I1333" t="s">
        <v>53</v>
      </c>
      <c r="J1333" t="s">
        <v>80</v>
      </c>
      <c r="K1333">
        <v>3</v>
      </c>
      <c r="L1333">
        <v>8100</v>
      </c>
      <c r="M1333">
        <v>10</v>
      </c>
      <c r="N1333">
        <v>21870</v>
      </c>
      <c r="O1333" t="s">
        <v>48</v>
      </c>
      <c r="P1333">
        <v>5</v>
      </c>
      <c r="Q1333" t="s">
        <v>65</v>
      </c>
    </row>
    <row r="1334" spans="1:17" x14ac:dyDescent="0.3">
      <c r="A1334" t="s">
        <v>2375</v>
      </c>
      <c r="B1334" t="s">
        <v>2328</v>
      </c>
      <c r="C1334" t="s">
        <v>94</v>
      </c>
      <c r="D1334" t="s">
        <v>83</v>
      </c>
      <c r="E1334">
        <v>33</v>
      </c>
      <c r="F1334" t="s">
        <v>503</v>
      </c>
      <c r="G1334" t="s">
        <v>31</v>
      </c>
      <c r="H1334" t="s">
        <v>62</v>
      </c>
      <c r="I1334" t="s">
        <v>140</v>
      </c>
      <c r="J1334" t="s">
        <v>34</v>
      </c>
      <c r="K1334">
        <v>3</v>
      </c>
      <c r="L1334">
        <v>26900</v>
      </c>
      <c r="M1334">
        <v>10</v>
      </c>
      <c r="N1334">
        <v>72630</v>
      </c>
      <c r="O1334" t="s">
        <v>48</v>
      </c>
      <c r="P1334">
        <v>1</v>
      </c>
      <c r="Q1334" t="s">
        <v>74</v>
      </c>
    </row>
    <row r="1335" spans="1:17" x14ac:dyDescent="0.3">
      <c r="A1335" t="s">
        <v>2376</v>
      </c>
      <c r="B1335" t="s">
        <v>1261</v>
      </c>
      <c r="C1335" t="s">
        <v>19</v>
      </c>
      <c r="D1335" t="s">
        <v>83</v>
      </c>
      <c r="E1335">
        <v>50</v>
      </c>
      <c r="F1335" t="s">
        <v>77</v>
      </c>
      <c r="G1335" t="s">
        <v>78</v>
      </c>
      <c r="H1335" t="s">
        <v>32</v>
      </c>
      <c r="I1335" t="s">
        <v>33</v>
      </c>
      <c r="J1335" t="s">
        <v>72</v>
      </c>
      <c r="K1335">
        <v>3</v>
      </c>
      <c r="L1335">
        <v>39600</v>
      </c>
      <c r="M1335">
        <v>0</v>
      </c>
      <c r="N1335">
        <v>118800</v>
      </c>
      <c r="O1335" t="s">
        <v>35</v>
      </c>
      <c r="P1335">
        <v>2</v>
      </c>
      <c r="Q1335" t="s">
        <v>74</v>
      </c>
    </row>
    <row r="1336" spans="1:17" x14ac:dyDescent="0.3">
      <c r="A1336" t="s">
        <v>2377</v>
      </c>
      <c r="B1336" t="s">
        <v>379</v>
      </c>
      <c r="C1336" t="s">
        <v>94</v>
      </c>
      <c r="E1336">
        <v>58</v>
      </c>
      <c r="F1336" t="s">
        <v>21</v>
      </c>
      <c r="G1336" t="s">
        <v>21</v>
      </c>
      <c r="H1336" t="s">
        <v>32</v>
      </c>
      <c r="I1336" t="s">
        <v>53</v>
      </c>
      <c r="J1336" t="s">
        <v>64</v>
      </c>
      <c r="K1336">
        <v>3</v>
      </c>
      <c r="L1336">
        <v>44800</v>
      </c>
      <c r="M1336">
        <v>0</v>
      </c>
      <c r="N1336">
        <v>134400</v>
      </c>
      <c r="O1336" t="s">
        <v>48</v>
      </c>
      <c r="Q1336" t="s">
        <v>26</v>
      </c>
    </row>
    <row r="1337" spans="1:17" x14ac:dyDescent="0.3">
      <c r="A1337" t="s">
        <v>2378</v>
      </c>
      <c r="B1337" t="s">
        <v>2379</v>
      </c>
      <c r="C1337" t="s">
        <v>113</v>
      </c>
      <c r="E1337">
        <v>41</v>
      </c>
      <c r="F1337" t="s">
        <v>21</v>
      </c>
      <c r="G1337" t="s">
        <v>21</v>
      </c>
      <c r="H1337" t="s">
        <v>32</v>
      </c>
      <c r="I1337" t="s">
        <v>33</v>
      </c>
      <c r="J1337" t="s">
        <v>72</v>
      </c>
      <c r="K1337">
        <v>8</v>
      </c>
      <c r="L1337">
        <v>20300</v>
      </c>
      <c r="M1337">
        <v>20</v>
      </c>
      <c r="N1337" t="s">
        <v>2380</v>
      </c>
      <c r="O1337" t="s">
        <v>40</v>
      </c>
      <c r="P1337">
        <v>4</v>
      </c>
      <c r="Q1337" t="s">
        <v>26</v>
      </c>
    </row>
    <row r="1338" spans="1:17" x14ac:dyDescent="0.3">
      <c r="A1338" t="s">
        <v>2381</v>
      </c>
      <c r="B1338" t="s">
        <v>1755</v>
      </c>
      <c r="C1338" t="s">
        <v>68</v>
      </c>
      <c r="D1338" t="s">
        <v>39</v>
      </c>
      <c r="E1338">
        <v>32</v>
      </c>
      <c r="F1338" t="s">
        <v>107</v>
      </c>
      <c r="G1338" t="s">
        <v>52</v>
      </c>
      <c r="H1338" t="s">
        <v>62</v>
      </c>
      <c r="I1338" t="s">
        <v>140</v>
      </c>
      <c r="J1338" t="s">
        <v>24</v>
      </c>
      <c r="K1338">
        <v>1</v>
      </c>
      <c r="L1338">
        <v>7200</v>
      </c>
      <c r="M1338">
        <v>15</v>
      </c>
      <c r="N1338">
        <v>6120</v>
      </c>
      <c r="O1338" t="s">
        <v>35</v>
      </c>
      <c r="P1338">
        <v>5</v>
      </c>
      <c r="Q1338" t="s">
        <v>74</v>
      </c>
    </row>
    <row r="1339" spans="1:17" x14ac:dyDescent="0.3">
      <c r="A1339" t="s">
        <v>2382</v>
      </c>
      <c r="B1339" t="s">
        <v>2383</v>
      </c>
      <c r="C1339" t="s">
        <v>113</v>
      </c>
      <c r="E1339">
        <v>57</v>
      </c>
      <c r="F1339" t="s">
        <v>61</v>
      </c>
      <c r="G1339" t="s">
        <v>61</v>
      </c>
      <c r="H1339" t="s">
        <v>22</v>
      </c>
      <c r="I1339" t="s">
        <v>23</v>
      </c>
      <c r="J1339" t="s">
        <v>24</v>
      </c>
      <c r="K1339">
        <v>8</v>
      </c>
      <c r="L1339">
        <v>45400</v>
      </c>
      <c r="M1339">
        <v>25</v>
      </c>
      <c r="N1339">
        <v>272400</v>
      </c>
      <c r="O1339" t="s">
        <v>40</v>
      </c>
      <c r="P1339">
        <v>5</v>
      </c>
      <c r="Q1339" t="s">
        <v>41</v>
      </c>
    </row>
    <row r="1340" spans="1:17" x14ac:dyDescent="0.3">
      <c r="A1340" t="s">
        <v>2384</v>
      </c>
      <c r="B1340" t="s">
        <v>2199</v>
      </c>
      <c r="C1340" t="s">
        <v>88</v>
      </c>
      <c r="E1340">
        <v>42</v>
      </c>
      <c r="F1340" t="s">
        <v>21</v>
      </c>
      <c r="G1340" t="s">
        <v>21</v>
      </c>
      <c r="H1340" t="s">
        <v>32</v>
      </c>
      <c r="I1340" t="s">
        <v>53</v>
      </c>
      <c r="J1340" t="s">
        <v>72</v>
      </c>
      <c r="K1340">
        <v>2</v>
      </c>
      <c r="L1340">
        <v>26800</v>
      </c>
      <c r="M1340">
        <v>0</v>
      </c>
      <c r="N1340">
        <v>53600</v>
      </c>
      <c r="O1340" t="s">
        <v>105</v>
      </c>
      <c r="P1340">
        <v>2</v>
      </c>
      <c r="Q1340" t="s">
        <v>65</v>
      </c>
    </row>
    <row r="1341" spans="1:17" x14ac:dyDescent="0.3">
      <c r="A1341" t="s">
        <v>2385</v>
      </c>
      <c r="B1341" t="s">
        <v>1685</v>
      </c>
      <c r="C1341" t="s">
        <v>68</v>
      </c>
      <c r="D1341" t="s">
        <v>103</v>
      </c>
      <c r="E1341">
        <v>50</v>
      </c>
      <c r="F1341" t="s">
        <v>1122</v>
      </c>
      <c r="G1341" t="s">
        <v>95</v>
      </c>
      <c r="H1341" t="s">
        <v>62</v>
      </c>
      <c r="I1341" t="s">
        <v>63</v>
      </c>
      <c r="J1341" t="s">
        <v>80</v>
      </c>
      <c r="K1341">
        <v>9</v>
      </c>
      <c r="L1341">
        <v>48700</v>
      </c>
      <c r="M1341">
        <v>0</v>
      </c>
      <c r="N1341">
        <v>438300</v>
      </c>
      <c r="O1341" t="s">
        <v>48</v>
      </c>
      <c r="P1341">
        <v>3</v>
      </c>
      <c r="Q1341" t="s">
        <v>65</v>
      </c>
    </row>
    <row r="1342" spans="1:17" x14ac:dyDescent="0.3">
      <c r="A1342" t="s">
        <v>2386</v>
      </c>
      <c r="B1342" t="s">
        <v>1554</v>
      </c>
      <c r="C1342" t="s">
        <v>60</v>
      </c>
      <c r="E1342">
        <v>32</v>
      </c>
      <c r="F1342" t="s">
        <v>21</v>
      </c>
      <c r="G1342" t="s">
        <v>21</v>
      </c>
      <c r="H1342" t="s">
        <v>46</v>
      </c>
      <c r="I1342" t="s">
        <v>47</v>
      </c>
      <c r="J1342" t="s">
        <v>72</v>
      </c>
      <c r="K1342">
        <v>10</v>
      </c>
      <c r="L1342">
        <v>30500</v>
      </c>
      <c r="M1342">
        <v>25</v>
      </c>
      <c r="N1342">
        <v>228750</v>
      </c>
      <c r="O1342" t="s">
        <v>73</v>
      </c>
      <c r="P1342">
        <v>1</v>
      </c>
      <c r="Q1342" t="s">
        <v>74</v>
      </c>
    </row>
    <row r="1343" spans="1:17" x14ac:dyDescent="0.3">
      <c r="A1343" t="s">
        <v>2387</v>
      </c>
      <c r="B1343" t="s">
        <v>2053</v>
      </c>
      <c r="C1343" t="s">
        <v>29</v>
      </c>
      <c r="D1343" t="s">
        <v>103</v>
      </c>
      <c r="E1343">
        <v>32</v>
      </c>
      <c r="F1343" t="s">
        <v>461</v>
      </c>
      <c r="G1343" t="s">
        <v>21</v>
      </c>
      <c r="H1343" t="s">
        <v>32</v>
      </c>
      <c r="I1343" t="s">
        <v>53</v>
      </c>
      <c r="J1343" t="s">
        <v>34</v>
      </c>
      <c r="K1343">
        <v>4</v>
      </c>
      <c r="L1343">
        <v>10000</v>
      </c>
      <c r="M1343">
        <v>15</v>
      </c>
      <c r="N1343">
        <v>34000</v>
      </c>
      <c r="O1343" t="s">
        <v>105</v>
      </c>
      <c r="Q1343" t="s">
        <v>74</v>
      </c>
    </row>
    <row r="1344" spans="1:17" x14ac:dyDescent="0.3">
      <c r="A1344" t="s">
        <v>2388</v>
      </c>
      <c r="B1344" t="s">
        <v>370</v>
      </c>
      <c r="C1344" t="s">
        <v>121</v>
      </c>
      <c r="D1344" t="s">
        <v>83</v>
      </c>
      <c r="E1344">
        <v>50</v>
      </c>
      <c r="F1344" t="s">
        <v>21</v>
      </c>
      <c r="G1344" t="s">
        <v>21</v>
      </c>
      <c r="H1344" t="s">
        <v>46</v>
      </c>
      <c r="I1344" t="s">
        <v>79</v>
      </c>
      <c r="J1344" t="s">
        <v>72</v>
      </c>
      <c r="K1344">
        <v>6</v>
      </c>
      <c r="L1344">
        <v>16700</v>
      </c>
      <c r="M1344">
        <v>20</v>
      </c>
      <c r="N1344">
        <v>80160</v>
      </c>
      <c r="O1344" t="s">
        <v>35</v>
      </c>
      <c r="P1344">
        <v>1</v>
      </c>
      <c r="Q1344" t="s">
        <v>65</v>
      </c>
    </row>
    <row r="1345" spans="1:17" x14ac:dyDescent="0.3">
      <c r="A1345" t="s">
        <v>2389</v>
      </c>
      <c r="B1345" t="s">
        <v>334</v>
      </c>
      <c r="C1345" t="s">
        <v>29</v>
      </c>
      <c r="D1345" t="s">
        <v>20</v>
      </c>
      <c r="E1345">
        <v>40</v>
      </c>
      <c r="F1345" t="s">
        <v>51</v>
      </c>
      <c r="G1345" t="s">
        <v>104</v>
      </c>
      <c r="H1345" t="s">
        <v>22</v>
      </c>
      <c r="I1345" t="s">
        <v>84</v>
      </c>
      <c r="J1345" t="s">
        <v>72</v>
      </c>
      <c r="K1345">
        <v>6</v>
      </c>
      <c r="L1345">
        <v>23200</v>
      </c>
      <c r="M1345">
        <v>5</v>
      </c>
      <c r="N1345">
        <v>132240</v>
      </c>
      <c r="O1345" t="s">
        <v>85</v>
      </c>
      <c r="P1345">
        <v>2</v>
      </c>
      <c r="Q1345" t="s">
        <v>65</v>
      </c>
    </row>
    <row r="1346" spans="1:17" x14ac:dyDescent="0.3">
      <c r="A1346" t="s">
        <v>2390</v>
      </c>
      <c r="B1346" t="s">
        <v>683</v>
      </c>
      <c r="C1346" t="s">
        <v>71</v>
      </c>
      <c r="D1346" t="s">
        <v>103</v>
      </c>
      <c r="E1346">
        <v>30</v>
      </c>
      <c r="F1346" t="s">
        <v>51</v>
      </c>
      <c r="G1346" t="s">
        <v>104</v>
      </c>
      <c r="H1346" t="s">
        <v>46</v>
      </c>
      <c r="I1346" t="s">
        <v>47</v>
      </c>
      <c r="J1346" t="s">
        <v>24</v>
      </c>
      <c r="K1346">
        <v>6</v>
      </c>
      <c r="L1346">
        <v>31300</v>
      </c>
      <c r="M1346">
        <v>10</v>
      </c>
      <c r="N1346">
        <v>169020</v>
      </c>
      <c r="O1346" t="s">
        <v>105</v>
      </c>
      <c r="P1346">
        <v>3</v>
      </c>
      <c r="Q1346" t="s">
        <v>26</v>
      </c>
    </row>
    <row r="1347" spans="1:17" x14ac:dyDescent="0.3">
      <c r="A1347" t="s">
        <v>2391</v>
      </c>
      <c r="B1347" t="s">
        <v>1414</v>
      </c>
      <c r="C1347" t="s">
        <v>60</v>
      </c>
      <c r="D1347" t="s">
        <v>39</v>
      </c>
      <c r="E1347">
        <v>62</v>
      </c>
      <c r="F1347" t="s">
        <v>44</v>
      </c>
      <c r="G1347" t="s">
        <v>100</v>
      </c>
      <c r="H1347" t="s">
        <v>22</v>
      </c>
      <c r="I1347" t="s">
        <v>23</v>
      </c>
      <c r="J1347" t="s">
        <v>80</v>
      </c>
      <c r="K1347">
        <v>10</v>
      </c>
      <c r="L1347">
        <v>16000</v>
      </c>
      <c r="M1347">
        <v>15</v>
      </c>
      <c r="N1347">
        <v>136000</v>
      </c>
      <c r="O1347" t="s">
        <v>85</v>
      </c>
      <c r="Q1347" t="s">
        <v>41</v>
      </c>
    </row>
    <row r="1348" spans="1:17" x14ac:dyDescent="0.3">
      <c r="A1348" t="s">
        <v>2392</v>
      </c>
      <c r="B1348" t="s">
        <v>2393</v>
      </c>
      <c r="C1348" t="s">
        <v>94</v>
      </c>
      <c r="D1348" t="s">
        <v>83</v>
      </c>
      <c r="E1348">
        <v>32</v>
      </c>
      <c r="F1348" t="s">
        <v>51</v>
      </c>
      <c r="G1348" t="s">
        <v>104</v>
      </c>
      <c r="H1348" t="s">
        <v>62</v>
      </c>
      <c r="I1348" t="s">
        <v>63</v>
      </c>
      <c r="J1348" t="s">
        <v>72</v>
      </c>
      <c r="K1348">
        <v>5</v>
      </c>
      <c r="L1348">
        <v>43800</v>
      </c>
      <c r="M1348">
        <v>20</v>
      </c>
      <c r="N1348">
        <v>175200</v>
      </c>
      <c r="O1348" t="s">
        <v>105</v>
      </c>
      <c r="P1348">
        <v>4</v>
      </c>
      <c r="Q1348" t="s">
        <v>41</v>
      </c>
    </row>
    <row r="1349" spans="1:17" x14ac:dyDescent="0.3">
      <c r="A1349" t="s">
        <v>2394</v>
      </c>
      <c r="B1349" t="s">
        <v>761</v>
      </c>
      <c r="C1349" t="s">
        <v>94</v>
      </c>
      <c r="D1349" t="s">
        <v>20</v>
      </c>
      <c r="E1349">
        <v>28</v>
      </c>
      <c r="F1349" t="s">
        <v>51</v>
      </c>
      <c r="G1349" t="s">
        <v>104</v>
      </c>
      <c r="H1349" t="s">
        <v>46</v>
      </c>
      <c r="I1349" t="s">
        <v>79</v>
      </c>
      <c r="J1349" t="s">
        <v>72</v>
      </c>
      <c r="K1349">
        <v>8</v>
      </c>
      <c r="L1349">
        <v>31900</v>
      </c>
      <c r="M1349">
        <v>25</v>
      </c>
      <c r="N1349" t="s">
        <v>2395</v>
      </c>
      <c r="O1349" t="s">
        <v>35</v>
      </c>
      <c r="P1349">
        <v>5</v>
      </c>
      <c r="Q1349" t="s">
        <v>26</v>
      </c>
    </row>
    <row r="1350" spans="1:17" x14ac:dyDescent="0.3">
      <c r="A1350" t="s">
        <v>2396</v>
      </c>
      <c r="B1350" t="s">
        <v>482</v>
      </c>
      <c r="C1350" t="s">
        <v>38</v>
      </c>
      <c r="D1350" t="s">
        <v>39</v>
      </c>
      <c r="E1350">
        <v>18</v>
      </c>
      <c r="F1350" t="s">
        <v>51</v>
      </c>
      <c r="G1350" t="s">
        <v>52</v>
      </c>
      <c r="H1350" t="s">
        <v>62</v>
      </c>
      <c r="I1350" t="s">
        <v>63</v>
      </c>
      <c r="J1350" t="s">
        <v>80</v>
      </c>
      <c r="K1350">
        <v>3</v>
      </c>
      <c r="L1350">
        <v>45500</v>
      </c>
      <c r="M1350">
        <v>0</v>
      </c>
      <c r="N1350">
        <v>136500</v>
      </c>
      <c r="O1350" t="s">
        <v>48</v>
      </c>
      <c r="P1350">
        <v>4</v>
      </c>
      <c r="Q1350" t="s">
        <v>41</v>
      </c>
    </row>
    <row r="1351" spans="1:17" x14ac:dyDescent="0.3">
      <c r="A1351" t="s">
        <v>2397</v>
      </c>
      <c r="B1351" t="s">
        <v>688</v>
      </c>
      <c r="C1351" t="s">
        <v>113</v>
      </c>
      <c r="D1351" t="s">
        <v>103</v>
      </c>
      <c r="E1351">
        <v>150</v>
      </c>
      <c r="F1351" t="s">
        <v>77</v>
      </c>
      <c r="G1351" t="s">
        <v>78</v>
      </c>
      <c r="H1351" t="s">
        <v>46</v>
      </c>
      <c r="I1351" t="s">
        <v>79</v>
      </c>
      <c r="J1351" t="s">
        <v>72</v>
      </c>
      <c r="K1351">
        <v>4</v>
      </c>
      <c r="L1351">
        <v>26600</v>
      </c>
      <c r="M1351">
        <v>25</v>
      </c>
      <c r="N1351">
        <v>79800</v>
      </c>
      <c r="O1351" t="s">
        <v>105</v>
      </c>
      <c r="P1351">
        <v>5</v>
      </c>
      <c r="Q1351" t="s">
        <v>41</v>
      </c>
    </row>
    <row r="1352" spans="1:17" x14ac:dyDescent="0.3">
      <c r="A1352" t="s">
        <v>2398</v>
      </c>
      <c r="B1352" t="s">
        <v>303</v>
      </c>
      <c r="C1352" t="s">
        <v>68</v>
      </c>
      <c r="D1352" t="s">
        <v>103</v>
      </c>
      <c r="E1352">
        <v>42</v>
      </c>
      <c r="F1352" t="s">
        <v>51</v>
      </c>
      <c r="G1352" t="s">
        <v>104</v>
      </c>
      <c r="H1352" t="s">
        <v>22</v>
      </c>
      <c r="I1352" t="s">
        <v>84</v>
      </c>
      <c r="J1352" t="s">
        <v>72</v>
      </c>
      <c r="K1352">
        <v>10</v>
      </c>
      <c r="L1352">
        <v>21300</v>
      </c>
      <c r="M1352">
        <v>10</v>
      </c>
      <c r="N1352">
        <v>191700</v>
      </c>
      <c r="O1352" t="s">
        <v>40</v>
      </c>
      <c r="P1352">
        <v>1</v>
      </c>
      <c r="Q1352" t="s">
        <v>41</v>
      </c>
    </row>
    <row r="1353" spans="1:17" x14ac:dyDescent="0.3">
      <c r="A1353" t="s">
        <v>2399</v>
      </c>
      <c r="B1353" t="s">
        <v>2400</v>
      </c>
      <c r="C1353" t="s">
        <v>88</v>
      </c>
      <c r="E1353">
        <v>65</v>
      </c>
      <c r="F1353" t="s">
        <v>30</v>
      </c>
      <c r="G1353" t="s">
        <v>57</v>
      </c>
      <c r="H1353" t="s">
        <v>32</v>
      </c>
      <c r="I1353" t="s">
        <v>33</v>
      </c>
      <c r="J1353" t="s">
        <v>34</v>
      </c>
      <c r="K1353">
        <v>5</v>
      </c>
      <c r="L1353">
        <v>47700</v>
      </c>
      <c r="M1353">
        <v>5</v>
      </c>
      <c r="N1353">
        <v>226575</v>
      </c>
      <c r="O1353" t="s">
        <v>35</v>
      </c>
      <c r="Q1353" t="s">
        <v>26</v>
      </c>
    </row>
    <row r="1354" spans="1:17" x14ac:dyDescent="0.3">
      <c r="A1354" t="s">
        <v>2401</v>
      </c>
      <c r="B1354" t="s">
        <v>2402</v>
      </c>
      <c r="C1354" t="s">
        <v>68</v>
      </c>
      <c r="D1354" t="s">
        <v>20</v>
      </c>
      <c r="E1354">
        <v>35</v>
      </c>
      <c r="F1354" t="s">
        <v>30</v>
      </c>
      <c r="G1354" t="s">
        <v>57</v>
      </c>
      <c r="H1354" t="s">
        <v>46</v>
      </c>
      <c r="I1354" t="s">
        <v>79</v>
      </c>
      <c r="J1354" t="s">
        <v>64</v>
      </c>
      <c r="K1354">
        <v>6</v>
      </c>
      <c r="L1354">
        <v>45700</v>
      </c>
      <c r="M1354">
        <v>5</v>
      </c>
      <c r="N1354">
        <v>260490</v>
      </c>
      <c r="O1354" t="s">
        <v>25</v>
      </c>
      <c r="P1354">
        <v>2</v>
      </c>
      <c r="Q1354" t="s">
        <v>41</v>
      </c>
    </row>
    <row r="1355" spans="1:17" x14ac:dyDescent="0.3">
      <c r="A1355" t="s">
        <v>2403</v>
      </c>
      <c r="B1355" t="s">
        <v>2404</v>
      </c>
      <c r="C1355" t="s">
        <v>19</v>
      </c>
      <c r="D1355" t="s">
        <v>103</v>
      </c>
      <c r="E1355">
        <v>58</v>
      </c>
      <c r="F1355" t="s">
        <v>30</v>
      </c>
      <c r="G1355" t="s">
        <v>31</v>
      </c>
      <c r="H1355" t="s">
        <v>46</v>
      </c>
      <c r="I1355" t="s">
        <v>47</v>
      </c>
      <c r="J1355" t="s">
        <v>34</v>
      </c>
      <c r="K1355">
        <v>6</v>
      </c>
      <c r="L1355">
        <v>18600</v>
      </c>
      <c r="M1355">
        <v>0</v>
      </c>
      <c r="N1355">
        <v>111600</v>
      </c>
      <c r="O1355" t="s">
        <v>73</v>
      </c>
      <c r="P1355">
        <v>5</v>
      </c>
      <c r="Q1355" t="s">
        <v>74</v>
      </c>
    </row>
    <row r="1356" spans="1:17" x14ac:dyDescent="0.3">
      <c r="A1356" t="s">
        <v>2405</v>
      </c>
      <c r="B1356" t="s">
        <v>2406</v>
      </c>
      <c r="C1356" t="s">
        <v>121</v>
      </c>
      <c r="D1356" t="s">
        <v>83</v>
      </c>
      <c r="E1356">
        <v>58</v>
      </c>
      <c r="F1356" t="s">
        <v>61</v>
      </c>
      <c r="G1356" t="s">
        <v>61</v>
      </c>
      <c r="H1356" t="s">
        <v>32</v>
      </c>
      <c r="I1356" t="s">
        <v>33</v>
      </c>
      <c r="J1356" t="s">
        <v>24</v>
      </c>
      <c r="K1356">
        <v>3</v>
      </c>
      <c r="L1356">
        <v>34900</v>
      </c>
      <c r="M1356">
        <v>20</v>
      </c>
      <c r="N1356">
        <v>83760</v>
      </c>
      <c r="O1356" t="s">
        <v>25</v>
      </c>
      <c r="Q1356" t="s">
        <v>26</v>
      </c>
    </row>
    <row r="1357" spans="1:17" x14ac:dyDescent="0.3">
      <c r="A1357" t="s">
        <v>2407</v>
      </c>
      <c r="B1357" t="s">
        <v>2408</v>
      </c>
      <c r="C1357" t="s">
        <v>29</v>
      </c>
      <c r="D1357" t="s">
        <v>83</v>
      </c>
      <c r="E1357">
        <v>64</v>
      </c>
      <c r="F1357" t="s">
        <v>21</v>
      </c>
      <c r="G1357" t="s">
        <v>21</v>
      </c>
      <c r="H1357" t="s">
        <v>62</v>
      </c>
      <c r="I1357" t="s">
        <v>140</v>
      </c>
      <c r="J1357" t="s">
        <v>24</v>
      </c>
      <c r="K1357">
        <v>6</v>
      </c>
      <c r="L1357">
        <v>47600</v>
      </c>
      <c r="M1357">
        <v>5</v>
      </c>
      <c r="N1357">
        <v>271320</v>
      </c>
      <c r="O1357" t="s">
        <v>105</v>
      </c>
      <c r="Q1357" t="s">
        <v>74</v>
      </c>
    </row>
    <row r="1358" spans="1:17" x14ac:dyDescent="0.3">
      <c r="A1358" t="s">
        <v>2409</v>
      </c>
      <c r="B1358" t="s">
        <v>985</v>
      </c>
      <c r="C1358" t="s">
        <v>113</v>
      </c>
      <c r="E1358">
        <v>52</v>
      </c>
      <c r="F1358" t="s">
        <v>30</v>
      </c>
      <c r="G1358" t="s">
        <v>57</v>
      </c>
      <c r="H1358" t="s">
        <v>46</v>
      </c>
      <c r="I1358" t="s">
        <v>79</v>
      </c>
      <c r="J1358" t="s">
        <v>24</v>
      </c>
      <c r="K1358">
        <v>6</v>
      </c>
      <c r="L1358">
        <v>40100</v>
      </c>
      <c r="M1358">
        <v>25</v>
      </c>
      <c r="N1358">
        <v>180450</v>
      </c>
      <c r="O1358" t="s">
        <v>105</v>
      </c>
      <c r="Q1358" t="s">
        <v>74</v>
      </c>
    </row>
    <row r="1359" spans="1:17" x14ac:dyDescent="0.3">
      <c r="A1359" t="s">
        <v>2410</v>
      </c>
      <c r="B1359" t="s">
        <v>2411</v>
      </c>
      <c r="C1359" t="s">
        <v>71</v>
      </c>
      <c r="D1359" t="s">
        <v>103</v>
      </c>
      <c r="E1359">
        <v>39</v>
      </c>
      <c r="F1359" t="s">
        <v>77</v>
      </c>
      <c r="G1359" t="s">
        <v>95</v>
      </c>
      <c r="H1359" t="s">
        <v>46</v>
      </c>
      <c r="I1359" t="s">
        <v>47</v>
      </c>
      <c r="J1359" t="s">
        <v>72</v>
      </c>
      <c r="K1359">
        <v>9</v>
      </c>
      <c r="L1359">
        <v>36400</v>
      </c>
      <c r="M1359">
        <v>15</v>
      </c>
      <c r="N1359">
        <v>278460</v>
      </c>
      <c r="O1359" t="s">
        <v>35</v>
      </c>
      <c r="Q1359" t="s">
        <v>26</v>
      </c>
    </row>
    <row r="1360" spans="1:17" x14ac:dyDescent="0.3">
      <c r="A1360" t="s">
        <v>2412</v>
      </c>
      <c r="B1360" t="s">
        <v>568</v>
      </c>
      <c r="C1360" t="s">
        <v>38</v>
      </c>
      <c r="D1360" t="s">
        <v>39</v>
      </c>
      <c r="E1360">
        <v>36</v>
      </c>
      <c r="F1360" t="s">
        <v>77</v>
      </c>
      <c r="G1360" t="s">
        <v>95</v>
      </c>
      <c r="H1360" t="s">
        <v>32</v>
      </c>
      <c r="I1360" t="s">
        <v>53</v>
      </c>
      <c r="J1360" t="s">
        <v>80</v>
      </c>
      <c r="K1360">
        <v>8</v>
      </c>
      <c r="L1360">
        <v>40300</v>
      </c>
      <c r="M1360">
        <v>10</v>
      </c>
      <c r="N1360">
        <v>290160</v>
      </c>
      <c r="O1360" t="s">
        <v>25</v>
      </c>
      <c r="P1360">
        <v>1</v>
      </c>
      <c r="Q1360" t="s">
        <v>74</v>
      </c>
    </row>
    <row r="1361" spans="1:17" x14ac:dyDescent="0.3">
      <c r="A1361" t="s">
        <v>2413</v>
      </c>
      <c r="B1361" t="s">
        <v>2414</v>
      </c>
      <c r="C1361" t="s">
        <v>113</v>
      </c>
      <c r="D1361" t="s">
        <v>83</v>
      </c>
      <c r="E1361">
        <v>50</v>
      </c>
      <c r="F1361" t="s">
        <v>51</v>
      </c>
      <c r="G1361" t="s">
        <v>52</v>
      </c>
      <c r="H1361" t="s">
        <v>32</v>
      </c>
      <c r="I1361" t="s">
        <v>33</v>
      </c>
      <c r="J1361" t="s">
        <v>64</v>
      </c>
      <c r="K1361">
        <v>6</v>
      </c>
      <c r="L1361">
        <v>27400</v>
      </c>
      <c r="M1361">
        <v>0</v>
      </c>
      <c r="N1361">
        <v>164400</v>
      </c>
      <c r="O1361" t="s">
        <v>25</v>
      </c>
      <c r="Q1361" t="s">
        <v>65</v>
      </c>
    </row>
    <row r="1362" spans="1:17" x14ac:dyDescent="0.3">
      <c r="A1362" t="s">
        <v>2415</v>
      </c>
      <c r="B1362" t="s">
        <v>1840</v>
      </c>
      <c r="C1362" t="s">
        <v>19</v>
      </c>
      <c r="D1362" t="s">
        <v>83</v>
      </c>
      <c r="E1362">
        <v>39</v>
      </c>
      <c r="F1362" t="s">
        <v>51</v>
      </c>
      <c r="G1362" t="s">
        <v>52</v>
      </c>
      <c r="H1362" t="s">
        <v>46</v>
      </c>
      <c r="I1362" t="s">
        <v>47</v>
      </c>
      <c r="J1362" t="s">
        <v>89</v>
      </c>
      <c r="K1362">
        <v>10</v>
      </c>
      <c r="L1362">
        <v>8100</v>
      </c>
      <c r="M1362">
        <v>0</v>
      </c>
      <c r="N1362">
        <v>81000</v>
      </c>
      <c r="O1362" t="s">
        <v>35</v>
      </c>
      <c r="P1362">
        <v>1</v>
      </c>
      <c r="Q1362" t="s">
        <v>26</v>
      </c>
    </row>
    <row r="1363" spans="1:17" x14ac:dyDescent="0.3">
      <c r="A1363" t="s">
        <v>2416</v>
      </c>
      <c r="B1363" t="s">
        <v>2417</v>
      </c>
      <c r="C1363" t="s">
        <v>94</v>
      </c>
      <c r="D1363" t="s">
        <v>39</v>
      </c>
      <c r="E1363">
        <v>35</v>
      </c>
      <c r="F1363" t="s">
        <v>77</v>
      </c>
      <c r="G1363" t="s">
        <v>95</v>
      </c>
      <c r="H1363" t="s">
        <v>46</v>
      </c>
      <c r="I1363" t="s">
        <v>47</v>
      </c>
      <c r="J1363" t="s">
        <v>34</v>
      </c>
      <c r="K1363">
        <v>4</v>
      </c>
      <c r="L1363">
        <v>2300</v>
      </c>
      <c r="M1363">
        <v>5</v>
      </c>
      <c r="N1363">
        <v>8740</v>
      </c>
      <c r="O1363" t="s">
        <v>48</v>
      </c>
      <c r="P1363">
        <v>3</v>
      </c>
      <c r="Q1363" t="s">
        <v>41</v>
      </c>
    </row>
    <row r="1364" spans="1:17" x14ac:dyDescent="0.3">
      <c r="A1364" t="s">
        <v>2418</v>
      </c>
      <c r="B1364" t="s">
        <v>962</v>
      </c>
      <c r="C1364" t="s">
        <v>88</v>
      </c>
      <c r="E1364">
        <v>34</v>
      </c>
      <c r="F1364" t="s">
        <v>427</v>
      </c>
      <c r="G1364" t="s">
        <v>78</v>
      </c>
      <c r="H1364" t="s">
        <v>32</v>
      </c>
      <c r="I1364" t="s">
        <v>53</v>
      </c>
      <c r="J1364" t="s">
        <v>89</v>
      </c>
      <c r="K1364" t="s">
        <v>184</v>
      </c>
      <c r="L1364">
        <v>43600</v>
      </c>
      <c r="M1364">
        <v>0</v>
      </c>
      <c r="N1364">
        <v>218000</v>
      </c>
      <c r="O1364" t="s">
        <v>48</v>
      </c>
      <c r="Q1364" t="s">
        <v>74</v>
      </c>
    </row>
    <row r="1365" spans="1:17" x14ac:dyDescent="0.3">
      <c r="A1365" t="s">
        <v>2419</v>
      </c>
      <c r="B1365" t="s">
        <v>2420</v>
      </c>
      <c r="C1365" t="s">
        <v>113</v>
      </c>
      <c r="D1365" t="s">
        <v>39</v>
      </c>
      <c r="E1365">
        <v>40</v>
      </c>
      <c r="F1365" t="s">
        <v>21</v>
      </c>
      <c r="G1365" t="s">
        <v>21</v>
      </c>
      <c r="H1365" t="s">
        <v>62</v>
      </c>
      <c r="I1365" t="s">
        <v>63</v>
      </c>
      <c r="J1365" t="s">
        <v>34</v>
      </c>
      <c r="K1365">
        <v>8</v>
      </c>
      <c r="L1365">
        <v>34100</v>
      </c>
      <c r="M1365">
        <v>0</v>
      </c>
      <c r="N1365">
        <v>272800</v>
      </c>
      <c r="O1365" t="s">
        <v>48</v>
      </c>
      <c r="Q1365" t="s">
        <v>74</v>
      </c>
    </row>
    <row r="1366" spans="1:17" x14ac:dyDescent="0.3">
      <c r="A1366" t="s">
        <v>2421</v>
      </c>
      <c r="B1366" t="s">
        <v>552</v>
      </c>
      <c r="C1366" t="s">
        <v>60</v>
      </c>
      <c r="D1366" t="s">
        <v>39</v>
      </c>
      <c r="E1366">
        <v>51</v>
      </c>
      <c r="F1366" t="s">
        <v>30</v>
      </c>
      <c r="G1366" t="s">
        <v>57</v>
      </c>
      <c r="H1366" t="s">
        <v>46</v>
      </c>
      <c r="I1366" t="s">
        <v>79</v>
      </c>
      <c r="J1366" t="s">
        <v>24</v>
      </c>
      <c r="K1366">
        <v>4</v>
      </c>
      <c r="L1366">
        <v>36800</v>
      </c>
      <c r="M1366">
        <v>20</v>
      </c>
      <c r="N1366">
        <v>117760</v>
      </c>
      <c r="O1366" t="s">
        <v>48</v>
      </c>
      <c r="Q1366" t="s">
        <v>74</v>
      </c>
    </row>
    <row r="1367" spans="1:17" x14ac:dyDescent="0.3">
      <c r="A1367" t="s">
        <v>2422</v>
      </c>
      <c r="B1367" t="s">
        <v>2423</v>
      </c>
      <c r="C1367" t="s">
        <v>113</v>
      </c>
      <c r="E1367">
        <v>58</v>
      </c>
      <c r="F1367" t="s">
        <v>30</v>
      </c>
      <c r="G1367" t="s">
        <v>57</v>
      </c>
      <c r="H1367" t="s">
        <v>32</v>
      </c>
      <c r="I1367" t="s">
        <v>53</v>
      </c>
      <c r="J1367" t="s">
        <v>24</v>
      </c>
      <c r="K1367">
        <v>7</v>
      </c>
      <c r="L1367">
        <v>29800</v>
      </c>
      <c r="M1367">
        <v>10</v>
      </c>
      <c r="N1367" t="s">
        <v>2424</v>
      </c>
      <c r="O1367" t="s">
        <v>105</v>
      </c>
      <c r="P1367">
        <v>2</v>
      </c>
      <c r="Q1367" t="s">
        <v>74</v>
      </c>
    </row>
    <row r="1368" spans="1:17" x14ac:dyDescent="0.3">
      <c r="A1368" t="s">
        <v>2425</v>
      </c>
      <c r="B1368" t="s">
        <v>2196</v>
      </c>
      <c r="C1368" t="s">
        <v>94</v>
      </c>
      <c r="D1368" t="s">
        <v>83</v>
      </c>
      <c r="E1368">
        <v>59</v>
      </c>
      <c r="F1368" t="s">
        <v>77</v>
      </c>
      <c r="G1368" t="s">
        <v>95</v>
      </c>
      <c r="H1368" t="s">
        <v>110</v>
      </c>
      <c r="I1368" t="s">
        <v>53</v>
      </c>
      <c r="J1368" t="s">
        <v>89</v>
      </c>
      <c r="K1368">
        <v>2</v>
      </c>
      <c r="L1368">
        <v>37200</v>
      </c>
      <c r="M1368">
        <v>20</v>
      </c>
      <c r="N1368">
        <v>59520</v>
      </c>
      <c r="O1368" t="s">
        <v>85</v>
      </c>
      <c r="P1368">
        <v>3</v>
      </c>
      <c r="Q1368" t="s">
        <v>74</v>
      </c>
    </row>
    <row r="1369" spans="1:17" x14ac:dyDescent="0.3">
      <c r="A1369" t="s">
        <v>2426</v>
      </c>
      <c r="B1369" t="s">
        <v>199</v>
      </c>
      <c r="C1369" t="s">
        <v>121</v>
      </c>
      <c r="E1369">
        <v>46</v>
      </c>
      <c r="F1369" t="s">
        <v>21</v>
      </c>
      <c r="G1369" t="s">
        <v>21</v>
      </c>
      <c r="H1369" t="s">
        <v>32</v>
      </c>
      <c r="I1369" t="s">
        <v>33</v>
      </c>
      <c r="J1369" t="s">
        <v>24</v>
      </c>
      <c r="K1369">
        <v>6</v>
      </c>
      <c r="L1369">
        <v>45000</v>
      </c>
      <c r="M1369">
        <v>25</v>
      </c>
      <c r="N1369">
        <v>202500</v>
      </c>
      <c r="O1369" t="s">
        <v>40</v>
      </c>
      <c r="P1369">
        <v>5</v>
      </c>
      <c r="Q1369" t="s">
        <v>26</v>
      </c>
    </row>
    <row r="1370" spans="1:17" x14ac:dyDescent="0.3">
      <c r="A1370" t="s">
        <v>2427</v>
      </c>
      <c r="B1370" t="s">
        <v>2428</v>
      </c>
      <c r="C1370" t="s">
        <v>113</v>
      </c>
      <c r="D1370" t="s">
        <v>83</v>
      </c>
      <c r="E1370">
        <v>43</v>
      </c>
      <c r="F1370" t="s">
        <v>21</v>
      </c>
      <c r="G1370" t="s">
        <v>21</v>
      </c>
      <c r="H1370" t="s">
        <v>32</v>
      </c>
      <c r="I1370" t="s">
        <v>33</v>
      </c>
      <c r="J1370" t="s">
        <v>64</v>
      </c>
      <c r="K1370">
        <v>4</v>
      </c>
      <c r="L1370">
        <v>7800</v>
      </c>
      <c r="M1370">
        <v>10</v>
      </c>
      <c r="N1370">
        <v>28080</v>
      </c>
      <c r="O1370" t="s">
        <v>85</v>
      </c>
      <c r="P1370">
        <v>3</v>
      </c>
      <c r="Q1370" t="s">
        <v>41</v>
      </c>
    </row>
    <row r="1371" spans="1:17" x14ac:dyDescent="0.3">
      <c r="A1371" t="s">
        <v>2429</v>
      </c>
      <c r="B1371" t="s">
        <v>791</v>
      </c>
      <c r="C1371" t="s">
        <v>38</v>
      </c>
      <c r="E1371">
        <v>57</v>
      </c>
      <c r="F1371" t="s">
        <v>21</v>
      </c>
      <c r="G1371" t="s">
        <v>21</v>
      </c>
      <c r="H1371" t="s">
        <v>22</v>
      </c>
      <c r="I1371" t="s">
        <v>23</v>
      </c>
      <c r="J1371" t="s">
        <v>89</v>
      </c>
      <c r="K1371">
        <v>4</v>
      </c>
      <c r="L1371">
        <v>41200</v>
      </c>
      <c r="M1371">
        <v>15</v>
      </c>
      <c r="N1371">
        <v>140080</v>
      </c>
      <c r="O1371" t="s">
        <v>25</v>
      </c>
      <c r="P1371">
        <v>4</v>
      </c>
      <c r="Q1371" t="s">
        <v>26</v>
      </c>
    </row>
    <row r="1372" spans="1:17" x14ac:dyDescent="0.3">
      <c r="A1372" t="s">
        <v>2430</v>
      </c>
      <c r="B1372" t="s">
        <v>1952</v>
      </c>
      <c r="C1372" t="s">
        <v>68</v>
      </c>
      <c r="D1372" t="s">
        <v>39</v>
      </c>
      <c r="E1372">
        <v>55</v>
      </c>
      <c r="F1372" t="s">
        <v>21</v>
      </c>
      <c r="G1372" t="s">
        <v>21</v>
      </c>
      <c r="H1372" t="s">
        <v>62</v>
      </c>
      <c r="I1372" t="s">
        <v>63</v>
      </c>
      <c r="J1372" t="s">
        <v>24</v>
      </c>
      <c r="K1372">
        <v>4</v>
      </c>
      <c r="L1372">
        <v>8300</v>
      </c>
      <c r="M1372">
        <v>15</v>
      </c>
      <c r="N1372">
        <v>28220</v>
      </c>
      <c r="O1372" t="s">
        <v>105</v>
      </c>
      <c r="P1372">
        <v>3</v>
      </c>
      <c r="Q1372" t="s">
        <v>65</v>
      </c>
    </row>
    <row r="1373" spans="1:17" x14ac:dyDescent="0.3">
      <c r="A1373" t="s">
        <v>2431</v>
      </c>
      <c r="B1373" t="s">
        <v>1118</v>
      </c>
      <c r="C1373" t="s">
        <v>121</v>
      </c>
      <c r="D1373" t="s">
        <v>39</v>
      </c>
      <c r="E1373">
        <v>46</v>
      </c>
      <c r="F1373" t="s">
        <v>21</v>
      </c>
      <c r="G1373" t="s">
        <v>21</v>
      </c>
      <c r="H1373" t="s">
        <v>32</v>
      </c>
      <c r="I1373" t="s">
        <v>33</v>
      </c>
      <c r="J1373" t="s">
        <v>24</v>
      </c>
      <c r="K1373">
        <v>7</v>
      </c>
      <c r="L1373">
        <v>35800</v>
      </c>
      <c r="M1373">
        <v>0</v>
      </c>
      <c r="N1373">
        <v>250600</v>
      </c>
      <c r="O1373" t="s">
        <v>48</v>
      </c>
      <c r="P1373">
        <v>5</v>
      </c>
      <c r="Q1373" t="s">
        <v>65</v>
      </c>
    </row>
    <row r="1374" spans="1:17" x14ac:dyDescent="0.3">
      <c r="A1374" t="s">
        <v>2432</v>
      </c>
      <c r="B1374" t="s">
        <v>2433</v>
      </c>
      <c r="C1374" t="s">
        <v>94</v>
      </c>
      <c r="D1374" t="s">
        <v>83</v>
      </c>
      <c r="E1374">
        <v>52</v>
      </c>
      <c r="F1374" t="s">
        <v>21</v>
      </c>
      <c r="G1374" t="s">
        <v>21</v>
      </c>
      <c r="H1374" t="s">
        <v>62</v>
      </c>
      <c r="I1374" t="s">
        <v>63</v>
      </c>
      <c r="J1374" t="s">
        <v>34</v>
      </c>
      <c r="K1374" t="s">
        <v>562</v>
      </c>
      <c r="L1374">
        <v>45600</v>
      </c>
      <c r="M1374">
        <v>15</v>
      </c>
      <c r="N1374">
        <v>155040</v>
      </c>
      <c r="O1374" t="s">
        <v>40</v>
      </c>
      <c r="P1374">
        <v>1</v>
      </c>
      <c r="Q1374" t="s">
        <v>41</v>
      </c>
    </row>
    <row r="1375" spans="1:17" x14ac:dyDescent="0.3">
      <c r="A1375" t="s">
        <v>2434</v>
      </c>
      <c r="B1375" t="s">
        <v>343</v>
      </c>
      <c r="C1375" t="s">
        <v>94</v>
      </c>
      <c r="D1375" t="s">
        <v>20</v>
      </c>
      <c r="E1375">
        <v>26</v>
      </c>
      <c r="F1375" t="s">
        <v>51</v>
      </c>
      <c r="G1375" t="s">
        <v>104</v>
      </c>
      <c r="H1375" t="s">
        <v>62</v>
      </c>
      <c r="I1375" t="s">
        <v>140</v>
      </c>
      <c r="J1375" t="s">
        <v>34</v>
      </c>
      <c r="K1375" t="s">
        <v>184</v>
      </c>
      <c r="L1375">
        <v>9700</v>
      </c>
      <c r="M1375">
        <v>5</v>
      </c>
      <c r="N1375">
        <v>46075</v>
      </c>
      <c r="O1375" t="s">
        <v>105</v>
      </c>
      <c r="P1375">
        <v>1</v>
      </c>
      <c r="Q1375" t="s">
        <v>41</v>
      </c>
    </row>
    <row r="1376" spans="1:17" x14ac:dyDescent="0.3">
      <c r="A1376" t="s">
        <v>2435</v>
      </c>
      <c r="B1376" t="s">
        <v>1080</v>
      </c>
      <c r="C1376" t="s">
        <v>121</v>
      </c>
      <c r="E1376">
        <v>56</v>
      </c>
      <c r="F1376" t="s">
        <v>77</v>
      </c>
      <c r="G1376" t="s">
        <v>78</v>
      </c>
      <c r="H1376" t="s">
        <v>62</v>
      </c>
      <c r="I1376" t="s">
        <v>63</v>
      </c>
      <c r="J1376" t="s">
        <v>64</v>
      </c>
      <c r="K1376">
        <v>9</v>
      </c>
      <c r="L1376">
        <v>35000</v>
      </c>
      <c r="M1376">
        <v>10</v>
      </c>
      <c r="N1376">
        <v>283500</v>
      </c>
      <c r="O1376" t="s">
        <v>48</v>
      </c>
      <c r="P1376">
        <v>5</v>
      </c>
      <c r="Q1376" t="s">
        <v>41</v>
      </c>
    </row>
    <row r="1377" spans="1:17" x14ac:dyDescent="0.3">
      <c r="A1377" t="s">
        <v>2436</v>
      </c>
      <c r="B1377" t="s">
        <v>1252</v>
      </c>
      <c r="C1377" t="s">
        <v>38</v>
      </c>
      <c r="D1377" t="s">
        <v>39</v>
      </c>
      <c r="E1377">
        <v>50</v>
      </c>
      <c r="F1377" t="s">
        <v>30</v>
      </c>
      <c r="G1377" t="s">
        <v>31</v>
      </c>
      <c r="H1377" t="s">
        <v>62</v>
      </c>
      <c r="I1377" t="s">
        <v>140</v>
      </c>
      <c r="J1377" t="s">
        <v>80</v>
      </c>
      <c r="K1377">
        <v>5</v>
      </c>
      <c r="L1377">
        <v>37900</v>
      </c>
      <c r="M1377">
        <v>10</v>
      </c>
      <c r="N1377">
        <v>170550</v>
      </c>
      <c r="O1377" t="s">
        <v>105</v>
      </c>
      <c r="P1377">
        <v>4</v>
      </c>
      <c r="Q1377" t="s">
        <v>74</v>
      </c>
    </row>
    <row r="1378" spans="1:17" x14ac:dyDescent="0.3">
      <c r="A1378" t="s">
        <v>2437</v>
      </c>
      <c r="B1378" t="s">
        <v>2438</v>
      </c>
      <c r="C1378" t="s">
        <v>19</v>
      </c>
      <c r="D1378" t="s">
        <v>103</v>
      </c>
      <c r="E1378">
        <v>56</v>
      </c>
      <c r="F1378" t="s">
        <v>21</v>
      </c>
      <c r="G1378" t="s">
        <v>21</v>
      </c>
      <c r="H1378" t="s">
        <v>32</v>
      </c>
      <c r="I1378" t="s">
        <v>33</v>
      </c>
      <c r="J1378" t="s">
        <v>34</v>
      </c>
      <c r="K1378">
        <v>9</v>
      </c>
      <c r="L1378">
        <v>39100</v>
      </c>
      <c r="M1378">
        <v>10</v>
      </c>
      <c r="N1378">
        <v>316710</v>
      </c>
      <c r="O1378" t="s">
        <v>35</v>
      </c>
      <c r="P1378">
        <v>1</v>
      </c>
      <c r="Q1378" t="s">
        <v>41</v>
      </c>
    </row>
    <row r="1379" spans="1:17" x14ac:dyDescent="0.3">
      <c r="A1379" t="s">
        <v>2439</v>
      </c>
      <c r="B1379" t="s">
        <v>1836</v>
      </c>
      <c r="C1379" t="s">
        <v>71</v>
      </c>
      <c r="D1379" t="s">
        <v>20</v>
      </c>
      <c r="E1379">
        <v>62</v>
      </c>
      <c r="F1379" t="s">
        <v>77</v>
      </c>
      <c r="G1379" t="s">
        <v>78</v>
      </c>
      <c r="H1379" t="s">
        <v>32</v>
      </c>
      <c r="I1379" t="s">
        <v>53</v>
      </c>
      <c r="J1379" t="s">
        <v>89</v>
      </c>
      <c r="K1379">
        <v>9</v>
      </c>
      <c r="L1379">
        <v>48000</v>
      </c>
      <c r="M1379">
        <v>25</v>
      </c>
      <c r="N1379">
        <v>324000</v>
      </c>
      <c r="O1379" t="s">
        <v>105</v>
      </c>
      <c r="P1379">
        <v>4</v>
      </c>
      <c r="Q1379" t="s">
        <v>74</v>
      </c>
    </row>
    <row r="1380" spans="1:17" x14ac:dyDescent="0.3">
      <c r="A1380" t="s">
        <v>2440</v>
      </c>
      <c r="B1380" t="s">
        <v>2441</v>
      </c>
      <c r="C1380" t="s">
        <v>68</v>
      </c>
      <c r="D1380" t="s">
        <v>20</v>
      </c>
      <c r="E1380">
        <v>51</v>
      </c>
      <c r="F1380" t="s">
        <v>30</v>
      </c>
      <c r="G1380" t="s">
        <v>31</v>
      </c>
      <c r="H1380" t="s">
        <v>32</v>
      </c>
      <c r="I1380" t="s">
        <v>33</v>
      </c>
      <c r="J1380" t="s">
        <v>34</v>
      </c>
      <c r="K1380">
        <v>1</v>
      </c>
      <c r="L1380">
        <v>29300</v>
      </c>
      <c r="M1380">
        <v>0</v>
      </c>
      <c r="N1380">
        <v>29300</v>
      </c>
      <c r="O1380" t="s">
        <v>48</v>
      </c>
      <c r="P1380">
        <v>2</v>
      </c>
      <c r="Q1380" t="s">
        <v>65</v>
      </c>
    </row>
    <row r="1381" spans="1:17" x14ac:dyDescent="0.3">
      <c r="A1381" t="s">
        <v>2442</v>
      </c>
      <c r="B1381" t="s">
        <v>2443</v>
      </c>
      <c r="C1381" t="s">
        <v>19</v>
      </c>
      <c r="D1381" t="s">
        <v>20</v>
      </c>
      <c r="E1381">
        <v>57</v>
      </c>
      <c r="F1381" t="s">
        <v>30</v>
      </c>
      <c r="G1381" t="s">
        <v>57</v>
      </c>
      <c r="H1381" t="s">
        <v>431</v>
      </c>
      <c r="I1381" t="s">
        <v>79</v>
      </c>
      <c r="J1381" t="s">
        <v>34</v>
      </c>
      <c r="K1381">
        <v>9</v>
      </c>
      <c r="L1381">
        <v>10300</v>
      </c>
      <c r="M1381">
        <v>15</v>
      </c>
      <c r="N1381">
        <v>78795</v>
      </c>
      <c r="O1381" t="s">
        <v>25</v>
      </c>
      <c r="P1381">
        <v>5</v>
      </c>
      <c r="Q1381" t="s">
        <v>41</v>
      </c>
    </row>
    <row r="1382" spans="1:17" x14ac:dyDescent="0.3">
      <c r="A1382" t="s">
        <v>2444</v>
      </c>
      <c r="B1382" t="s">
        <v>43</v>
      </c>
      <c r="C1382" t="s">
        <v>88</v>
      </c>
      <c r="E1382">
        <v>38</v>
      </c>
      <c r="F1382" t="s">
        <v>61</v>
      </c>
      <c r="G1382" t="s">
        <v>61</v>
      </c>
      <c r="H1382" t="s">
        <v>22</v>
      </c>
      <c r="I1382" t="s">
        <v>84</v>
      </c>
      <c r="J1382" t="s">
        <v>34</v>
      </c>
      <c r="K1382">
        <v>6</v>
      </c>
      <c r="L1382">
        <v>21300</v>
      </c>
      <c r="M1382">
        <v>10</v>
      </c>
      <c r="N1382">
        <v>115020</v>
      </c>
      <c r="O1382" t="s">
        <v>48</v>
      </c>
      <c r="P1382">
        <v>1</v>
      </c>
      <c r="Q1382" t="s">
        <v>41</v>
      </c>
    </row>
    <row r="1383" spans="1:17" x14ac:dyDescent="0.3">
      <c r="A1383" t="s">
        <v>2445</v>
      </c>
      <c r="B1383" t="s">
        <v>2079</v>
      </c>
      <c r="C1383" t="s">
        <v>121</v>
      </c>
      <c r="D1383" t="s">
        <v>20</v>
      </c>
      <c r="E1383">
        <v>30</v>
      </c>
      <c r="F1383" t="s">
        <v>44</v>
      </c>
      <c r="G1383" t="s">
        <v>100</v>
      </c>
      <c r="H1383" t="s">
        <v>22</v>
      </c>
      <c r="I1383" t="s">
        <v>84</v>
      </c>
      <c r="J1383" t="s">
        <v>34</v>
      </c>
      <c r="K1383">
        <v>7</v>
      </c>
      <c r="L1383">
        <v>4100</v>
      </c>
      <c r="M1383">
        <v>25</v>
      </c>
      <c r="N1383">
        <v>21525</v>
      </c>
      <c r="O1383" t="s">
        <v>40</v>
      </c>
      <c r="Q1383" t="s">
        <v>65</v>
      </c>
    </row>
    <row r="1384" spans="1:17" x14ac:dyDescent="0.3">
      <c r="A1384" t="s">
        <v>2446</v>
      </c>
      <c r="B1384" t="s">
        <v>2447</v>
      </c>
      <c r="C1384" t="s">
        <v>38</v>
      </c>
      <c r="E1384">
        <v>35</v>
      </c>
      <c r="F1384" t="s">
        <v>44</v>
      </c>
      <c r="G1384" t="s">
        <v>45</v>
      </c>
      <c r="H1384" t="s">
        <v>32</v>
      </c>
      <c r="I1384" t="s">
        <v>53</v>
      </c>
      <c r="J1384" t="s">
        <v>34</v>
      </c>
      <c r="K1384">
        <v>1</v>
      </c>
      <c r="L1384">
        <v>6100</v>
      </c>
      <c r="M1384">
        <v>0</v>
      </c>
      <c r="N1384">
        <v>6100</v>
      </c>
      <c r="O1384" t="s">
        <v>40</v>
      </c>
      <c r="Q1384" t="s">
        <v>74</v>
      </c>
    </row>
    <row r="1385" spans="1:17" x14ac:dyDescent="0.3">
      <c r="A1385" t="s">
        <v>2448</v>
      </c>
      <c r="B1385" t="s">
        <v>347</v>
      </c>
      <c r="C1385" t="s">
        <v>29</v>
      </c>
      <c r="D1385" t="s">
        <v>103</v>
      </c>
      <c r="E1385">
        <v>52</v>
      </c>
      <c r="F1385" t="s">
        <v>77</v>
      </c>
      <c r="G1385" t="s">
        <v>95</v>
      </c>
      <c r="H1385" t="s">
        <v>22</v>
      </c>
      <c r="I1385" t="s">
        <v>84</v>
      </c>
      <c r="J1385" t="s">
        <v>72</v>
      </c>
      <c r="K1385">
        <v>7</v>
      </c>
      <c r="L1385">
        <v>48800</v>
      </c>
      <c r="M1385">
        <v>0</v>
      </c>
      <c r="N1385">
        <v>341600</v>
      </c>
      <c r="O1385" t="s">
        <v>85</v>
      </c>
      <c r="P1385">
        <v>2</v>
      </c>
      <c r="Q1385" t="s">
        <v>74</v>
      </c>
    </row>
    <row r="1386" spans="1:17" x14ac:dyDescent="0.3">
      <c r="A1386" t="s">
        <v>2449</v>
      </c>
      <c r="B1386" t="s">
        <v>490</v>
      </c>
      <c r="C1386" t="s">
        <v>38</v>
      </c>
      <c r="E1386">
        <v>62</v>
      </c>
      <c r="F1386" t="s">
        <v>30</v>
      </c>
      <c r="G1386" t="s">
        <v>57</v>
      </c>
      <c r="H1386" t="s">
        <v>46</v>
      </c>
      <c r="I1386" t="s">
        <v>79</v>
      </c>
      <c r="J1386" t="s">
        <v>24</v>
      </c>
      <c r="K1386">
        <v>6</v>
      </c>
      <c r="L1386">
        <v>46600</v>
      </c>
      <c r="M1386">
        <v>25</v>
      </c>
      <c r="N1386">
        <v>209700</v>
      </c>
      <c r="O1386" t="s">
        <v>73</v>
      </c>
      <c r="P1386">
        <v>5</v>
      </c>
      <c r="Q1386" t="s">
        <v>41</v>
      </c>
    </row>
    <row r="1387" spans="1:17" x14ac:dyDescent="0.3">
      <c r="A1387" t="s">
        <v>2450</v>
      </c>
      <c r="B1387" t="s">
        <v>1217</v>
      </c>
      <c r="C1387" t="s">
        <v>71</v>
      </c>
      <c r="D1387" t="s">
        <v>83</v>
      </c>
      <c r="E1387">
        <v>25</v>
      </c>
      <c r="F1387" t="s">
        <v>21</v>
      </c>
      <c r="G1387" t="s">
        <v>21</v>
      </c>
      <c r="H1387" t="s">
        <v>32</v>
      </c>
      <c r="I1387" t="s">
        <v>53</v>
      </c>
      <c r="J1387" t="s">
        <v>72</v>
      </c>
      <c r="K1387">
        <v>10</v>
      </c>
      <c r="L1387">
        <v>38600</v>
      </c>
      <c r="M1387">
        <v>5</v>
      </c>
      <c r="N1387">
        <v>366700</v>
      </c>
      <c r="O1387" t="s">
        <v>48</v>
      </c>
      <c r="P1387">
        <v>4</v>
      </c>
      <c r="Q1387" t="s">
        <v>74</v>
      </c>
    </row>
    <row r="1388" spans="1:17" x14ac:dyDescent="0.3">
      <c r="A1388" t="s">
        <v>2451</v>
      </c>
      <c r="B1388" t="s">
        <v>379</v>
      </c>
      <c r="C1388" t="s">
        <v>94</v>
      </c>
      <c r="E1388">
        <v>45</v>
      </c>
      <c r="F1388" t="s">
        <v>61</v>
      </c>
      <c r="G1388" t="s">
        <v>61</v>
      </c>
      <c r="H1388" t="s">
        <v>22</v>
      </c>
      <c r="I1388" t="s">
        <v>23</v>
      </c>
      <c r="J1388" t="s">
        <v>72</v>
      </c>
      <c r="K1388">
        <v>9</v>
      </c>
      <c r="L1388">
        <v>6200</v>
      </c>
      <c r="M1388">
        <v>5</v>
      </c>
      <c r="N1388">
        <v>53010</v>
      </c>
      <c r="O1388" t="s">
        <v>105</v>
      </c>
      <c r="Q1388" t="s">
        <v>65</v>
      </c>
    </row>
    <row r="1389" spans="1:17" x14ac:dyDescent="0.3">
      <c r="A1389" t="s">
        <v>2452</v>
      </c>
      <c r="B1389" t="s">
        <v>172</v>
      </c>
      <c r="C1389" t="s">
        <v>29</v>
      </c>
      <c r="D1389" t="s">
        <v>39</v>
      </c>
      <c r="E1389">
        <v>62</v>
      </c>
      <c r="F1389" t="s">
        <v>21</v>
      </c>
      <c r="G1389" t="s">
        <v>21</v>
      </c>
      <c r="H1389" t="s">
        <v>62</v>
      </c>
      <c r="I1389" t="s">
        <v>140</v>
      </c>
      <c r="J1389" t="s">
        <v>89</v>
      </c>
      <c r="K1389">
        <v>3</v>
      </c>
      <c r="L1389">
        <v>8400</v>
      </c>
      <c r="M1389">
        <v>5</v>
      </c>
      <c r="N1389">
        <v>23940</v>
      </c>
      <c r="O1389" t="s">
        <v>25</v>
      </c>
      <c r="P1389">
        <v>2</v>
      </c>
      <c r="Q1389" t="s">
        <v>26</v>
      </c>
    </row>
    <row r="1390" spans="1:17" x14ac:dyDescent="0.3">
      <c r="A1390" t="s">
        <v>2453</v>
      </c>
      <c r="B1390" t="s">
        <v>2022</v>
      </c>
      <c r="C1390" t="s">
        <v>113</v>
      </c>
      <c r="D1390" t="s">
        <v>83</v>
      </c>
      <c r="E1390">
        <v>43</v>
      </c>
      <c r="F1390" t="s">
        <v>44</v>
      </c>
      <c r="G1390" t="s">
        <v>100</v>
      </c>
      <c r="H1390" t="s">
        <v>62</v>
      </c>
      <c r="I1390" t="s">
        <v>63</v>
      </c>
      <c r="J1390" t="s">
        <v>34</v>
      </c>
      <c r="K1390">
        <v>7</v>
      </c>
      <c r="L1390">
        <v>49600</v>
      </c>
      <c r="M1390">
        <v>20</v>
      </c>
      <c r="N1390">
        <v>277760</v>
      </c>
      <c r="O1390" t="s">
        <v>40</v>
      </c>
      <c r="Q1390" t="s">
        <v>41</v>
      </c>
    </row>
    <row r="1391" spans="1:17" x14ac:dyDescent="0.3">
      <c r="A1391" t="s">
        <v>2454</v>
      </c>
      <c r="B1391" t="s">
        <v>1116</v>
      </c>
      <c r="C1391" t="s">
        <v>113</v>
      </c>
      <c r="E1391">
        <v>39</v>
      </c>
      <c r="F1391" t="s">
        <v>77</v>
      </c>
      <c r="G1391" t="s">
        <v>78</v>
      </c>
      <c r="H1391" t="s">
        <v>62</v>
      </c>
      <c r="I1391" t="s">
        <v>140</v>
      </c>
      <c r="J1391" t="s">
        <v>89</v>
      </c>
      <c r="K1391">
        <v>10</v>
      </c>
      <c r="L1391">
        <v>9000</v>
      </c>
      <c r="M1391">
        <v>5</v>
      </c>
      <c r="N1391" t="s">
        <v>2455</v>
      </c>
      <c r="O1391" t="s">
        <v>48</v>
      </c>
      <c r="P1391">
        <v>5</v>
      </c>
      <c r="Q1391" t="s">
        <v>65</v>
      </c>
    </row>
    <row r="1392" spans="1:17" x14ac:dyDescent="0.3">
      <c r="A1392" t="s">
        <v>2456</v>
      </c>
      <c r="B1392" t="s">
        <v>183</v>
      </c>
      <c r="C1392" t="s">
        <v>29</v>
      </c>
      <c r="D1392" t="s">
        <v>83</v>
      </c>
      <c r="E1392">
        <v>53</v>
      </c>
      <c r="F1392" t="s">
        <v>61</v>
      </c>
      <c r="G1392" t="s">
        <v>61</v>
      </c>
      <c r="H1392" t="s">
        <v>110</v>
      </c>
      <c r="I1392" t="s">
        <v>53</v>
      </c>
      <c r="J1392" t="s">
        <v>64</v>
      </c>
      <c r="K1392">
        <v>1</v>
      </c>
      <c r="L1392">
        <v>42500</v>
      </c>
      <c r="M1392">
        <v>20</v>
      </c>
      <c r="N1392">
        <v>34000</v>
      </c>
      <c r="O1392" t="s">
        <v>73</v>
      </c>
      <c r="P1392">
        <v>3</v>
      </c>
      <c r="Q1392" t="s">
        <v>41</v>
      </c>
    </row>
    <row r="1393" spans="1:17" x14ac:dyDescent="0.3">
      <c r="A1393" t="s">
        <v>2457</v>
      </c>
      <c r="B1393" t="s">
        <v>1048</v>
      </c>
      <c r="C1393" t="s">
        <v>113</v>
      </c>
      <c r="E1393">
        <v>31</v>
      </c>
      <c r="F1393" t="s">
        <v>51</v>
      </c>
      <c r="G1393" t="s">
        <v>104</v>
      </c>
      <c r="H1393" t="s">
        <v>46</v>
      </c>
      <c r="I1393" t="s">
        <v>47</v>
      </c>
      <c r="J1393" t="s">
        <v>80</v>
      </c>
      <c r="K1393">
        <v>5</v>
      </c>
      <c r="L1393">
        <v>22800</v>
      </c>
      <c r="M1393">
        <v>15</v>
      </c>
      <c r="N1393">
        <v>96900</v>
      </c>
      <c r="O1393" t="s">
        <v>35</v>
      </c>
      <c r="P1393">
        <v>1</v>
      </c>
      <c r="Q1393" t="s">
        <v>65</v>
      </c>
    </row>
    <row r="1394" spans="1:17" x14ac:dyDescent="0.3">
      <c r="A1394" t="s">
        <v>2458</v>
      </c>
      <c r="B1394" t="s">
        <v>1468</v>
      </c>
      <c r="C1394" t="s">
        <v>121</v>
      </c>
      <c r="D1394" t="s">
        <v>39</v>
      </c>
      <c r="E1394">
        <v>63</v>
      </c>
      <c r="F1394" t="s">
        <v>44</v>
      </c>
      <c r="G1394" t="s">
        <v>100</v>
      </c>
      <c r="H1394" t="s">
        <v>32</v>
      </c>
      <c r="I1394" t="s">
        <v>53</v>
      </c>
      <c r="J1394" t="s">
        <v>80</v>
      </c>
      <c r="K1394">
        <v>5</v>
      </c>
      <c r="L1394">
        <v>37200</v>
      </c>
      <c r="M1394">
        <v>10</v>
      </c>
      <c r="N1394">
        <v>167400</v>
      </c>
      <c r="O1394" t="s">
        <v>48</v>
      </c>
      <c r="Q1394" t="s">
        <v>65</v>
      </c>
    </row>
    <row r="1395" spans="1:17" x14ac:dyDescent="0.3">
      <c r="A1395" t="s">
        <v>2459</v>
      </c>
      <c r="B1395" t="s">
        <v>509</v>
      </c>
      <c r="C1395" t="s">
        <v>121</v>
      </c>
      <c r="D1395" t="s">
        <v>103</v>
      </c>
      <c r="E1395">
        <v>61</v>
      </c>
      <c r="F1395" t="s">
        <v>21</v>
      </c>
      <c r="G1395" t="s">
        <v>21</v>
      </c>
      <c r="H1395" t="s">
        <v>46</v>
      </c>
      <c r="I1395" t="s">
        <v>79</v>
      </c>
      <c r="J1395" t="s">
        <v>80</v>
      </c>
      <c r="K1395">
        <v>3</v>
      </c>
      <c r="L1395">
        <v>21700</v>
      </c>
      <c r="M1395">
        <v>10</v>
      </c>
      <c r="N1395">
        <v>58590</v>
      </c>
      <c r="O1395" t="s">
        <v>73</v>
      </c>
      <c r="Q1395" t="s">
        <v>26</v>
      </c>
    </row>
    <row r="1396" spans="1:17" x14ac:dyDescent="0.3">
      <c r="A1396" t="s">
        <v>2460</v>
      </c>
      <c r="B1396" t="s">
        <v>2130</v>
      </c>
      <c r="C1396" t="s">
        <v>94</v>
      </c>
      <c r="D1396" t="s">
        <v>20</v>
      </c>
      <c r="E1396">
        <v>33</v>
      </c>
      <c r="F1396" t="s">
        <v>30</v>
      </c>
      <c r="G1396" t="s">
        <v>31</v>
      </c>
      <c r="H1396" t="s">
        <v>62</v>
      </c>
      <c r="I1396" t="s">
        <v>63</v>
      </c>
      <c r="J1396" t="s">
        <v>64</v>
      </c>
      <c r="K1396">
        <v>9</v>
      </c>
      <c r="L1396">
        <v>45500</v>
      </c>
      <c r="M1396">
        <v>10</v>
      </c>
      <c r="N1396">
        <v>368550</v>
      </c>
      <c r="O1396" t="s">
        <v>105</v>
      </c>
      <c r="P1396">
        <v>1</v>
      </c>
      <c r="Q1396" t="s">
        <v>74</v>
      </c>
    </row>
    <row r="1397" spans="1:17" x14ac:dyDescent="0.3">
      <c r="A1397" t="s">
        <v>2461</v>
      </c>
      <c r="B1397" t="s">
        <v>613</v>
      </c>
      <c r="C1397" t="s">
        <v>38</v>
      </c>
      <c r="D1397" t="s">
        <v>39</v>
      </c>
      <c r="E1397">
        <v>48</v>
      </c>
      <c r="F1397" t="s">
        <v>30</v>
      </c>
      <c r="G1397" t="s">
        <v>57</v>
      </c>
      <c r="H1397" t="s">
        <v>46</v>
      </c>
      <c r="I1397" t="s">
        <v>79</v>
      </c>
      <c r="J1397" t="s">
        <v>89</v>
      </c>
      <c r="K1397">
        <v>5</v>
      </c>
      <c r="L1397">
        <v>9400</v>
      </c>
      <c r="M1397">
        <v>5</v>
      </c>
      <c r="N1397">
        <v>44650</v>
      </c>
      <c r="O1397" t="s">
        <v>35</v>
      </c>
      <c r="Q1397" t="s">
        <v>41</v>
      </c>
    </row>
    <row r="1398" spans="1:17" x14ac:dyDescent="0.3">
      <c r="A1398" t="s">
        <v>2462</v>
      </c>
      <c r="B1398" t="s">
        <v>2463</v>
      </c>
      <c r="C1398" t="s">
        <v>38</v>
      </c>
      <c r="D1398" t="s">
        <v>20</v>
      </c>
      <c r="E1398">
        <v>51</v>
      </c>
      <c r="F1398" t="s">
        <v>21</v>
      </c>
      <c r="G1398" t="s">
        <v>21</v>
      </c>
      <c r="H1398" t="s">
        <v>32</v>
      </c>
      <c r="I1398" t="s">
        <v>53</v>
      </c>
      <c r="J1398" t="s">
        <v>72</v>
      </c>
      <c r="K1398">
        <v>8</v>
      </c>
      <c r="L1398">
        <v>16000</v>
      </c>
      <c r="M1398">
        <v>20</v>
      </c>
      <c r="N1398">
        <v>102400</v>
      </c>
      <c r="O1398" t="s">
        <v>105</v>
      </c>
      <c r="P1398">
        <v>1</v>
      </c>
      <c r="Q1398" t="s">
        <v>41</v>
      </c>
    </row>
    <row r="1399" spans="1:17" x14ac:dyDescent="0.3">
      <c r="A1399" t="s">
        <v>2464</v>
      </c>
      <c r="B1399" t="s">
        <v>478</v>
      </c>
      <c r="C1399" t="s">
        <v>68</v>
      </c>
      <c r="D1399" t="s">
        <v>39</v>
      </c>
      <c r="E1399">
        <v>30</v>
      </c>
      <c r="F1399" t="s">
        <v>51</v>
      </c>
      <c r="G1399" t="s">
        <v>52</v>
      </c>
      <c r="H1399" t="s">
        <v>32</v>
      </c>
      <c r="I1399" t="s">
        <v>33</v>
      </c>
      <c r="J1399" t="s">
        <v>72</v>
      </c>
      <c r="K1399">
        <v>9</v>
      </c>
      <c r="L1399">
        <v>47700</v>
      </c>
      <c r="M1399">
        <v>25</v>
      </c>
      <c r="N1399">
        <v>321975</v>
      </c>
      <c r="O1399" t="s">
        <v>35</v>
      </c>
      <c r="P1399">
        <v>2</v>
      </c>
      <c r="Q1399" t="s">
        <v>26</v>
      </c>
    </row>
    <row r="1400" spans="1:17" x14ac:dyDescent="0.3">
      <c r="A1400" t="s">
        <v>2465</v>
      </c>
      <c r="B1400" t="s">
        <v>955</v>
      </c>
      <c r="C1400" t="s">
        <v>113</v>
      </c>
      <c r="E1400">
        <v>21</v>
      </c>
      <c r="F1400" t="s">
        <v>30</v>
      </c>
      <c r="G1400" t="s">
        <v>57</v>
      </c>
      <c r="H1400" t="s">
        <v>62</v>
      </c>
      <c r="I1400" t="s">
        <v>63</v>
      </c>
      <c r="J1400" t="s">
        <v>89</v>
      </c>
      <c r="K1400">
        <v>7</v>
      </c>
      <c r="L1400">
        <v>36900</v>
      </c>
      <c r="M1400">
        <v>5</v>
      </c>
      <c r="N1400">
        <v>245385</v>
      </c>
      <c r="O1400" t="s">
        <v>73</v>
      </c>
      <c r="P1400">
        <v>1</v>
      </c>
      <c r="Q1400" t="s">
        <v>41</v>
      </c>
    </row>
    <row r="1401" spans="1:17" x14ac:dyDescent="0.3">
      <c r="A1401" t="s">
        <v>2466</v>
      </c>
      <c r="B1401" t="s">
        <v>2467</v>
      </c>
      <c r="C1401" t="s">
        <v>19</v>
      </c>
      <c r="E1401">
        <v>29</v>
      </c>
      <c r="F1401" t="s">
        <v>77</v>
      </c>
      <c r="G1401" t="s">
        <v>78</v>
      </c>
      <c r="H1401" t="s">
        <v>431</v>
      </c>
      <c r="I1401" t="s">
        <v>79</v>
      </c>
      <c r="J1401" t="s">
        <v>80</v>
      </c>
      <c r="K1401">
        <v>2</v>
      </c>
      <c r="L1401">
        <v>7900</v>
      </c>
      <c r="M1401">
        <v>25</v>
      </c>
      <c r="N1401">
        <v>11850</v>
      </c>
      <c r="O1401" t="s">
        <v>40</v>
      </c>
      <c r="P1401">
        <v>3</v>
      </c>
      <c r="Q1401" t="s">
        <v>65</v>
      </c>
    </row>
    <row r="1402" spans="1:17" x14ac:dyDescent="0.3">
      <c r="A1402" t="s">
        <v>2468</v>
      </c>
      <c r="B1402" t="s">
        <v>1857</v>
      </c>
      <c r="C1402" t="s">
        <v>94</v>
      </c>
      <c r="D1402" t="s">
        <v>20</v>
      </c>
      <c r="E1402">
        <v>61</v>
      </c>
      <c r="F1402" t="s">
        <v>51</v>
      </c>
      <c r="G1402" t="s">
        <v>52</v>
      </c>
      <c r="H1402" t="s">
        <v>32</v>
      </c>
      <c r="I1402" t="s">
        <v>53</v>
      </c>
      <c r="J1402" t="s">
        <v>24</v>
      </c>
      <c r="K1402">
        <v>7</v>
      </c>
      <c r="L1402">
        <v>49300</v>
      </c>
      <c r="M1402">
        <v>25</v>
      </c>
      <c r="N1402">
        <v>258825</v>
      </c>
      <c r="O1402" t="s">
        <v>73</v>
      </c>
      <c r="Q1402" t="s">
        <v>41</v>
      </c>
    </row>
    <row r="1403" spans="1:17" x14ac:dyDescent="0.3">
      <c r="A1403" t="s">
        <v>2469</v>
      </c>
      <c r="B1403" t="s">
        <v>1323</v>
      </c>
      <c r="C1403" t="s">
        <v>94</v>
      </c>
      <c r="E1403">
        <v>52</v>
      </c>
      <c r="F1403" t="s">
        <v>1046</v>
      </c>
      <c r="G1403" t="s">
        <v>21</v>
      </c>
      <c r="H1403" t="s">
        <v>22</v>
      </c>
      <c r="I1403" t="s">
        <v>84</v>
      </c>
      <c r="J1403" t="s">
        <v>34</v>
      </c>
      <c r="K1403">
        <v>6</v>
      </c>
      <c r="L1403">
        <v>6500</v>
      </c>
      <c r="M1403">
        <v>5</v>
      </c>
      <c r="N1403">
        <v>37050</v>
      </c>
      <c r="O1403" t="s">
        <v>105</v>
      </c>
      <c r="P1403">
        <v>4</v>
      </c>
      <c r="Q1403" t="s">
        <v>26</v>
      </c>
    </row>
    <row r="1404" spans="1:17" x14ac:dyDescent="0.3">
      <c r="A1404" t="s">
        <v>2470</v>
      </c>
      <c r="B1404" t="s">
        <v>2471</v>
      </c>
      <c r="C1404" t="s">
        <v>94</v>
      </c>
      <c r="D1404" t="s">
        <v>83</v>
      </c>
      <c r="E1404">
        <v>48</v>
      </c>
      <c r="F1404" t="s">
        <v>61</v>
      </c>
      <c r="G1404" t="s">
        <v>61</v>
      </c>
      <c r="H1404" t="s">
        <v>32</v>
      </c>
      <c r="I1404" t="s">
        <v>33</v>
      </c>
      <c r="J1404" t="s">
        <v>72</v>
      </c>
      <c r="K1404">
        <v>8</v>
      </c>
      <c r="L1404">
        <v>36200</v>
      </c>
      <c r="M1404">
        <v>15</v>
      </c>
      <c r="N1404">
        <v>246160</v>
      </c>
      <c r="O1404" t="s">
        <v>85</v>
      </c>
      <c r="P1404">
        <v>2</v>
      </c>
      <c r="Q1404" t="s">
        <v>65</v>
      </c>
    </row>
    <row r="1405" spans="1:17" x14ac:dyDescent="0.3">
      <c r="A1405" t="s">
        <v>2472</v>
      </c>
      <c r="B1405" t="s">
        <v>172</v>
      </c>
      <c r="C1405" t="s">
        <v>38</v>
      </c>
      <c r="D1405" t="s">
        <v>20</v>
      </c>
      <c r="E1405">
        <v>44</v>
      </c>
      <c r="F1405" t="s">
        <v>51</v>
      </c>
      <c r="G1405" t="s">
        <v>104</v>
      </c>
      <c r="H1405" t="s">
        <v>62</v>
      </c>
      <c r="I1405" t="s">
        <v>63</v>
      </c>
      <c r="J1405" t="s">
        <v>72</v>
      </c>
      <c r="K1405">
        <v>5</v>
      </c>
      <c r="L1405">
        <v>2900</v>
      </c>
      <c r="M1405">
        <v>5</v>
      </c>
      <c r="N1405">
        <v>13775</v>
      </c>
      <c r="O1405" t="s">
        <v>48</v>
      </c>
      <c r="P1405">
        <v>1</v>
      </c>
      <c r="Q1405" t="s">
        <v>65</v>
      </c>
    </row>
    <row r="1406" spans="1:17" x14ac:dyDescent="0.3">
      <c r="A1406" t="s">
        <v>2473</v>
      </c>
      <c r="B1406" t="s">
        <v>568</v>
      </c>
      <c r="C1406" t="s">
        <v>38</v>
      </c>
      <c r="E1406">
        <v>23</v>
      </c>
      <c r="F1406" t="s">
        <v>56</v>
      </c>
      <c r="G1406" t="s">
        <v>31</v>
      </c>
      <c r="H1406" t="s">
        <v>62</v>
      </c>
      <c r="I1406" t="s">
        <v>140</v>
      </c>
      <c r="J1406" t="s">
        <v>72</v>
      </c>
      <c r="K1406">
        <v>6</v>
      </c>
      <c r="L1406">
        <v>11600</v>
      </c>
      <c r="M1406">
        <v>20</v>
      </c>
      <c r="N1406">
        <v>55680</v>
      </c>
      <c r="O1406" t="s">
        <v>85</v>
      </c>
      <c r="Q1406" t="s">
        <v>65</v>
      </c>
    </row>
    <row r="1407" spans="1:17" x14ac:dyDescent="0.3">
      <c r="A1407" t="s">
        <v>2474</v>
      </c>
      <c r="B1407" t="s">
        <v>2475</v>
      </c>
      <c r="C1407" t="s">
        <v>60</v>
      </c>
      <c r="E1407">
        <v>58</v>
      </c>
      <c r="F1407" t="s">
        <v>51</v>
      </c>
      <c r="G1407" t="s">
        <v>104</v>
      </c>
      <c r="H1407" t="s">
        <v>32</v>
      </c>
      <c r="I1407" t="s">
        <v>53</v>
      </c>
      <c r="J1407" t="s">
        <v>34</v>
      </c>
      <c r="K1407">
        <v>7</v>
      </c>
      <c r="L1407">
        <v>38500</v>
      </c>
      <c r="M1407">
        <v>25</v>
      </c>
      <c r="N1407" t="s">
        <v>2476</v>
      </c>
      <c r="O1407" t="s">
        <v>40</v>
      </c>
      <c r="P1407">
        <v>2</v>
      </c>
      <c r="Q1407" t="s">
        <v>26</v>
      </c>
    </row>
    <row r="1408" spans="1:17" x14ac:dyDescent="0.3">
      <c r="A1408" t="s">
        <v>2477</v>
      </c>
      <c r="B1408" t="s">
        <v>2478</v>
      </c>
      <c r="C1408" t="s">
        <v>113</v>
      </c>
      <c r="D1408" t="s">
        <v>39</v>
      </c>
      <c r="E1408">
        <v>48</v>
      </c>
      <c r="F1408" t="s">
        <v>61</v>
      </c>
      <c r="G1408" t="s">
        <v>61</v>
      </c>
      <c r="H1408" t="s">
        <v>22</v>
      </c>
      <c r="I1408" t="s">
        <v>23</v>
      </c>
      <c r="J1408" t="s">
        <v>80</v>
      </c>
      <c r="K1408" t="s">
        <v>278</v>
      </c>
      <c r="L1408">
        <v>34600</v>
      </c>
      <c r="M1408">
        <v>10</v>
      </c>
      <c r="N1408">
        <v>280260</v>
      </c>
      <c r="O1408" t="s">
        <v>25</v>
      </c>
      <c r="P1408">
        <v>4</v>
      </c>
      <c r="Q1408" t="s">
        <v>26</v>
      </c>
    </row>
    <row r="1409" spans="1:17" x14ac:dyDescent="0.3">
      <c r="A1409" t="s">
        <v>2479</v>
      </c>
      <c r="B1409" t="s">
        <v>1604</v>
      </c>
      <c r="C1409" t="s">
        <v>19</v>
      </c>
      <c r="E1409">
        <v>27</v>
      </c>
      <c r="F1409" t="s">
        <v>44</v>
      </c>
      <c r="G1409" t="s">
        <v>45</v>
      </c>
      <c r="H1409" t="s">
        <v>62</v>
      </c>
      <c r="I1409" t="s">
        <v>140</v>
      </c>
      <c r="J1409" t="s">
        <v>80</v>
      </c>
      <c r="K1409">
        <v>3</v>
      </c>
      <c r="L1409">
        <v>32700</v>
      </c>
      <c r="M1409">
        <v>5</v>
      </c>
      <c r="N1409">
        <v>93195</v>
      </c>
      <c r="O1409" t="s">
        <v>105</v>
      </c>
      <c r="Q1409" t="s">
        <v>26</v>
      </c>
    </row>
    <row r="1410" spans="1:17" x14ac:dyDescent="0.3">
      <c r="A1410" t="s">
        <v>2480</v>
      </c>
      <c r="B1410" t="s">
        <v>2481</v>
      </c>
      <c r="C1410" t="s">
        <v>71</v>
      </c>
      <c r="D1410" t="s">
        <v>83</v>
      </c>
      <c r="E1410">
        <v>24</v>
      </c>
      <c r="F1410" t="s">
        <v>30</v>
      </c>
      <c r="G1410" t="s">
        <v>31</v>
      </c>
      <c r="H1410" t="s">
        <v>32</v>
      </c>
      <c r="I1410" t="s">
        <v>53</v>
      </c>
      <c r="J1410" t="s">
        <v>24</v>
      </c>
      <c r="K1410">
        <v>9</v>
      </c>
      <c r="L1410">
        <v>27100</v>
      </c>
      <c r="M1410">
        <v>10</v>
      </c>
      <c r="N1410">
        <v>219510</v>
      </c>
      <c r="O1410" t="s">
        <v>48</v>
      </c>
      <c r="Q1410" t="s">
        <v>65</v>
      </c>
    </row>
    <row r="1411" spans="1:17" x14ac:dyDescent="0.3">
      <c r="A1411" t="s">
        <v>2482</v>
      </c>
      <c r="B1411" t="s">
        <v>787</v>
      </c>
      <c r="C1411" t="s">
        <v>60</v>
      </c>
      <c r="E1411">
        <v>42</v>
      </c>
      <c r="F1411" t="s">
        <v>61</v>
      </c>
      <c r="G1411" t="s">
        <v>61</v>
      </c>
      <c r="H1411" t="s">
        <v>455</v>
      </c>
      <c r="I1411" t="s">
        <v>63</v>
      </c>
      <c r="J1411" t="s">
        <v>89</v>
      </c>
      <c r="K1411">
        <v>5</v>
      </c>
      <c r="L1411">
        <v>48100</v>
      </c>
      <c r="M1411">
        <v>0</v>
      </c>
      <c r="N1411">
        <v>240500</v>
      </c>
      <c r="O1411" t="s">
        <v>105</v>
      </c>
      <c r="Q1411" t="s">
        <v>65</v>
      </c>
    </row>
    <row r="1412" spans="1:17" x14ac:dyDescent="0.3">
      <c r="A1412" t="s">
        <v>2483</v>
      </c>
      <c r="B1412" t="s">
        <v>2484</v>
      </c>
      <c r="C1412" t="s">
        <v>94</v>
      </c>
      <c r="D1412" t="s">
        <v>20</v>
      </c>
      <c r="E1412">
        <v>47</v>
      </c>
      <c r="F1412" t="s">
        <v>51</v>
      </c>
      <c r="G1412" t="s">
        <v>104</v>
      </c>
      <c r="H1412" t="s">
        <v>32</v>
      </c>
      <c r="I1412" t="s">
        <v>33</v>
      </c>
      <c r="J1412" t="s">
        <v>80</v>
      </c>
      <c r="K1412">
        <v>9</v>
      </c>
      <c r="L1412">
        <v>46600</v>
      </c>
      <c r="M1412">
        <v>15</v>
      </c>
      <c r="N1412">
        <v>356490</v>
      </c>
      <c r="O1412" t="s">
        <v>40</v>
      </c>
      <c r="P1412">
        <v>1</v>
      </c>
      <c r="Q1412" t="s">
        <v>41</v>
      </c>
    </row>
    <row r="1413" spans="1:17" x14ac:dyDescent="0.3">
      <c r="A1413" t="s">
        <v>2485</v>
      </c>
      <c r="B1413" t="s">
        <v>2486</v>
      </c>
      <c r="C1413" t="s">
        <v>68</v>
      </c>
      <c r="D1413" t="s">
        <v>20</v>
      </c>
      <c r="E1413">
        <v>22</v>
      </c>
      <c r="F1413" t="s">
        <v>21</v>
      </c>
      <c r="G1413" t="s">
        <v>21</v>
      </c>
      <c r="H1413" t="s">
        <v>32</v>
      </c>
      <c r="I1413" t="s">
        <v>53</v>
      </c>
      <c r="J1413" t="s">
        <v>34</v>
      </c>
      <c r="K1413">
        <v>2</v>
      </c>
      <c r="L1413">
        <v>2400</v>
      </c>
      <c r="M1413">
        <v>20</v>
      </c>
      <c r="N1413">
        <v>3840</v>
      </c>
      <c r="O1413" t="s">
        <v>48</v>
      </c>
      <c r="Q1413" t="s">
        <v>65</v>
      </c>
    </row>
    <row r="1414" spans="1:17" x14ac:dyDescent="0.3">
      <c r="A1414" t="s">
        <v>2487</v>
      </c>
      <c r="B1414" t="s">
        <v>2488</v>
      </c>
      <c r="C1414" t="s">
        <v>88</v>
      </c>
      <c r="D1414" t="s">
        <v>39</v>
      </c>
      <c r="E1414">
        <v>39</v>
      </c>
      <c r="F1414" t="s">
        <v>77</v>
      </c>
      <c r="G1414" t="s">
        <v>95</v>
      </c>
      <c r="H1414" t="s">
        <v>32</v>
      </c>
      <c r="I1414" t="s">
        <v>53</v>
      </c>
      <c r="J1414" t="s">
        <v>72</v>
      </c>
      <c r="K1414">
        <v>2</v>
      </c>
      <c r="L1414">
        <v>18900</v>
      </c>
      <c r="M1414">
        <v>20</v>
      </c>
      <c r="N1414">
        <v>30240</v>
      </c>
      <c r="O1414" t="s">
        <v>40</v>
      </c>
      <c r="P1414">
        <v>2</v>
      </c>
      <c r="Q1414" t="s">
        <v>74</v>
      </c>
    </row>
    <row r="1415" spans="1:17" x14ac:dyDescent="0.3">
      <c r="A1415" t="s">
        <v>2489</v>
      </c>
      <c r="B1415" t="s">
        <v>865</v>
      </c>
      <c r="C1415" t="s">
        <v>38</v>
      </c>
      <c r="D1415" t="s">
        <v>20</v>
      </c>
      <c r="E1415">
        <v>52</v>
      </c>
      <c r="F1415" t="s">
        <v>51</v>
      </c>
      <c r="G1415" t="s">
        <v>52</v>
      </c>
      <c r="H1415" t="s">
        <v>32</v>
      </c>
      <c r="I1415" t="s">
        <v>53</v>
      </c>
      <c r="J1415" t="s">
        <v>24</v>
      </c>
      <c r="K1415">
        <v>2</v>
      </c>
      <c r="L1415">
        <v>30000</v>
      </c>
      <c r="M1415">
        <v>20</v>
      </c>
      <c r="N1415">
        <v>48000</v>
      </c>
      <c r="O1415" t="s">
        <v>40</v>
      </c>
      <c r="P1415">
        <v>5</v>
      </c>
      <c r="Q1415" t="s">
        <v>74</v>
      </c>
    </row>
    <row r="1416" spans="1:17" x14ac:dyDescent="0.3">
      <c r="A1416" t="s">
        <v>2490</v>
      </c>
      <c r="B1416" t="s">
        <v>1231</v>
      </c>
      <c r="C1416" t="s">
        <v>113</v>
      </c>
      <c r="D1416" t="s">
        <v>103</v>
      </c>
      <c r="E1416">
        <v>57</v>
      </c>
      <c r="F1416" t="s">
        <v>61</v>
      </c>
      <c r="G1416" t="s">
        <v>61</v>
      </c>
      <c r="H1416" t="s">
        <v>22</v>
      </c>
      <c r="I1416" t="s">
        <v>23</v>
      </c>
      <c r="J1416" t="s">
        <v>34</v>
      </c>
      <c r="K1416">
        <v>7</v>
      </c>
      <c r="L1416">
        <v>28900</v>
      </c>
      <c r="M1416">
        <v>15</v>
      </c>
      <c r="N1416">
        <v>171955</v>
      </c>
      <c r="O1416" t="s">
        <v>73</v>
      </c>
      <c r="P1416">
        <v>1</v>
      </c>
      <c r="Q1416" t="s">
        <v>74</v>
      </c>
    </row>
    <row r="1417" spans="1:17" x14ac:dyDescent="0.3">
      <c r="A1417" t="s">
        <v>2491</v>
      </c>
      <c r="B1417" t="s">
        <v>1912</v>
      </c>
      <c r="C1417" t="s">
        <v>94</v>
      </c>
      <c r="D1417" t="s">
        <v>20</v>
      </c>
      <c r="E1417">
        <v>31</v>
      </c>
      <c r="F1417" t="s">
        <v>44</v>
      </c>
      <c r="G1417" t="s">
        <v>45</v>
      </c>
      <c r="H1417" t="s">
        <v>62</v>
      </c>
      <c r="I1417" t="s">
        <v>63</v>
      </c>
      <c r="J1417" t="s">
        <v>72</v>
      </c>
      <c r="K1417">
        <v>9</v>
      </c>
      <c r="L1417">
        <v>21200</v>
      </c>
      <c r="M1417">
        <v>25</v>
      </c>
      <c r="N1417">
        <v>143100</v>
      </c>
      <c r="O1417" t="s">
        <v>40</v>
      </c>
      <c r="Q1417" t="s">
        <v>74</v>
      </c>
    </row>
    <row r="1418" spans="1:17" x14ac:dyDescent="0.3">
      <c r="A1418" t="s">
        <v>2492</v>
      </c>
      <c r="B1418" t="s">
        <v>167</v>
      </c>
      <c r="C1418" t="s">
        <v>71</v>
      </c>
      <c r="D1418" t="s">
        <v>39</v>
      </c>
      <c r="E1418">
        <v>28</v>
      </c>
      <c r="F1418" t="s">
        <v>51</v>
      </c>
      <c r="G1418" t="s">
        <v>104</v>
      </c>
      <c r="H1418" t="s">
        <v>22</v>
      </c>
      <c r="I1418" t="s">
        <v>23</v>
      </c>
      <c r="J1418" t="s">
        <v>72</v>
      </c>
      <c r="K1418">
        <v>4</v>
      </c>
      <c r="L1418">
        <v>36100</v>
      </c>
      <c r="M1418">
        <v>5</v>
      </c>
      <c r="N1418">
        <v>137180</v>
      </c>
      <c r="O1418" t="s">
        <v>48</v>
      </c>
      <c r="P1418">
        <v>4</v>
      </c>
      <c r="Q1418" t="s">
        <v>41</v>
      </c>
    </row>
    <row r="1419" spans="1:17" x14ac:dyDescent="0.3">
      <c r="A1419" t="s">
        <v>2493</v>
      </c>
      <c r="B1419" t="s">
        <v>2146</v>
      </c>
      <c r="C1419" t="s">
        <v>88</v>
      </c>
      <c r="E1419">
        <v>64</v>
      </c>
      <c r="F1419" t="s">
        <v>21</v>
      </c>
      <c r="G1419" t="s">
        <v>21</v>
      </c>
      <c r="H1419" t="s">
        <v>62</v>
      </c>
      <c r="I1419" t="s">
        <v>63</v>
      </c>
      <c r="J1419" t="s">
        <v>34</v>
      </c>
      <c r="K1419">
        <v>1</v>
      </c>
      <c r="L1419">
        <v>7000</v>
      </c>
      <c r="M1419">
        <v>10</v>
      </c>
      <c r="N1419">
        <v>6300</v>
      </c>
      <c r="O1419" t="s">
        <v>73</v>
      </c>
      <c r="P1419">
        <v>1</v>
      </c>
      <c r="Q1419" t="s">
        <v>65</v>
      </c>
    </row>
    <row r="1420" spans="1:17" x14ac:dyDescent="0.3">
      <c r="A1420" t="s">
        <v>2494</v>
      </c>
      <c r="B1420" t="s">
        <v>2495</v>
      </c>
      <c r="C1420" t="s">
        <v>113</v>
      </c>
      <c r="D1420" t="s">
        <v>20</v>
      </c>
      <c r="E1420">
        <v>29</v>
      </c>
      <c r="F1420" t="s">
        <v>44</v>
      </c>
      <c r="G1420" t="s">
        <v>100</v>
      </c>
      <c r="H1420" t="s">
        <v>62</v>
      </c>
      <c r="I1420" t="s">
        <v>63</v>
      </c>
      <c r="J1420" t="s">
        <v>24</v>
      </c>
      <c r="K1420">
        <v>10</v>
      </c>
      <c r="L1420">
        <v>48100</v>
      </c>
      <c r="M1420">
        <v>0</v>
      </c>
      <c r="N1420">
        <v>481000</v>
      </c>
      <c r="O1420" t="s">
        <v>73</v>
      </c>
      <c r="P1420">
        <v>1</v>
      </c>
      <c r="Q1420" t="s">
        <v>26</v>
      </c>
    </row>
    <row r="1421" spans="1:17" x14ac:dyDescent="0.3">
      <c r="A1421" t="s">
        <v>2496</v>
      </c>
      <c r="B1421" t="s">
        <v>2497</v>
      </c>
      <c r="C1421" t="s">
        <v>29</v>
      </c>
      <c r="D1421" t="s">
        <v>39</v>
      </c>
      <c r="E1421">
        <v>37</v>
      </c>
      <c r="F1421" t="s">
        <v>77</v>
      </c>
      <c r="G1421" t="s">
        <v>95</v>
      </c>
      <c r="H1421" t="s">
        <v>32</v>
      </c>
      <c r="I1421" t="s">
        <v>53</v>
      </c>
      <c r="J1421" t="s">
        <v>24</v>
      </c>
      <c r="K1421">
        <v>2</v>
      </c>
      <c r="L1421">
        <v>25700</v>
      </c>
      <c r="M1421">
        <v>0</v>
      </c>
      <c r="N1421">
        <v>51400</v>
      </c>
      <c r="O1421" t="s">
        <v>48</v>
      </c>
      <c r="P1421">
        <v>5</v>
      </c>
      <c r="Q1421" t="s">
        <v>74</v>
      </c>
    </row>
    <row r="1422" spans="1:17" x14ac:dyDescent="0.3">
      <c r="A1422" t="s">
        <v>2498</v>
      </c>
      <c r="B1422" t="s">
        <v>1864</v>
      </c>
      <c r="C1422" t="s">
        <v>19</v>
      </c>
      <c r="D1422" t="s">
        <v>20</v>
      </c>
      <c r="E1422">
        <v>19</v>
      </c>
      <c r="F1422" t="s">
        <v>77</v>
      </c>
      <c r="G1422" t="s">
        <v>95</v>
      </c>
      <c r="H1422" t="s">
        <v>46</v>
      </c>
      <c r="I1422" t="s">
        <v>47</v>
      </c>
      <c r="J1422" t="s">
        <v>64</v>
      </c>
      <c r="K1422">
        <v>10</v>
      </c>
      <c r="L1422">
        <v>46200</v>
      </c>
      <c r="M1422">
        <v>20</v>
      </c>
      <c r="N1422">
        <v>369600</v>
      </c>
      <c r="O1422" t="s">
        <v>35</v>
      </c>
      <c r="P1422">
        <v>5</v>
      </c>
      <c r="Q1422" t="s">
        <v>65</v>
      </c>
    </row>
    <row r="1423" spans="1:17" x14ac:dyDescent="0.3">
      <c r="A1423" t="s">
        <v>2499</v>
      </c>
      <c r="B1423" t="s">
        <v>2172</v>
      </c>
      <c r="C1423" t="s">
        <v>71</v>
      </c>
      <c r="E1423">
        <v>18</v>
      </c>
      <c r="F1423" t="s">
        <v>44</v>
      </c>
      <c r="G1423" t="s">
        <v>100</v>
      </c>
      <c r="H1423" t="s">
        <v>62</v>
      </c>
      <c r="I1423" t="s">
        <v>63</v>
      </c>
      <c r="J1423" t="s">
        <v>64</v>
      </c>
      <c r="K1423">
        <v>7</v>
      </c>
      <c r="L1423">
        <v>26600</v>
      </c>
      <c r="M1423">
        <v>15</v>
      </c>
      <c r="N1423">
        <v>158270</v>
      </c>
      <c r="O1423" t="s">
        <v>35</v>
      </c>
      <c r="P1423">
        <v>3</v>
      </c>
      <c r="Q1423" t="s">
        <v>65</v>
      </c>
    </row>
    <row r="1424" spans="1:17" x14ac:dyDescent="0.3">
      <c r="A1424" t="s">
        <v>2500</v>
      </c>
      <c r="B1424" t="s">
        <v>2501</v>
      </c>
      <c r="C1424" t="s">
        <v>38</v>
      </c>
      <c r="D1424" t="s">
        <v>39</v>
      </c>
      <c r="E1424">
        <v>55</v>
      </c>
      <c r="F1424" t="s">
        <v>30</v>
      </c>
      <c r="G1424" t="s">
        <v>31</v>
      </c>
      <c r="H1424" t="s">
        <v>455</v>
      </c>
      <c r="I1424" t="s">
        <v>140</v>
      </c>
      <c r="J1424" t="s">
        <v>72</v>
      </c>
      <c r="K1424">
        <v>1</v>
      </c>
      <c r="L1424">
        <v>28800</v>
      </c>
      <c r="M1424">
        <v>10</v>
      </c>
      <c r="N1424">
        <v>25920</v>
      </c>
      <c r="O1424" t="s">
        <v>162</v>
      </c>
      <c r="P1424">
        <v>4</v>
      </c>
      <c r="Q1424" t="s">
        <v>26</v>
      </c>
    </row>
    <row r="1425" spans="1:17" x14ac:dyDescent="0.3">
      <c r="A1425" t="s">
        <v>2502</v>
      </c>
      <c r="B1425" t="s">
        <v>617</v>
      </c>
      <c r="C1425" t="s">
        <v>88</v>
      </c>
      <c r="D1425" t="s">
        <v>20</v>
      </c>
      <c r="E1425">
        <v>35</v>
      </c>
      <c r="F1425" t="s">
        <v>21</v>
      </c>
      <c r="G1425" t="s">
        <v>21</v>
      </c>
      <c r="H1425" t="s">
        <v>32</v>
      </c>
      <c r="I1425" t="s">
        <v>33</v>
      </c>
      <c r="J1425" t="s">
        <v>89</v>
      </c>
      <c r="K1425">
        <v>9</v>
      </c>
      <c r="L1425">
        <v>47600</v>
      </c>
      <c r="M1425">
        <v>25</v>
      </c>
      <c r="N1425">
        <v>321300</v>
      </c>
      <c r="O1425" t="s">
        <v>25</v>
      </c>
      <c r="P1425">
        <v>4</v>
      </c>
      <c r="Q1425" t="s">
        <v>26</v>
      </c>
    </row>
    <row r="1426" spans="1:17" x14ac:dyDescent="0.3">
      <c r="A1426" t="s">
        <v>2503</v>
      </c>
      <c r="B1426" t="s">
        <v>2504</v>
      </c>
      <c r="C1426" t="s">
        <v>71</v>
      </c>
      <c r="E1426">
        <v>50</v>
      </c>
      <c r="F1426" t="s">
        <v>61</v>
      </c>
      <c r="G1426" t="s">
        <v>61</v>
      </c>
      <c r="H1426" t="s">
        <v>46</v>
      </c>
      <c r="I1426" t="s">
        <v>79</v>
      </c>
      <c r="J1426" t="s">
        <v>89</v>
      </c>
      <c r="K1426">
        <v>6</v>
      </c>
      <c r="L1426">
        <v>27000</v>
      </c>
      <c r="M1426">
        <v>25</v>
      </c>
      <c r="N1426">
        <v>121500</v>
      </c>
      <c r="O1426" t="s">
        <v>35</v>
      </c>
      <c r="P1426">
        <v>4</v>
      </c>
      <c r="Q1426" t="s">
        <v>41</v>
      </c>
    </row>
    <row r="1427" spans="1:17" x14ac:dyDescent="0.3">
      <c r="A1427" t="s">
        <v>2505</v>
      </c>
      <c r="B1427" t="s">
        <v>651</v>
      </c>
      <c r="C1427" t="s">
        <v>60</v>
      </c>
      <c r="D1427" t="s">
        <v>103</v>
      </c>
      <c r="E1427">
        <v>31</v>
      </c>
      <c r="F1427" t="s">
        <v>61</v>
      </c>
      <c r="G1427" t="s">
        <v>61</v>
      </c>
      <c r="H1427" t="s">
        <v>32</v>
      </c>
      <c r="I1427" t="s">
        <v>53</v>
      </c>
      <c r="J1427" t="s">
        <v>72</v>
      </c>
      <c r="K1427">
        <v>10</v>
      </c>
      <c r="L1427">
        <v>38800</v>
      </c>
      <c r="M1427">
        <v>5</v>
      </c>
      <c r="N1427">
        <v>368600</v>
      </c>
      <c r="O1427" t="s">
        <v>40</v>
      </c>
      <c r="P1427">
        <v>2</v>
      </c>
      <c r="Q1427" t="s">
        <v>74</v>
      </c>
    </row>
    <row r="1428" spans="1:17" x14ac:dyDescent="0.3">
      <c r="A1428" t="s">
        <v>2506</v>
      </c>
      <c r="B1428" t="s">
        <v>319</v>
      </c>
      <c r="C1428" t="s">
        <v>113</v>
      </c>
      <c r="D1428" t="s">
        <v>39</v>
      </c>
      <c r="E1428">
        <v>38</v>
      </c>
      <c r="F1428" t="s">
        <v>427</v>
      </c>
      <c r="G1428" t="s">
        <v>78</v>
      </c>
      <c r="H1428" t="s">
        <v>22</v>
      </c>
      <c r="I1428" t="s">
        <v>23</v>
      </c>
      <c r="J1428" t="s">
        <v>72</v>
      </c>
      <c r="K1428">
        <v>5</v>
      </c>
      <c r="L1428">
        <v>24400</v>
      </c>
      <c r="M1428">
        <v>20</v>
      </c>
      <c r="N1428">
        <v>97600</v>
      </c>
      <c r="O1428" t="s">
        <v>105</v>
      </c>
      <c r="P1428">
        <v>2</v>
      </c>
      <c r="Q1428" t="s">
        <v>74</v>
      </c>
    </row>
    <row r="1429" spans="1:17" x14ac:dyDescent="0.3">
      <c r="A1429" t="s">
        <v>2507</v>
      </c>
      <c r="B1429" t="s">
        <v>2508</v>
      </c>
      <c r="C1429" t="s">
        <v>60</v>
      </c>
      <c r="D1429" t="s">
        <v>39</v>
      </c>
      <c r="E1429">
        <v>20</v>
      </c>
      <c r="F1429" t="s">
        <v>44</v>
      </c>
      <c r="G1429" t="s">
        <v>45</v>
      </c>
      <c r="H1429" t="s">
        <v>46</v>
      </c>
      <c r="I1429" t="s">
        <v>47</v>
      </c>
      <c r="J1429" t="s">
        <v>80</v>
      </c>
      <c r="K1429" t="s">
        <v>165</v>
      </c>
      <c r="L1429">
        <v>12300</v>
      </c>
      <c r="M1429">
        <v>15</v>
      </c>
      <c r="N1429">
        <v>10455</v>
      </c>
      <c r="O1429" t="s">
        <v>40</v>
      </c>
      <c r="P1429">
        <v>4</v>
      </c>
      <c r="Q1429" t="s">
        <v>41</v>
      </c>
    </row>
    <row r="1430" spans="1:17" x14ac:dyDescent="0.3">
      <c r="A1430" t="s">
        <v>2509</v>
      </c>
      <c r="B1430" t="s">
        <v>234</v>
      </c>
      <c r="C1430" t="s">
        <v>71</v>
      </c>
      <c r="E1430">
        <v>35</v>
      </c>
      <c r="F1430" t="s">
        <v>390</v>
      </c>
      <c r="G1430" t="s">
        <v>61</v>
      </c>
      <c r="H1430" t="s">
        <v>22</v>
      </c>
      <c r="I1430" t="s">
        <v>84</v>
      </c>
      <c r="J1430" t="s">
        <v>34</v>
      </c>
      <c r="K1430">
        <v>1</v>
      </c>
      <c r="L1430">
        <v>49700</v>
      </c>
      <c r="M1430">
        <v>25</v>
      </c>
      <c r="N1430">
        <v>37275</v>
      </c>
      <c r="O1430" t="s">
        <v>25</v>
      </c>
      <c r="P1430">
        <v>1</v>
      </c>
      <c r="Q1430" t="s">
        <v>41</v>
      </c>
    </row>
    <row r="1431" spans="1:17" x14ac:dyDescent="0.3">
      <c r="A1431" t="s">
        <v>2510</v>
      </c>
      <c r="B1431" t="s">
        <v>2511</v>
      </c>
      <c r="C1431" t="s">
        <v>68</v>
      </c>
      <c r="E1431">
        <v>35</v>
      </c>
      <c r="F1431" t="s">
        <v>107</v>
      </c>
      <c r="G1431" t="s">
        <v>104</v>
      </c>
      <c r="H1431" t="s">
        <v>32</v>
      </c>
      <c r="I1431" t="s">
        <v>53</v>
      </c>
      <c r="J1431" t="s">
        <v>80</v>
      </c>
      <c r="K1431">
        <v>5</v>
      </c>
      <c r="L1431">
        <v>46200</v>
      </c>
      <c r="M1431">
        <v>25</v>
      </c>
      <c r="N1431">
        <v>173250</v>
      </c>
      <c r="O1431" t="s">
        <v>48</v>
      </c>
      <c r="P1431">
        <v>4</v>
      </c>
      <c r="Q1431" t="s">
        <v>26</v>
      </c>
    </row>
    <row r="1432" spans="1:17" x14ac:dyDescent="0.3">
      <c r="A1432" t="s">
        <v>2512</v>
      </c>
      <c r="B1432" t="s">
        <v>2060</v>
      </c>
      <c r="C1432" t="s">
        <v>113</v>
      </c>
      <c r="D1432" t="s">
        <v>20</v>
      </c>
      <c r="E1432">
        <v>59</v>
      </c>
      <c r="F1432" t="s">
        <v>30</v>
      </c>
      <c r="G1432" t="s">
        <v>57</v>
      </c>
      <c r="H1432" t="s">
        <v>62</v>
      </c>
      <c r="I1432" t="s">
        <v>63</v>
      </c>
      <c r="J1432" t="s">
        <v>80</v>
      </c>
      <c r="K1432">
        <v>5</v>
      </c>
      <c r="L1432">
        <v>4600</v>
      </c>
      <c r="M1432">
        <v>5</v>
      </c>
      <c r="N1432">
        <v>21850</v>
      </c>
      <c r="O1432" t="s">
        <v>105</v>
      </c>
      <c r="Q1432" t="s">
        <v>26</v>
      </c>
    </row>
    <row r="1433" spans="1:17" x14ac:dyDescent="0.3">
      <c r="A1433" t="s">
        <v>2513</v>
      </c>
      <c r="B1433" t="s">
        <v>340</v>
      </c>
      <c r="C1433" t="s">
        <v>29</v>
      </c>
      <c r="D1433" t="s">
        <v>103</v>
      </c>
      <c r="E1433">
        <v>37</v>
      </c>
      <c r="F1433" t="s">
        <v>61</v>
      </c>
      <c r="G1433" t="s">
        <v>61</v>
      </c>
      <c r="H1433" t="s">
        <v>46</v>
      </c>
      <c r="I1433" t="s">
        <v>79</v>
      </c>
      <c r="J1433" t="s">
        <v>72</v>
      </c>
      <c r="K1433">
        <v>7</v>
      </c>
      <c r="L1433">
        <v>35400</v>
      </c>
      <c r="M1433">
        <v>20</v>
      </c>
      <c r="N1433">
        <v>198240</v>
      </c>
      <c r="O1433" t="s">
        <v>25</v>
      </c>
      <c r="P1433">
        <v>4</v>
      </c>
      <c r="Q1433" t="s">
        <v>41</v>
      </c>
    </row>
    <row r="1434" spans="1:17" x14ac:dyDescent="0.3">
      <c r="A1434" t="s">
        <v>2514</v>
      </c>
      <c r="B1434" t="s">
        <v>91</v>
      </c>
      <c r="C1434" t="s">
        <v>94</v>
      </c>
      <c r="E1434">
        <v>31</v>
      </c>
      <c r="F1434" t="s">
        <v>21</v>
      </c>
      <c r="G1434" t="s">
        <v>21</v>
      </c>
      <c r="H1434" t="s">
        <v>116</v>
      </c>
      <c r="I1434" t="s">
        <v>84</v>
      </c>
      <c r="J1434" t="s">
        <v>24</v>
      </c>
      <c r="K1434">
        <v>5</v>
      </c>
      <c r="L1434">
        <v>18700</v>
      </c>
      <c r="M1434">
        <v>25</v>
      </c>
      <c r="N1434">
        <v>70125</v>
      </c>
      <c r="O1434" t="s">
        <v>25</v>
      </c>
      <c r="P1434">
        <v>1</v>
      </c>
      <c r="Q1434" t="s">
        <v>65</v>
      </c>
    </row>
    <row r="1435" spans="1:17" x14ac:dyDescent="0.3">
      <c r="A1435" t="s">
        <v>2515</v>
      </c>
      <c r="B1435" t="s">
        <v>2516</v>
      </c>
      <c r="C1435" t="s">
        <v>113</v>
      </c>
      <c r="D1435" t="s">
        <v>83</v>
      </c>
      <c r="E1435">
        <v>59</v>
      </c>
      <c r="F1435" t="s">
        <v>30</v>
      </c>
      <c r="G1435" t="s">
        <v>31</v>
      </c>
      <c r="H1435" t="s">
        <v>46</v>
      </c>
      <c r="I1435" t="s">
        <v>47</v>
      </c>
      <c r="J1435" t="s">
        <v>64</v>
      </c>
      <c r="K1435">
        <v>1</v>
      </c>
      <c r="L1435">
        <v>37400</v>
      </c>
      <c r="M1435">
        <v>0</v>
      </c>
      <c r="N1435">
        <v>37400</v>
      </c>
      <c r="O1435" t="s">
        <v>73</v>
      </c>
      <c r="Q1435" t="s">
        <v>41</v>
      </c>
    </row>
    <row r="1436" spans="1:17" x14ac:dyDescent="0.3">
      <c r="A1436" t="s">
        <v>2517</v>
      </c>
      <c r="B1436" t="s">
        <v>2408</v>
      </c>
      <c r="C1436" t="s">
        <v>113</v>
      </c>
      <c r="E1436">
        <v>52</v>
      </c>
      <c r="F1436" t="s">
        <v>61</v>
      </c>
      <c r="G1436" t="s">
        <v>61</v>
      </c>
      <c r="H1436" t="s">
        <v>32</v>
      </c>
      <c r="I1436" t="s">
        <v>33</v>
      </c>
      <c r="J1436" t="s">
        <v>24</v>
      </c>
      <c r="K1436">
        <v>1</v>
      </c>
      <c r="L1436">
        <v>5300</v>
      </c>
      <c r="M1436">
        <v>15</v>
      </c>
      <c r="N1436">
        <v>4505</v>
      </c>
      <c r="O1436" t="s">
        <v>105</v>
      </c>
      <c r="P1436">
        <v>4</v>
      </c>
      <c r="Q1436" t="s">
        <v>74</v>
      </c>
    </row>
    <row r="1437" spans="1:17" x14ac:dyDescent="0.3">
      <c r="A1437" t="s">
        <v>2518</v>
      </c>
      <c r="B1437" t="s">
        <v>2519</v>
      </c>
      <c r="C1437" t="s">
        <v>88</v>
      </c>
      <c r="D1437" t="s">
        <v>103</v>
      </c>
      <c r="E1437">
        <v>65</v>
      </c>
      <c r="F1437" t="s">
        <v>44</v>
      </c>
      <c r="G1437" t="s">
        <v>45</v>
      </c>
      <c r="H1437" t="s">
        <v>32</v>
      </c>
      <c r="I1437" t="s">
        <v>33</v>
      </c>
      <c r="J1437" t="s">
        <v>80</v>
      </c>
      <c r="K1437" t="s">
        <v>1321</v>
      </c>
      <c r="L1437">
        <v>24600</v>
      </c>
      <c r="M1437">
        <v>10</v>
      </c>
      <c r="N1437">
        <v>66420</v>
      </c>
      <c r="O1437" t="s">
        <v>35</v>
      </c>
      <c r="P1437">
        <v>4</v>
      </c>
      <c r="Q1437" t="s">
        <v>65</v>
      </c>
    </row>
    <row r="1438" spans="1:17" x14ac:dyDescent="0.3">
      <c r="A1438" t="s">
        <v>2520</v>
      </c>
      <c r="B1438" t="s">
        <v>1828</v>
      </c>
      <c r="C1438" t="s">
        <v>19</v>
      </c>
      <c r="D1438" t="s">
        <v>103</v>
      </c>
      <c r="E1438">
        <v>43</v>
      </c>
      <c r="F1438" t="s">
        <v>77</v>
      </c>
      <c r="G1438" t="s">
        <v>78</v>
      </c>
      <c r="H1438" t="s">
        <v>32</v>
      </c>
      <c r="I1438" t="s">
        <v>53</v>
      </c>
      <c r="J1438" t="s">
        <v>72</v>
      </c>
      <c r="K1438">
        <v>4</v>
      </c>
      <c r="L1438">
        <v>2200</v>
      </c>
      <c r="M1438">
        <v>10</v>
      </c>
      <c r="N1438">
        <v>7920</v>
      </c>
      <c r="O1438" t="s">
        <v>73</v>
      </c>
      <c r="P1438">
        <v>5</v>
      </c>
      <c r="Q1438" t="s">
        <v>41</v>
      </c>
    </row>
    <row r="1439" spans="1:17" x14ac:dyDescent="0.3">
      <c r="A1439" t="s">
        <v>2521</v>
      </c>
      <c r="B1439" t="s">
        <v>1887</v>
      </c>
      <c r="C1439" t="s">
        <v>121</v>
      </c>
      <c r="D1439" t="s">
        <v>20</v>
      </c>
      <c r="E1439">
        <v>24</v>
      </c>
      <c r="F1439" t="s">
        <v>44</v>
      </c>
      <c r="G1439" t="s">
        <v>100</v>
      </c>
      <c r="H1439" t="s">
        <v>22</v>
      </c>
      <c r="I1439" t="s">
        <v>84</v>
      </c>
      <c r="J1439" t="s">
        <v>64</v>
      </c>
      <c r="K1439">
        <v>1</v>
      </c>
      <c r="L1439">
        <v>42800</v>
      </c>
      <c r="M1439">
        <v>0</v>
      </c>
      <c r="N1439">
        <v>42800</v>
      </c>
      <c r="O1439" t="s">
        <v>73</v>
      </c>
      <c r="P1439">
        <v>1</v>
      </c>
      <c r="Q1439" t="s">
        <v>65</v>
      </c>
    </row>
    <row r="1440" spans="1:17" x14ac:dyDescent="0.3">
      <c r="A1440" t="s">
        <v>2522</v>
      </c>
      <c r="B1440" t="s">
        <v>2523</v>
      </c>
      <c r="C1440" t="s">
        <v>94</v>
      </c>
      <c r="D1440" t="s">
        <v>83</v>
      </c>
      <c r="E1440">
        <v>50</v>
      </c>
      <c r="F1440" t="s">
        <v>1046</v>
      </c>
      <c r="G1440" t="s">
        <v>21</v>
      </c>
      <c r="H1440" t="s">
        <v>62</v>
      </c>
      <c r="I1440" t="s">
        <v>63</v>
      </c>
      <c r="J1440" t="s">
        <v>89</v>
      </c>
      <c r="K1440">
        <v>1</v>
      </c>
      <c r="L1440">
        <v>3800</v>
      </c>
      <c r="M1440">
        <v>10</v>
      </c>
      <c r="N1440">
        <v>3420</v>
      </c>
      <c r="O1440" t="s">
        <v>48</v>
      </c>
      <c r="Q1440" t="s">
        <v>74</v>
      </c>
    </row>
    <row r="1441" spans="1:17" x14ac:dyDescent="0.3">
      <c r="A1441" t="s">
        <v>2524</v>
      </c>
      <c r="B1441" t="s">
        <v>2525</v>
      </c>
      <c r="C1441" t="s">
        <v>113</v>
      </c>
      <c r="D1441" t="s">
        <v>20</v>
      </c>
      <c r="E1441">
        <v>53</v>
      </c>
      <c r="F1441" t="s">
        <v>77</v>
      </c>
      <c r="G1441" t="s">
        <v>78</v>
      </c>
      <c r="H1441" t="s">
        <v>22</v>
      </c>
      <c r="I1441" t="s">
        <v>84</v>
      </c>
      <c r="J1441" t="s">
        <v>89</v>
      </c>
      <c r="K1441">
        <v>4</v>
      </c>
      <c r="L1441">
        <v>17000</v>
      </c>
      <c r="M1441">
        <v>0</v>
      </c>
      <c r="N1441">
        <v>68000</v>
      </c>
      <c r="O1441" t="s">
        <v>105</v>
      </c>
      <c r="P1441">
        <v>5</v>
      </c>
      <c r="Q1441" t="s">
        <v>65</v>
      </c>
    </row>
    <row r="1442" spans="1:17" x14ac:dyDescent="0.3">
      <c r="A1442" t="s">
        <v>2526</v>
      </c>
      <c r="B1442" t="s">
        <v>2527</v>
      </c>
      <c r="C1442" t="s">
        <v>19</v>
      </c>
      <c r="D1442" t="s">
        <v>83</v>
      </c>
      <c r="E1442">
        <v>18</v>
      </c>
      <c r="F1442" t="s">
        <v>21</v>
      </c>
      <c r="G1442" t="s">
        <v>21</v>
      </c>
      <c r="H1442" t="s">
        <v>46</v>
      </c>
      <c r="I1442" t="s">
        <v>47</v>
      </c>
      <c r="J1442" t="s">
        <v>80</v>
      </c>
      <c r="K1442" t="s">
        <v>863</v>
      </c>
      <c r="L1442">
        <v>23800</v>
      </c>
      <c r="M1442">
        <v>25</v>
      </c>
      <c r="N1442">
        <v>124950</v>
      </c>
      <c r="O1442" t="s">
        <v>35</v>
      </c>
      <c r="P1442">
        <v>2</v>
      </c>
      <c r="Q1442" t="s">
        <v>74</v>
      </c>
    </row>
    <row r="1443" spans="1:17" x14ac:dyDescent="0.3">
      <c r="A1443" t="s">
        <v>2528</v>
      </c>
      <c r="B1443" t="s">
        <v>2153</v>
      </c>
      <c r="C1443" t="s">
        <v>68</v>
      </c>
      <c r="E1443">
        <v>40</v>
      </c>
      <c r="F1443" t="s">
        <v>30</v>
      </c>
      <c r="G1443" t="s">
        <v>57</v>
      </c>
      <c r="H1443" t="s">
        <v>46</v>
      </c>
      <c r="I1443" t="s">
        <v>79</v>
      </c>
      <c r="J1443" t="s">
        <v>72</v>
      </c>
      <c r="K1443">
        <v>8</v>
      </c>
      <c r="L1443">
        <v>44600</v>
      </c>
      <c r="M1443">
        <v>20</v>
      </c>
      <c r="N1443">
        <v>285440</v>
      </c>
      <c r="O1443" t="s">
        <v>85</v>
      </c>
      <c r="P1443">
        <v>3</v>
      </c>
      <c r="Q1443" t="s">
        <v>26</v>
      </c>
    </row>
    <row r="1444" spans="1:17" x14ac:dyDescent="0.3">
      <c r="A1444" t="s">
        <v>2529</v>
      </c>
      <c r="B1444" t="s">
        <v>2530</v>
      </c>
      <c r="C1444" t="s">
        <v>94</v>
      </c>
      <c r="D1444" t="s">
        <v>20</v>
      </c>
      <c r="E1444">
        <v>45</v>
      </c>
      <c r="F1444" t="s">
        <v>21</v>
      </c>
      <c r="G1444" t="s">
        <v>21</v>
      </c>
      <c r="H1444" t="s">
        <v>32</v>
      </c>
      <c r="I1444" t="s">
        <v>33</v>
      </c>
      <c r="J1444" t="s">
        <v>80</v>
      </c>
      <c r="K1444">
        <v>5</v>
      </c>
      <c r="L1444">
        <v>45500</v>
      </c>
      <c r="M1444">
        <v>10</v>
      </c>
      <c r="N1444">
        <v>204750</v>
      </c>
      <c r="O1444" t="s">
        <v>105</v>
      </c>
      <c r="Q1444" t="s">
        <v>74</v>
      </c>
    </row>
    <row r="1445" spans="1:17" x14ac:dyDescent="0.3">
      <c r="A1445" t="s">
        <v>2531</v>
      </c>
      <c r="B1445" t="s">
        <v>2495</v>
      </c>
      <c r="C1445" t="s">
        <v>121</v>
      </c>
      <c r="E1445">
        <v>23</v>
      </c>
      <c r="F1445" t="s">
        <v>51</v>
      </c>
      <c r="G1445" t="s">
        <v>52</v>
      </c>
      <c r="H1445" t="s">
        <v>46</v>
      </c>
      <c r="I1445" t="s">
        <v>47</v>
      </c>
      <c r="J1445" t="s">
        <v>80</v>
      </c>
      <c r="K1445">
        <v>6</v>
      </c>
      <c r="L1445">
        <v>19100</v>
      </c>
      <c r="M1445">
        <v>25</v>
      </c>
      <c r="N1445">
        <v>85950</v>
      </c>
      <c r="O1445" t="s">
        <v>105</v>
      </c>
      <c r="Q1445" t="s">
        <v>41</v>
      </c>
    </row>
    <row r="1446" spans="1:17" x14ac:dyDescent="0.3">
      <c r="A1446" t="s">
        <v>2532</v>
      </c>
      <c r="B1446" t="s">
        <v>1836</v>
      </c>
      <c r="C1446" t="s">
        <v>68</v>
      </c>
      <c r="D1446" t="s">
        <v>39</v>
      </c>
      <c r="E1446">
        <v>42</v>
      </c>
      <c r="F1446" t="s">
        <v>51</v>
      </c>
      <c r="G1446" t="s">
        <v>104</v>
      </c>
      <c r="H1446" t="s">
        <v>32</v>
      </c>
      <c r="I1446" t="s">
        <v>33</v>
      </c>
      <c r="J1446" t="s">
        <v>34</v>
      </c>
      <c r="K1446">
        <v>7</v>
      </c>
      <c r="L1446">
        <v>18500</v>
      </c>
      <c r="M1446">
        <v>25</v>
      </c>
      <c r="N1446">
        <v>97125</v>
      </c>
      <c r="O1446" t="s">
        <v>40</v>
      </c>
      <c r="P1446">
        <v>2</v>
      </c>
      <c r="Q1446" t="s">
        <v>26</v>
      </c>
    </row>
    <row r="1447" spans="1:17" x14ac:dyDescent="0.3">
      <c r="A1447" t="s">
        <v>2533</v>
      </c>
      <c r="B1447" t="s">
        <v>2534</v>
      </c>
      <c r="C1447" t="s">
        <v>94</v>
      </c>
      <c r="D1447" t="s">
        <v>83</v>
      </c>
      <c r="E1447">
        <v>21</v>
      </c>
      <c r="F1447" t="s">
        <v>61</v>
      </c>
      <c r="G1447" t="s">
        <v>61</v>
      </c>
      <c r="H1447" t="s">
        <v>22</v>
      </c>
      <c r="I1447" t="s">
        <v>23</v>
      </c>
      <c r="J1447" t="s">
        <v>34</v>
      </c>
      <c r="K1447">
        <v>5</v>
      </c>
      <c r="L1447">
        <v>25800</v>
      </c>
      <c r="M1447">
        <v>25</v>
      </c>
      <c r="N1447">
        <v>96750</v>
      </c>
      <c r="O1447" t="s">
        <v>35</v>
      </c>
      <c r="Q1447" t="s">
        <v>26</v>
      </c>
    </row>
    <row r="1448" spans="1:17" x14ac:dyDescent="0.3">
      <c r="A1448" t="s">
        <v>2535</v>
      </c>
      <c r="B1448" t="s">
        <v>2237</v>
      </c>
      <c r="C1448" t="s">
        <v>71</v>
      </c>
      <c r="D1448" t="s">
        <v>83</v>
      </c>
      <c r="E1448">
        <v>18</v>
      </c>
      <c r="F1448" t="s">
        <v>30</v>
      </c>
      <c r="G1448" t="s">
        <v>31</v>
      </c>
      <c r="H1448" t="s">
        <v>32</v>
      </c>
      <c r="I1448" t="s">
        <v>33</v>
      </c>
      <c r="J1448" t="s">
        <v>89</v>
      </c>
      <c r="K1448">
        <v>9</v>
      </c>
      <c r="L1448">
        <v>15900</v>
      </c>
      <c r="M1448">
        <v>15</v>
      </c>
      <c r="N1448">
        <v>121635</v>
      </c>
      <c r="O1448" t="s">
        <v>48</v>
      </c>
      <c r="P1448">
        <v>2</v>
      </c>
      <c r="Q1448" t="s">
        <v>41</v>
      </c>
    </row>
    <row r="1449" spans="1:17" x14ac:dyDescent="0.3">
      <c r="A1449" t="s">
        <v>2536</v>
      </c>
      <c r="B1449" t="s">
        <v>358</v>
      </c>
      <c r="C1449" t="s">
        <v>113</v>
      </c>
      <c r="D1449" t="s">
        <v>39</v>
      </c>
      <c r="E1449">
        <v>38</v>
      </c>
      <c r="F1449" t="s">
        <v>77</v>
      </c>
      <c r="G1449" t="s">
        <v>78</v>
      </c>
      <c r="H1449" t="s">
        <v>62</v>
      </c>
      <c r="I1449" t="s">
        <v>63</v>
      </c>
      <c r="J1449" t="s">
        <v>24</v>
      </c>
      <c r="K1449">
        <v>1</v>
      </c>
      <c r="L1449">
        <v>9000</v>
      </c>
      <c r="M1449">
        <v>25</v>
      </c>
      <c r="N1449">
        <v>6750</v>
      </c>
      <c r="O1449" t="s">
        <v>25</v>
      </c>
      <c r="P1449">
        <v>4</v>
      </c>
      <c r="Q1449" t="s">
        <v>74</v>
      </c>
    </row>
    <row r="1450" spans="1:17" x14ac:dyDescent="0.3">
      <c r="A1450" t="s">
        <v>2537</v>
      </c>
      <c r="B1450" t="s">
        <v>2525</v>
      </c>
      <c r="C1450" t="s">
        <v>60</v>
      </c>
      <c r="D1450" t="s">
        <v>103</v>
      </c>
      <c r="E1450">
        <v>22</v>
      </c>
      <c r="F1450" t="s">
        <v>44</v>
      </c>
      <c r="G1450" t="s">
        <v>45</v>
      </c>
      <c r="H1450" t="s">
        <v>22</v>
      </c>
      <c r="I1450" t="s">
        <v>84</v>
      </c>
      <c r="J1450" t="s">
        <v>34</v>
      </c>
      <c r="K1450">
        <v>2</v>
      </c>
      <c r="L1450">
        <v>38300</v>
      </c>
      <c r="M1450">
        <v>10</v>
      </c>
      <c r="N1450">
        <v>68940</v>
      </c>
      <c r="O1450" t="s">
        <v>105</v>
      </c>
      <c r="P1450">
        <v>1</v>
      </c>
      <c r="Q1450" t="s">
        <v>74</v>
      </c>
    </row>
    <row r="1451" spans="1:17" x14ac:dyDescent="0.3">
      <c r="A1451" t="s">
        <v>2538</v>
      </c>
      <c r="B1451" t="s">
        <v>467</v>
      </c>
      <c r="C1451" t="s">
        <v>88</v>
      </c>
      <c r="D1451" t="s">
        <v>20</v>
      </c>
      <c r="E1451">
        <v>44</v>
      </c>
      <c r="F1451" t="s">
        <v>30</v>
      </c>
      <c r="G1451" t="s">
        <v>57</v>
      </c>
      <c r="H1451" t="s">
        <v>62</v>
      </c>
      <c r="I1451" t="s">
        <v>63</v>
      </c>
      <c r="J1451" t="s">
        <v>72</v>
      </c>
      <c r="K1451">
        <v>9</v>
      </c>
      <c r="L1451">
        <v>43900</v>
      </c>
      <c r="M1451">
        <v>20</v>
      </c>
      <c r="N1451">
        <v>316080</v>
      </c>
      <c r="O1451" t="s">
        <v>48</v>
      </c>
      <c r="P1451">
        <v>1</v>
      </c>
      <c r="Q1451" t="s">
        <v>41</v>
      </c>
    </row>
    <row r="1452" spans="1:17" x14ac:dyDescent="0.3">
      <c r="A1452" t="s">
        <v>2539</v>
      </c>
      <c r="B1452" t="s">
        <v>968</v>
      </c>
      <c r="C1452" t="s">
        <v>19</v>
      </c>
      <c r="D1452" t="s">
        <v>83</v>
      </c>
      <c r="E1452">
        <v>27</v>
      </c>
      <c r="F1452" t="s">
        <v>812</v>
      </c>
      <c r="G1452" t="s">
        <v>78</v>
      </c>
      <c r="H1452" t="s">
        <v>32</v>
      </c>
      <c r="I1452" t="s">
        <v>33</v>
      </c>
      <c r="J1452" t="s">
        <v>72</v>
      </c>
      <c r="K1452">
        <v>2</v>
      </c>
      <c r="L1452">
        <v>38100</v>
      </c>
      <c r="M1452">
        <v>15</v>
      </c>
      <c r="N1452">
        <v>64770</v>
      </c>
      <c r="O1452" t="s">
        <v>35</v>
      </c>
      <c r="P1452">
        <v>1</v>
      </c>
      <c r="Q1452" t="s">
        <v>74</v>
      </c>
    </row>
    <row r="1453" spans="1:17" x14ac:dyDescent="0.3">
      <c r="A1453" t="s">
        <v>2540</v>
      </c>
      <c r="B1453" t="s">
        <v>2541</v>
      </c>
      <c r="C1453" t="s">
        <v>68</v>
      </c>
      <c r="D1453" t="s">
        <v>39</v>
      </c>
      <c r="E1453">
        <v>24</v>
      </c>
      <c r="F1453" t="s">
        <v>30</v>
      </c>
      <c r="G1453" t="s">
        <v>31</v>
      </c>
      <c r="H1453" t="s">
        <v>62</v>
      </c>
      <c r="I1453" t="s">
        <v>63</v>
      </c>
      <c r="J1453" t="s">
        <v>72</v>
      </c>
      <c r="K1453">
        <v>5</v>
      </c>
      <c r="L1453">
        <v>43100</v>
      </c>
      <c r="M1453">
        <v>10</v>
      </c>
      <c r="N1453">
        <v>193950</v>
      </c>
      <c r="O1453" t="s">
        <v>105</v>
      </c>
      <c r="P1453">
        <v>1</v>
      </c>
      <c r="Q1453" t="s">
        <v>41</v>
      </c>
    </row>
    <row r="1454" spans="1:17" x14ac:dyDescent="0.3">
      <c r="A1454" t="s">
        <v>2542</v>
      </c>
      <c r="B1454" t="s">
        <v>2328</v>
      </c>
      <c r="C1454" t="s">
        <v>68</v>
      </c>
      <c r="D1454" t="s">
        <v>83</v>
      </c>
      <c r="E1454">
        <v>59</v>
      </c>
      <c r="F1454" t="s">
        <v>44</v>
      </c>
      <c r="G1454" t="s">
        <v>100</v>
      </c>
      <c r="H1454" t="s">
        <v>22</v>
      </c>
      <c r="I1454" t="s">
        <v>23</v>
      </c>
      <c r="J1454" t="s">
        <v>64</v>
      </c>
      <c r="K1454" t="s">
        <v>1072</v>
      </c>
      <c r="L1454">
        <v>41900</v>
      </c>
      <c r="M1454">
        <v>20</v>
      </c>
      <c r="N1454">
        <v>268160</v>
      </c>
      <c r="O1454" t="s">
        <v>85</v>
      </c>
      <c r="P1454">
        <v>1</v>
      </c>
      <c r="Q1454" t="s">
        <v>41</v>
      </c>
    </row>
    <row r="1455" spans="1:17" x14ac:dyDescent="0.3">
      <c r="A1455" t="s">
        <v>2543</v>
      </c>
      <c r="B1455" t="s">
        <v>2544</v>
      </c>
      <c r="C1455" t="s">
        <v>121</v>
      </c>
      <c r="E1455">
        <v>58</v>
      </c>
      <c r="F1455" t="s">
        <v>77</v>
      </c>
      <c r="G1455" t="s">
        <v>95</v>
      </c>
      <c r="H1455" t="s">
        <v>62</v>
      </c>
      <c r="I1455" t="s">
        <v>140</v>
      </c>
      <c r="J1455" t="s">
        <v>89</v>
      </c>
      <c r="K1455">
        <v>10</v>
      </c>
      <c r="L1455">
        <v>6800</v>
      </c>
      <c r="M1455">
        <v>5</v>
      </c>
      <c r="N1455">
        <v>64600</v>
      </c>
      <c r="O1455" t="s">
        <v>85</v>
      </c>
      <c r="P1455">
        <v>2</v>
      </c>
      <c r="Q1455" t="s">
        <v>74</v>
      </c>
    </row>
    <row r="1456" spans="1:17" x14ac:dyDescent="0.3">
      <c r="A1456" t="s">
        <v>2545</v>
      </c>
      <c r="B1456" t="s">
        <v>1086</v>
      </c>
      <c r="C1456" t="s">
        <v>88</v>
      </c>
      <c r="D1456" t="s">
        <v>39</v>
      </c>
      <c r="E1456">
        <v>45</v>
      </c>
      <c r="F1456" t="s">
        <v>30</v>
      </c>
      <c r="G1456" t="s">
        <v>31</v>
      </c>
      <c r="H1456" t="s">
        <v>22</v>
      </c>
      <c r="I1456" t="s">
        <v>23</v>
      </c>
      <c r="J1456" t="s">
        <v>64</v>
      </c>
      <c r="K1456">
        <v>9</v>
      </c>
      <c r="L1456">
        <v>42600</v>
      </c>
      <c r="M1456">
        <v>10</v>
      </c>
      <c r="N1456">
        <v>345060</v>
      </c>
      <c r="O1456" t="s">
        <v>40</v>
      </c>
      <c r="Q1456" t="s">
        <v>41</v>
      </c>
    </row>
    <row r="1457" spans="1:17" x14ac:dyDescent="0.3">
      <c r="A1457" t="s">
        <v>2546</v>
      </c>
      <c r="B1457" t="s">
        <v>2547</v>
      </c>
      <c r="C1457" t="s">
        <v>19</v>
      </c>
      <c r="D1457" t="s">
        <v>83</v>
      </c>
      <c r="E1457">
        <v>-3</v>
      </c>
      <c r="F1457" t="s">
        <v>44</v>
      </c>
      <c r="G1457" t="s">
        <v>45</v>
      </c>
      <c r="H1457" t="s">
        <v>46</v>
      </c>
      <c r="I1457" t="s">
        <v>47</v>
      </c>
      <c r="J1457" t="s">
        <v>89</v>
      </c>
      <c r="K1457">
        <v>4</v>
      </c>
      <c r="L1457">
        <v>16100</v>
      </c>
      <c r="M1457">
        <v>5</v>
      </c>
      <c r="N1457">
        <v>61180</v>
      </c>
      <c r="O1457" t="s">
        <v>35</v>
      </c>
      <c r="P1457">
        <v>5</v>
      </c>
      <c r="Q1457" t="s">
        <v>26</v>
      </c>
    </row>
    <row r="1458" spans="1:17" x14ac:dyDescent="0.3">
      <c r="A1458" t="s">
        <v>2548</v>
      </c>
      <c r="B1458" t="s">
        <v>1779</v>
      </c>
      <c r="C1458" t="s">
        <v>88</v>
      </c>
      <c r="D1458" t="s">
        <v>83</v>
      </c>
      <c r="E1458">
        <v>61</v>
      </c>
      <c r="F1458" t="s">
        <v>77</v>
      </c>
      <c r="G1458" t="s">
        <v>78</v>
      </c>
      <c r="H1458" t="s">
        <v>110</v>
      </c>
      <c r="I1458" t="s">
        <v>33</v>
      </c>
      <c r="J1458" t="s">
        <v>34</v>
      </c>
      <c r="K1458">
        <v>5</v>
      </c>
      <c r="L1458">
        <v>14600</v>
      </c>
      <c r="M1458">
        <v>25</v>
      </c>
      <c r="N1458">
        <v>54750</v>
      </c>
      <c r="O1458" t="s">
        <v>105</v>
      </c>
      <c r="P1458">
        <v>4</v>
      </c>
      <c r="Q1458" t="s">
        <v>26</v>
      </c>
    </row>
    <row r="1459" spans="1:17" x14ac:dyDescent="0.3">
      <c r="A1459" t="s">
        <v>2549</v>
      </c>
      <c r="B1459" t="s">
        <v>1685</v>
      </c>
      <c r="C1459" t="s">
        <v>19</v>
      </c>
      <c r="E1459">
        <v>48</v>
      </c>
      <c r="F1459" t="s">
        <v>30</v>
      </c>
      <c r="G1459" t="s">
        <v>31</v>
      </c>
      <c r="H1459" t="s">
        <v>46</v>
      </c>
      <c r="I1459" t="s">
        <v>47</v>
      </c>
      <c r="J1459" t="s">
        <v>64</v>
      </c>
      <c r="K1459">
        <v>5</v>
      </c>
      <c r="L1459">
        <v>29900</v>
      </c>
      <c r="M1459">
        <v>10</v>
      </c>
      <c r="N1459">
        <v>134550</v>
      </c>
      <c r="O1459" t="s">
        <v>85</v>
      </c>
      <c r="P1459">
        <v>2</v>
      </c>
      <c r="Q1459" t="s">
        <v>41</v>
      </c>
    </row>
    <row r="1460" spans="1:17" x14ac:dyDescent="0.3">
      <c r="A1460" t="s">
        <v>2550</v>
      </c>
      <c r="B1460" t="s">
        <v>1935</v>
      </c>
      <c r="C1460" t="s">
        <v>29</v>
      </c>
      <c r="D1460" t="s">
        <v>103</v>
      </c>
      <c r="E1460">
        <v>56</v>
      </c>
      <c r="F1460" t="s">
        <v>44</v>
      </c>
      <c r="G1460" t="s">
        <v>45</v>
      </c>
      <c r="H1460" t="s">
        <v>46</v>
      </c>
      <c r="I1460" t="s">
        <v>79</v>
      </c>
      <c r="J1460" t="s">
        <v>24</v>
      </c>
      <c r="K1460">
        <v>1</v>
      </c>
      <c r="L1460">
        <v>37700</v>
      </c>
      <c r="M1460">
        <v>15</v>
      </c>
      <c r="N1460">
        <v>32045</v>
      </c>
      <c r="O1460" t="s">
        <v>40</v>
      </c>
      <c r="P1460">
        <v>4</v>
      </c>
      <c r="Q1460" t="s">
        <v>41</v>
      </c>
    </row>
    <row r="1461" spans="1:17" x14ac:dyDescent="0.3">
      <c r="A1461" t="s">
        <v>2551</v>
      </c>
      <c r="B1461" t="s">
        <v>2552</v>
      </c>
      <c r="C1461" t="s">
        <v>60</v>
      </c>
      <c r="D1461" t="s">
        <v>39</v>
      </c>
      <c r="E1461">
        <v>22</v>
      </c>
      <c r="F1461" t="s">
        <v>1193</v>
      </c>
      <c r="G1461" t="s">
        <v>31</v>
      </c>
      <c r="H1461" t="s">
        <v>62</v>
      </c>
      <c r="I1461" t="s">
        <v>63</v>
      </c>
      <c r="J1461" t="s">
        <v>64</v>
      </c>
      <c r="K1461">
        <v>9</v>
      </c>
      <c r="L1461">
        <v>13500</v>
      </c>
      <c r="M1461">
        <v>15</v>
      </c>
      <c r="N1461">
        <v>103275</v>
      </c>
      <c r="O1461" t="s">
        <v>40</v>
      </c>
      <c r="Q1461" t="s">
        <v>41</v>
      </c>
    </row>
    <row r="1462" spans="1:17" x14ac:dyDescent="0.3">
      <c r="A1462" t="s">
        <v>2553</v>
      </c>
      <c r="B1462" t="s">
        <v>2554</v>
      </c>
      <c r="C1462" t="s">
        <v>71</v>
      </c>
      <c r="D1462" t="s">
        <v>83</v>
      </c>
      <c r="E1462">
        <v>22</v>
      </c>
      <c r="F1462" t="s">
        <v>44</v>
      </c>
      <c r="G1462" t="s">
        <v>100</v>
      </c>
      <c r="H1462" t="s">
        <v>62</v>
      </c>
      <c r="I1462" t="s">
        <v>140</v>
      </c>
      <c r="J1462" t="s">
        <v>89</v>
      </c>
      <c r="K1462">
        <v>8</v>
      </c>
      <c r="L1462">
        <v>37700</v>
      </c>
      <c r="M1462">
        <v>0</v>
      </c>
      <c r="N1462">
        <v>301600</v>
      </c>
      <c r="O1462" t="s">
        <v>73</v>
      </c>
      <c r="Q1462" t="s">
        <v>74</v>
      </c>
    </row>
    <row r="1463" spans="1:17" x14ac:dyDescent="0.3">
      <c r="A1463" t="s">
        <v>2555</v>
      </c>
      <c r="B1463" t="s">
        <v>617</v>
      </c>
      <c r="C1463" t="s">
        <v>60</v>
      </c>
      <c r="D1463" t="s">
        <v>83</v>
      </c>
      <c r="E1463">
        <v>22</v>
      </c>
      <c r="F1463" t="s">
        <v>44</v>
      </c>
      <c r="G1463" t="s">
        <v>100</v>
      </c>
      <c r="H1463" t="s">
        <v>22</v>
      </c>
      <c r="I1463" t="s">
        <v>84</v>
      </c>
      <c r="J1463" t="s">
        <v>64</v>
      </c>
      <c r="K1463">
        <v>1</v>
      </c>
      <c r="L1463">
        <v>10700</v>
      </c>
      <c r="M1463">
        <v>10</v>
      </c>
      <c r="N1463">
        <v>9630</v>
      </c>
      <c r="O1463" t="s">
        <v>25</v>
      </c>
      <c r="P1463">
        <v>1</v>
      </c>
      <c r="Q1463" t="s">
        <v>74</v>
      </c>
    </row>
    <row r="1464" spans="1:17" x14ac:dyDescent="0.3">
      <c r="A1464" t="s">
        <v>2556</v>
      </c>
      <c r="B1464" t="s">
        <v>2557</v>
      </c>
      <c r="C1464" t="s">
        <v>121</v>
      </c>
      <c r="D1464" t="s">
        <v>39</v>
      </c>
      <c r="E1464">
        <v>37</v>
      </c>
      <c r="F1464" t="s">
        <v>61</v>
      </c>
      <c r="G1464" t="s">
        <v>61</v>
      </c>
      <c r="H1464" t="s">
        <v>62</v>
      </c>
      <c r="I1464" t="s">
        <v>140</v>
      </c>
      <c r="J1464" t="s">
        <v>24</v>
      </c>
      <c r="K1464">
        <v>5</v>
      </c>
      <c r="L1464">
        <v>39700</v>
      </c>
      <c r="M1464">
        <v>15</v>
      </c>
      <c r="N1464">
        <v>168725</v>
      </c>
      <c r="O1464" t="s">
        <v>85</v>
      </c>
      <c r="P1464">
        <v>5</v>
      </c>
      <c r="Q1464" t="s">
        <v>26</v>
      </c>
    </row>
    <row r="1465" spans="1:17" x14ac:dyDescent="0.3">
      <c r="A1465" t="s">
        <v>2558</v>
      </c>
      <c r="B1465" t="s">
        <v>940</v>
      </c>
      <c r="C1465" t="s">
        <v>60</v>
      </c>
      <c r="D1465" t="s">
        <v>83</v>
      </c>
      <c r="E1465">
        <v>40</v>
      </c>
      <c r="F1465" t="s">
        <v>51</v>
      </c>
      <c r="G1465" t="s">
        <v>52</v>
      </c>
      <c r="H1465" t="s">
        <v>32</v>
      </c>
      <c r="I1465" t="s">
        <v>33</v>
      </c>
      <c r="J1465" t="s">
        <v>80</v>
      </c>
      <c r="K1465">
        <v>2</v>
      </c>
      <c r="L1465">
        <v>2000</v>
      </c>
      <c r="M1465">
        <v>5</v>
      </c>
      <c r="N1465">
        <v>3800</v>
      </c>
      <c r="O1465" t="s">
        <v>162</v>
      </c>
      <c r="P1465">
        <v>5</v>
      </c>
      <c r="Q1465" t="s">
        <v>65</v>
      </c>
    </row>
    <row r="1466" spans="1:17" x14ac:dyDescent="0.3">
      <c r="A1466" t="s">
        <v>2559</v>
      </c>
      <c r="B1466" t="s">
        <v>1298</v>
      </c>
      <c r="C1466" t="s">
        <v>60</v>
      </c>
      <c r="D1466" t="s">
        <v>39</v>
      </c>
      <c r="E1466">
        <v>30</v>
      </c>
      <c r="F1466" t="s">
        <v>61</v>
      </c>
      <c r="G1466" t="s">
        <v>61</v>
      </c>
      <c r="H1466" t="s">
        <v>46</v>
      </c>
      <c r="I1466" t="s">
        <v>47</v>
      </c>
      <c r="J1466" t="s">
        <v>64</v>
      </c>
      <c r="K1466">
        <v>6</v>
      </c>
      <c r="L1466">
        <v>3600</v>
      </c>
      <c r="M1466">
        <v>20</v>
      </c>
      <c r="N1466">
        <v>17280</v>
      </c>
      <c r="O1466" t="s">
        <v>85</v>
      </c>
      <c r="P1466">
        <v>1</v>
      </c>
      <c r="Q1466" t="s">
        <v>65</v>
      </c>
    </row>
    <row r="1467" spans="1:17" x14ac:dyDescent="0.3">
      <c r="A1467" t="s">
        <v>2560</v>
      </c>
      <c r="B1467" t="s">
        <v>2561</v>
      </c>
      <c r="C1467" t="s">
        <v>88</v>
      </c>
      <c r="E1467">
        <v>45</v>
      </c>
      <c r="F1467" t="s">
        <v>51</v>
      </c>
      <c r="G1467" t="s">
        <v>52</v>
      </c>
      <c r="H1467" t="s">
        <v>22</v>
      </c>
      <c r="I1467" t="s">
        <v>84</v>
      </c>
      <c r="J1467" t="s">
        <v>64</v>
      </c>
      <c r="K1467">
        <v>4</v>
      </c>
      <c r="L1467">
        <v>3800</v>
      </c>
      <c r="M1467">
        <v>20</v>
      </c>
      <c r="N1467">
        <v>12160</v>
      </c>
      <c r="O1467" t="s">
        <v>48</v>
      </c>
      <c r="Q1467" t="s">
        <v>74</v>
      </c>
    </row>
    <row r="1468" spans="1:17" x14ac:dyDescent="0.3">
      <c r="A1468" t="s">
        <v>2562</v>
      </c>
      <c r="B1468" t="s">
        <v>2563</v>
      </c>
      <c r="C1468" t="s">
        <v>60</v>
      </c>
      <c r="D1468" t="s">
        <v>39</v>
      </c>
      <c r="E1468">
        <v>23</v>
      </c>
      <c r="F1468" t="s">
        <v>51</v>
      </c>
      <c r="G1468" t="s">
        <v>104</v>
      </c>
      <c r="H1468" t="s">
        <v>62</v>
      </c>
      <c r="I1468" t="s">
        <v>63</v>
      </c>
      <c r="J1468" t="s">
        <v>80</v>
      </c>
      <c r="K1468">
        <v>7</v>
      </c>
      <c r="L1468">
        <v>36100</v>
      </c>
      <c r="M1468">
        <v>5</v>
      </c>
      <c r="N1468">
        <v>240065</v>
      </c>
      <c r="O1468" t="s">
        <v>48</v>
      </c>
      <c r="Q1468" t="s">
        <v>41</v>
      </c>
    </row>
    <row r="1469" spans="1:17" x14ac:dyDescent="0.3">
      <c r="A1469" t="s">
        <v>2564</v>
      </c>
      <c r="B1469" t="s">
        <v>133</v>
      </c>
      <c r="C1469" t="s">
        <v>60</v>
      </c>
      <c r="D1469" t="s">
        <v>39</v>
      </c>
      <c r="E1469">
        <v>42</v>
      </c>
      <c r="F1469" t="s">
        <v>51</v>
      </c>
      <c r="G1469" t="s">
        <v>52</v>
      </c>
      <c r="H1469" t="s">
        <v>32</v>
      </c>
      <c r="I1469" t="s">
        <v>33</v>
      </c>
      <c r="J1469" t="s">
        <v>64</v>
      </c>
      <c r="K1469">
        <v>4</v>
      </c>
      <c r="L1469">
        <v>23000</v>
      </c>
      <c r="M1469">
        <v>20</v>
      </c>
      <c r="N1469">
        <v>73600</v>
      </c>
      <c r="O1469" t="s">
        <v>105</v>
      </c>
      <c r="P1469">
        <v>3</v>
      </c>
      <c r="Q1469" t="s">
        <v>26</v>
      </c>
    </row>
    <row r="1470" spans="1:17" x14ac:dyDescent="0.3">
      <c r="A1470" t="s">
        <v>2565</v>
      </c>
      <c r="B1470" t="s">
        <v>568</v>
      </c>
      <c r="C1470" t="s">
        <v>29</v>
      </c>
      <c r="D1470" t="s">
        <v>83</v>
      </c>
      <c r="E1470">
        <v>22</v>
      </c>
      <c r="F1470" t="s">
        <v>30</v>
      </c>
      <c r="G1470" t="s">
        <v>31</v>
      </c>
      <c r="H1470" t="s">
        <v>46</v>
      </c>
      <c r="I1470" t="s">
        <v>79</v>
      </c>
      <c r="J1470" t="s">
        <v>24</v>
      </c>
      <c r="K1470">
        <v>10</v>
      </c>
      <c r="L1470">
        <v>39800</v>
      </c>
      <c r="M1470">
        <v>20</v>
      </c>
      <c r="N1470">
        <v>318400</v>
      </c>
      <c r="O1470" t="s">
        <v>25</v>
      </c>
      <c r="P1470">
        <v>3</v>
      </c>
      <c r="Q1470" t="s">
        <v>65</v>
      </c>
    </row>
    <row r="1471" spans="1:17" x14ac:dyDescent="0.3">
      <c r="A1471" t="s">
        <v>2566</v>
      </c>
      <c r="B1471" t="s">
        <v>397</v>
      </c>
      <c r="C1471" t="s">
        <v>60</v>
      </c>
      <c r="D1471" t="s">
        <v>83</v>
      </c>
      <c r="E1471">
        <v>40</v>
      </c>
      <c r="F1471" t="s">
        <v>44</v>
      </c>
      <c r="G1471" t="s">
        <v>100</v>
      </c>
      <c r="H1471" t="s">
        <v>62</v>
      </c>
      <c r="I1471" t="s">
        <v>63</v>
      </c>
      <c r="J1471" t="s">
        <v>80</v>
      </c>
      <c r="K1471">
        <v>6</v>
      </c>
      <c r="L1471">
        <v>23700</v>
      </c>
      <c r="M1471">
        <v>20</v>
      </c>
      <c r="N1471">
        <v>113760</v>
      </c>
      <c r="O1471" t="s">
        <v>35</v>
      </c>
      <c r="Q1471" t="s">
        <v>26</v>
      </c>
    </row>
    <row r="1472" spans="1:17" x14ac:dyDescent="0.3">
      <c r="A1472" t="s">
        <v>2567</v>
      </c>
      <c r="B1472" t="s">
        <v>590</v>
      </c>
      <c r="C1472" t="s">
        <v>38</v>
      </c>
      <c r="D1472" t="s">
        <v>103</v>
      </c>
      <c r="E1472">
        <v>61</v>
      </c>
      <c r="F1472" t="s">
        <v>21</v>
      </c>
      <c r="G1472" t="s">
        <v>21</v>
      </c>
      <c r="H1472" t="s">
        <v>22</v>
      </c>
      <c r="I1472" t="s">
        <v>23</v>
      </c>
      <c r="J1472" t="s">
        <v>24</v>
      </c>
      <c r="K1472">
        <v>1</v>
      </c>
      <c r="L1472">
        <v>28500</v>
      </c>
      <c r="M1472">
        <v>5</v>
      </c>
      <c r="N1472">
        <v>27075</v>
      </c>
      <c r="O1472" t="s">
        <v>73</v>
      </c>
      <c r="P1472">
        <v>1</v>
      </c>
      <c r="Q1472" t="s">
        <v>65</v>
      </c>
    </row>
    <row r="1473" spans="1:17" x14ac:dyDescent="0.3">
      <c r="A1473" t="s">
        <v>2568</v>
      </c>
      <c r="B1473" t="s">
        <v>2569</v>
      </c>
      <c r="C1473" t="s">
        <v>19</v>
      </c>
      <c r="D1473" t="s">
        <v>39</v>
      </c>
      <c r="E1473">
        <v>19</v>
      </c>
      <c r="F1473" t="s">
        <v>77</v>
      </c>
      <c r="G1473" t="s">
        <v>95</v>
      </c>
      <c r="H1473" t="s">
        <v>32</v>
      </c>
      <c r="I1473" t="s">
        <v>53</v>
      </c>
      <c r="J1473" t="s">
        <v>34</v>
      </c>
      <c r="K1473">
        <v>2</v>
      </c>
      <c r="L1473">
        <v>12000</v>
      </c>
      <c r="M1473">
        <v>15</v>
      </c>
      <c r="N1473">
        <v>20400</v>
      </c>
      <c r="O1473" t="s">
        <v>35</v>
      </c>
      <c r="P1473">
        <v>2</v>
      </c>
      <c r="Q1473" t="s">
        <v>26</v>
      </c>
    </row>
    <row r="1474" spans="1:17" x14ac:dyDescent="0.3">
      <c r="A1474" t="s">
        <v>2570</v>
      </c>
      <c r="B1474" t="s">
        <v>2571</v>
      </c>
      <c r="C1474" t="s">
        <v>19</v>
      </c>
      <c r="D1474" t="s">
        <v>39</v>
      </c>
      <c r="E1474">
        <v>21</v>
      </c>
      <c r="F1474" t="s">
        <v>77</v>
      </c>
      <c r="G1474" t="s">
        <v>95</v>
      </c>
      <c r="H1474" t="s">
        <v>46</v>
      </c>
      <c r="I1474" t="s">
        <v>47</v>
      </c>
      <c r="J1474" t="s">
        <v>89</v>
      </c>
      <c r="K1474">
        <v>2</v>
      </c>
      <c r="L1474">
        <v>13600</v>
      </c>
      <c r="M1474">
        <v>20</v>
      </c>
      <c r="N1474">
        <v>21760</v>
      </c>
      <c r="O1474" t="s">
        <v>73</v>
      </c>
      <c r="P1474">
        <v>5</v>
      </c>
      <c r="Q1474" t="s">
        <v>41</v>
      </c>
    </row>
    <row r="1475" spans="1:17" x14ac:dyDescent="0.3">
      <c r="A1475" t="s">
        <v>2572</v>
      </c>
      <c r="B1475" t="s">
        <v>2573</v>
      </c>
      <c r="C1475" t="s">
        <v>38</v>
      </c>
      <c r="D1475" t="s">
        <v>39</v>
      </c>
      <c r="E1475">
        <v>54</v>
      </c>
      <c r="F1475" t="s">
        <v>51</v>
      </c>
      <c r="G1475" t="s">
        <v>104</v>
      </c>
      <c r="H1475" t="s">
        <v>46</v>
      </c>
      <c r="I1475" t="s">
        <v>47</v>
      </c>
      <c r="J1475" t="s">
        <v>64</v>
      </c>
      <c r="K1475">
        <v>6</v>
      </c>
      <c r="L1475">
        <v>22600</v>
      </c>
      <c r="M1475">
        <v>25</v>
      </c>
      <c r="N1475">
        <v>101700</v>
      </c>
      <c r="O1475" t="s">
        <v>73</v>
      </c>
      <c r="P1475">
        <v>4</v>
      </c>
      <c r="Q1475" t="s">
        <v>26</v>
      </c>
    </row>
    <row r="1476" spans="1:17" x14ac:dyDescent="0.3">
      <c r="A1476" t="s">
        <v>2574</v>
      </c>
      <c r="B1476" t="s">
        <v>2575</v>
      </c>
      <c r="C1476" t="s">
        <v>38</v>
      </c>
      <c r="D1476" t="s">
        <v>83</v>
      </c>
      <c r="E1476">
        <v>24</v>
      </c>
      <c r="F1476" t="s">
        <v>51</v>
      </c>
      <c r="G1476" t="s">
        <v>52</v>
      </c>
      <c r="H1476" t="s">
        <v>46</v>
      </c>
      <c r="I1476" t="s">
        <v>79</v>
      </c>
      <c r="J1476" t="s">
        <v>89</v>
      </c>
      <c r="K1476">
        <v>1</v>
      </c>
      <c r="L1476">
        <v>7600</v>
      </c>
      <c r="M1476">
        <v>15</v>
      </c>
      <c r="N1476">
        <v>6460</v>
      </c>
      <c r="O1476" t="s">
        <v>35</v>
      </c>
      <c r="Q1476" t="s">
        <v>65</v>
      </c>
    </row>
    <row r="1477" spans="1:17" x14ac:dyDescent="0.3">
      <c r="A1477" t="s">
        <v>2576</v>
      </c>
      <c r="B1477" t="s">
        <v>803</v>
      </c>
      <c r="C1477" t="s">
        <v>88</v>
      </c>
      <c r="D1477" t="s">
        <v>39</v>
      </c>
      <c r="E1477">
        <v>52</v>
      </c>
      <c r="F1477" t="s">
        <v>30</v>
      </c>
      <c r="G1477" t="s">
        <v>31</v>
      </c>
      <c r="H1477" t="s">
        <v>22</v>
      </c>
      <c r="I1477" t="s">
        <v>84</v>
      </c>
      <c r="J1477" t="s">
        <v>80</v>
      </c>
      <c r="K1477">
        <v>6</v>
      </c>
      <c r="L1477">
        <v>17900</v>
      </c>
      <c r="M1477">
        <v>5</v>
      </c>
      <c r="N1477">
        <v>102030</v>
      </c>
      <c r="O1477" t="s">
        <v>48</v>
      </c>
      <c r="P1477">
        <v>1</v>
      </c>
      <c r="Q1477" t="s">
        <v>26</v>
      </c>
    </row>
    <row r="1478" spans="1:17" x14ac:dyDescent="0.3">
      <c r="A1478" t="s">
        <v>2577</v>
      </c>
      <c r="B1478" t="s">
        <v>118</v>
      </c>
      <c r="C1478" t="s">
        <v>88</v>
      </c>
      <c r="D1478" t="s">
        <v>103</v>
      </c>
      <c r="E1478">
        <v>37</v>
      </c>
      <c r="F1478" t="s">
        <v>44</v>
      </c>
      <c r="G1478" t="s">
        <v>45</v>
      </c>
      <c r="H1478" t="s">
        <v>62</v>
      </c>
      <c r="I1478" t="s">
        <v>63</v>
      </c>
      <c r="J1478" t="s">
        <v>64</v>
      </c>
      <c r="K1478">
        <v>5</v>
      </c>
      <c r="L1478">
        <v>6300</v>
      </c>
      <c r="M1478">
        <v>10</v>
      </c>
      <c r="N1478" t="s">
        <v>2578</v>
      </c>
      <c r="O1478" t="s">
        <v>73</v>
      </c>
      <c r="P1478">
        <v>5</v>
      </c>
      <c r="Q1478" t="s">
        <v>41</v>
      </c>
    </row>
    <row r="1479" spans="1:17" x14ac:dyDescent="0.3">
      <c r="A1479" t="s">
        <v>2579</v>
      </c>
      <c r="B1479" t="s">
        <v>669</v>
      </c>
      <c r="C1479" t="s">
        <v>29</v>
      </c>
      <c r="E1479">
        <v>29</v>
      </c>
      <c r="F1479" t="s">
        <v>21</v>
      </c>
      <c r="G1479" t="s">
        <v>21</v>
      </c>
      <c r="H1479" t="s">
        <v>22</v>
      </c>
      <c r="I1479" t="s">
        <v>23</v>
      </c>
      <c r="J1479" t="s">
        <v>89</v>
      </c>
      <c r="K1479">
        <v>8</v>
      </c>
      <c r="L1479">
        <v>3800</v>
      </c>
      <c r="M1479">
        <v>15</v>
      </c>
      <c r="N1479">
        <v>25840</v>
      </c>
      <c r="O1479" t="s">
        <v>25</v>
      </c>
      <c r="Q1479" t="s">
        <v>65</v>
      </c>
    </row>
    <row r="1480" spans="1:17" x14ac:dyDescent="0.3">
      <c r="A1480" t="s">
        <v>2580</v>
      </c>
      <c r="B1480" t="s">
        <v>1809</v>
      </c>
      <c r="C1480" t="s">
        <v>29</v>
      </c>
      <c r="D1480" t="s">
        <v>103</v>
      </c>
      <c r="E1480">
        <v>27</v>
      </c>
      <c r="F1480" t="s">
        <v>30</v>
      </c>
      <c r="G1480" t="s">
        <v>31</v>
      </c>
      <c r="H1480" t="s">
        <v>62</v>
      </c>
      <c r="I1480" t="s">
        <v>63</v>
      </c>
      <c r="J1480" t="s">
        <v>80</v>
      </c>
      <c r="K1480">
        <v>1</v>
      </c>
      <c r="L1480">
        <v>41000</v>
      </c>
      <c r="M1480">
        <v>20</v>
      </c>
      <c r="N1480">
        <v>32800</v>
      </c>
      <c r="O1480" t="s">
        <v>35</v>
      </c>
      <c r="P1480">
        <v>1</v>
      </c>
      <c r="Q1480" t="s">
        <v>65</v>
      </c>
    </row>
    <row r="1481" spans="1:17" x14ac:dyDescent="0.3">
      <c r="A1481" t="s">
        <v>2581</v>
      </c>
      <c r="B1481" t="s">
        <v>2582</v>
      </c>
      <c r="C1481" t="s">
        <v>29</v>
      </c>
      <c r="D1481" t="s">
        <v>83</v>
      </c>
      <c r="E1481">
        <v>36</v>
      </c>
      <c r="F1481" t="s">
        <v>30</v>
      </c>
      <c r="G1481" t="s">
        <v>31</v>
      </c>
      <c r="H1481" t="s">
        <v>46</v>
      </c>
      <c r="I1481" t="s">
        <v>79</v>
      </c>
      <c r="J1481" t="s">
        <v>24</v>
      </c>
      <c r="K1481">
        <v>2</v>
      </c>
      <c r="L1481">
        <v>20200</v>
      </c>
      <c r="M1481">
        <v>15</v>
      </c>
      <c r="N1481">
        <v>34340</v>
      </c>
      <c r="O1481" t="s">
        <v>105</v>
      </c>
      <c r="P1481">
        <v>3</v>
      </c>
      <c r="Q1481" t="s">
        <v>41</v>
      </c>
    </row>
    <row r="1482" spans="1:17" x14ac:dyDescent="0.3">
      <c r="A1482" t="s">
        <v>2583</v>
      </c>
      <c r="B1482" t="s">
        <v>1435</v>
      </c>
      <c r="C1482" t="s">
        <v>71</v>
      </c>
      <c r="D1482" t="s">
        <v>39</v>
      </c>
      <c r="E1482">
        <v>18</v>
      </c>
      <c r="F1482" t="s">
        <v>44</v>
      </c>
      <c r="G1482" t="s">
        <v>100</v>
      </c>
      <c r="H1482" t="s">
        <v>62</v>
      </c>
      <c r="I1482" t="s">
        <v>63</v>
      </c>
      <c r="J1482" t="s">
        <v>24</v>
      </c>
      <c r="K1482">
        <v>10</v>
      </c>
      <c r="L1482">
        <v>43200</v>
      </c>
      <c r="M1482">
        <v>15</v>
      </c>
      <c r="N1482">
        <v>367200</v>
      </c>
      <c r="O1482" t="s">
        <v>25</v>
      </c>
      <c r="P1482">
        <v>5</v>
      </c>
      <c r="Q1482" t="s">
        <v>26</v>
      </c>
    </row>
    <row r="1483" spans="1:17" x14ac:dyDescent="0.3">
      <c r="A1483" t="s">
        <v>2584</v>
      </c>
      <c r="B1483" t="s">
        <v>152</v>
      </c>
      <c r="C1483" t="s">
        <v>19</v>
      </c>
      <c r="D1483" t="s">
        <v>20</v>
      </c>
      <c r="E1483">
        <v>64</v>
      </c>
      <c r="F1483" t="s">
        <v>77</v>
      </c>
      <c r="G1483" t="s">
        <v>78</v>
      </c>
      <c r="H1483" t="s">
        <v>22</v>
      </c>
      <c r="I1483" t="s">
        <v>84</v>
      </c>
      <c r="J1483" t="s">
        <v>64</v>
      </c>
      <c r="K1483">
        <v>10</v>
      </c>
      <c r="L1483">
        <v>16400</v>
      </c>
      <c r="M1483">
        <v>15</v>
      </c>
      <c r="N1483">
        <v>139400</v>
      </c>
      <c r="O1483" t="s">
        <v>48</v>
      </c>
      <c r="Q1483" t="s">
        <v>26</v>
      </c>
    </row>
    <row r="1484" spans="1:17" x14ac:dyDescent="0.3">
      <c r="A1484" t="s">
        <v>2585</v>
      </c>
      <c r="B1484" t="s">
        <v>1483</v>
      </c>
      <c r="C1484" t="s">
        <v>38</v>
      </c>
      <c r="D1484" t="s">
        <v>103</v>
      </c>
      <c r="E1484">
        <v>20</v>
      </c>
      <c r="F1484" t="s">
        <v>61</v>
      </c>
      <c r="G1484" t="s">
        <v>61</v>
      </c>
      <c r="H1484" t="s">
        <v>22</v>
      </c>
      <c r="I1484" t="s">
        <v>84</v>
      </c>
      <c r="J1484" t="s">
        <v>89</v>
      </c>
      <c r="K1484" t="s">
        <v>184</v>
      </c>
      <c r="L1484">
        <v>40000</v>
      </c>
      <c r="M1484">
        <v>0</v>
      </c>
      <c r="N1484">
        <v>200000</v>
      </c>
      <c r="O1484" t="s">
        <v>105</v>
      </c>
      <c r="P1484">
        <v>2</v>
      </c>
      <c r="Q1484" t="s">
        <v>41</v>
      </c>
    </row>
    <row r="1485" spans="1:17" x14ac:dyDescent="0.3">
      <c r="A1485" t="s">
        <v>2586</v>
      </c>
      <c r="B1485" t="s">
        <v>2587</v>
      </c>
      <c r="C1485" t="s">
        <v>71</v>
      </c>
      <c r="D1485" t="s">
        <v>39</v>
      </c>
      <c r="E1485">
        <v>20</v>
      </c>
      <c r="F1485" t="s">
        <v>44</v>
      </c>
      <c r="G1485" t="s">
        <v>45</v>
      </c>
      <c r="H1485" t="s">
        <v>32</v>
      </c>
      <c r="I1485" t="s">
        <v>53</v>
      </c>
      <c r="J1485" t="s">
        <v>80</v>
      </c>
      <c r="K1485">
        <v>7</v>
      </c>
      <c r="L1485">
        <v>41800</v>
      </c>
      <c r="M1485">
        <v>10</v>
      </c>
      <c r="N1485">
        <v>263340</v>
      </c>
      <c r="O1485" t="s">
        <v>35</v>
      </c>
      <c r="Q1485" t="s">
        <v>26</v>
      </c>
    </row>
    <row r="1486" spans="1:17" x14ac:dyDescent="0.3">
      <c r="A1486" t="s">
        <v>2588</v>
      </c>
      <c r="B1486" t="s">
        <v>2589</v>
      </c>
      <c r="C1486" t="s">
        <v>19</v>
      </c>
      <c r="D1486" t="s">
        <v>39</v>
      </c>
      <c r="E1486">
        <v>22</v>
      </c>
      <c r="F1486" t="s">
        <v>77</v>
      </c>
      <c r="G1486" t="s">
        <v>95</v>
      </c>
      <c r="H1486" t="s">
        <v>116</v>
      </c>
      <c r="I1486" t="s">
        <v>23</v>
      </c>
      <c r="J1486" t="s">
        <v>34</v>
      </c>
      <c r="K1486">
        <v>9</v>
      </c>
      <c r="L1486">
        <v>23400</v>
      </c>
      <c r="M1486">
        <v>5</v>
      </c>
      <c r="N1486">
        <v>200070</v>
      </c>
      <c r="O1486" t="s">
        <v>35</v>
      </c>
      <c r="P1486">
        <v>4</v>
      </c>
      <c r="Q1486" t="s">
        <v>26</v>
      </c>
    </row>
    <row r="1487" spans="1:17" x14ac:dyDescent="0.3">
      <c r="A1487" t="s">
        <v>2590</v>
      </c>
      <c r="B1487" t="s">
        <v>351</v>
      </c>
      <c r="C1487" t="s">
        <v>38</v>
      </c>
      <c r="E1487">
        <v>47</v>
      </c>
      <c r="F1487" t="s">
        <v>61</v>
      </c>
      <c r="G1487" t="s">
        <v>61</v>
      </c>
      <c r="H1487" t="s">
        <v>62</v>
      </c>
      <c r="I1487" t="s">
        <v>63</v>
      </c>
      <c r="J1487" t="s">
        <v>72</v>
      </c>
      <c r="K1487">
        <v>7</v>
      </c>
      <c r="L1487">
        <v>44500</v>
      </c>
      <c r="M1487">
        <v>20</v>
      </c>
      <c r="N1487">
        <v>249200</v>
      </c>
      <c r="O1487" t="s">
        <v>105</v>
      </c>
      <c r="Q1487" t="s">
        <v>26</v>
      </c>
    </row>
    <row r="1488" spans="1:17" x14ac:dyDescent="0.3">
      <c r="A1488" t="s">
        <v>2591</v>
      </c>
      <c r="B1488" t="s">
        <v>2592</v>
      </c>
      <c r="C1488" t="s">
        <v>38</v>
      </c>
      <c r="D1488" t="s">
        <v>20</v>
      </c>
      <c r="E1488">
        <v>21</v>
      </c>
      <c r="F1488" t="s">
        <v>44</v>
      </c>
      <c r="G1488" t="s">
        <v>45</v>
      </c>
      <c r="H1488" t="s">
        <v>46</v>
      </c>
      <c r="I1488" t="s">
        <v>79</v>
      </c>
      <c r="J1488" t="s">
        <v>80</v>
      </c>
      <c r="K1488">
        <v>6</v>
      </c>
      <c r="L1488">
        <v>12100</v>
      </c>
      <c r="M1488">
        <v>10</v>
      </c>
      <c r="N1488">
        <v>65340</v>
      </c>
      <c r="O1488" t="s">
        <v>162</v>
      </c>
      <c r="Q1488" t="s">
        <v>65</v>
      </c>
    </row>
    <row r="1489" spans="1:17" x14ac:dyDescent="0.3">
      <c r="A1489" t="s">
        <v>2593</v>
      </c>
      <c r="B1489" t="s">
        <v>1426</v>
      </c>
      <c r="C1489" t="s">
        <v>121</v>
      </c>
      <c r="D1489" t="s">
        <v>103</v>
      </c>
      <c r="E1489">
        <v>45</v>
      </c>
      <c r="F1489" t="s">
        <v>77</v>
      </c>
      <c r="G1489" t="s">
        <v>78</v>
      </c>
      <c r="H1489" t="s">
        <v>46</v>
      </c>
      <c r="I1489" t="s">
        <v>79</v>
      </c>
      <c r="J1489" t="s">
        <v>64</v>
      </c>
      <c r="K1489">
        <v>10</v>
      </c>
      <c r="L1489">
        <v>44500</v>
      </c>
      <c r="M1489">
        <v>5</v>
      </c>
      <c r="N1489">
        <v>422750</v>
      </c>
      <c r="O1489" t="s">
        <v>48</v>
      </c>
      <c r="P1489">
        <v>2</v>
      </c>
      <c r="Q1489" t="s">
        <v>26</v>
      </c>
    </row>
    <row r="1490" spans="1:17" x14ac:dyDescent="0.3">
      <c r="A1490" t="s">
        <v>2594</v>
      </c>
      <c r="B1490" t="s">
        <v>2595</v>
      </c>
      <c r="C1490" t="s">
        <v>38</v>
      </c>
      <c r="D1490" t="s">
        <v>103</v>
      </c>
      <c r="E1490">
        <v>49</v>
      </c>
      <c r="F1490" t="s">
        <v>21</v>
      </c>
      <c r="G1490" t="s">
        <v>21</v>
      </c>
      <c r="H1490" t="s">
        <v>32</v>
      </c>
      <c r="I1490" t="s">
        <v>53</v>
      </c>
      <c r="J1490" t="s">
        <v>64</v>
      </c>
      <c r="K1490">
        <v>9</v>
      </c>
      <c r="L1490">
        <v>43400</v>
      </c>
      <c r="M1490">
        <v>0</v>
      </c>
      <c r="N1490">
        <v>390600</v>
      </c>
      <c r="O1490" t="s">
        <v>85</v>
      </c>
      <c r="P1490">
        <v>3</v>
      </c>
      <c r="Q1490" t="s">
        <v>26</v>
      </c>
    </row>
    <row r="1491" spans="1:17" x14ac:dyDescent="0.3">
      <c r="A1491" t="s">
        <v>2596</v>
      </c>
      <c r="B1491" t="s">
        <v>1460</v>
      </c>
      <c r="C1491" t="s">
        <v>60</v>
      </c>
      <c r="D1491" t="s">
        <v>20</v>
      </c>
      <c r="E1491">
        <v>21</v>
      </c>
      <c r="F1491" t="s">
        <v>61</v>
      </c>
      <c r="G1491" t="s">
        <v>61</v>
      </c>
      <c r="H1491" t="s">
        <v>46</v>
      </c>
      <c r="I1491" t="s">
        <v>79</v>
      </c>
      <c r="J1491" t="s">
        <v>64</v>
      </c>
      <c r="K1491">
        <v>10</v>
      </c>
      <c r="L1491">
        <v>35000</v>
      </c>
      <c r="M1491">
        <v>20</v>
      </c>
      <c r="N1491">
        <v>280000</v>
      </c>
      <c r="O1491" t="s">
        <v>48</v>
      </c>
      <c r="P1491">
        <v>2</v>
      </c>
      <c r="Q1491" t="s">
        <v>41</v>
      </c>
    </row>
    <row r="1492" spans="1:17" x14ac:dyDescent="0.3">
      <c r="A1492" t="s">
        <v>2597</v>
      </c>
      <c r="B1492" t="s">
        <v>1257</v>
      </c>
      <c r="C1492" t="s">
        <v>19</v>
      </c>
      <c r="D1492" t="s">
        <v>103</v>
      </c>
      <c r="E1492">
        <v>50</v>
      </c>
      <c r="F1492" t="s">
        <v>51</v>
      </c>
      <c r="G1492" t="s">
        <v>52</v>
      </c>
      <c r="H1492" t="s">
        <v>32</v>
      </c>
      <c r="I1492" t="s">
        <v>53</v>
      </c>
      <c r="J1492" t="s">
        <v>72</v>
      </c>
      <c r="K1492">
        <v>6</v>
      </c>
      <c r="L1492">
        <v>19500</v>
      </c>
      <c r="M1492">
        <v>0</v>
      </c>
      <c r="N1492">
        <v>117000</v>
      </c>
      <c r="O1492" t="s">
        <v>25</v>
      </c>
      <c r="Q1492" t="s">
        <v>74</v>
      </c>
    </row>
    <row r="1493" spans="1:17" x14ac:dyDescent="0.3">
      <c r="A1493" t="s">
        <v>2598</v>
      </c>
      <c r="B1493" t="s">
        <v>313</v>
      </c>
      <c r="C1493" t="s">
        <v>94</v>
      </c>
      <c r="D1493" t="s">
        <v>39</v>
      </c>
      <c r="E1493">
        <v>47</v>
      </c>
      <c r="F1493" t="s">
        <v>44</v>
      </c>
      <c r="G1493" t="s">
        <v>45</v>
      </c>
      <c r="H1493" t="s">
        <v>32</v>
      </c>
      <c r="I1493" t="s">
        <v>53</v>
      </c>
      <c r="J1493" t="s">
        <v>34</v>
      </c>
      <c r="K1493">
        <v>9</v>
      </c>
      <c r="L1493">
        <v>30100</v>
      </c>
      <c r="M1493">
        <v>20</v>
      </c>
      <c r="N1493">
        <v>216720</v>
      </c>
      <c r="O1493" t="s">
        <v>105</v>
      </c>
      <c r="P1493">
        <v>2</v>
      </c>
      <c r="Q1493" t="s">
        <v>65</v>
      </c>
    </row>
    <row r="1494" spans="1:17" x14ac:dyDescent="0.3">
      <c r="A1494" t="s">
        <v>2599</v>
      </c>
      <c r="B1494" t="s">
        <v>2600</v>
      </c>
      <c r="C1494" t="s">
        <v>94</v>
      </c>
      <c r="D1494" t="s">
        <v>83</v>
      </c>
      <c r="E1494">
        <v>49</v>
      </c>
      <c r="F1494" t="s">
        <v>51</v>
      </c>
      <c r="G1494" t="s">
        <v>52</v>
      </c>
      <c r="H1494" t="s">
        <v>22</v>
      </c>
      <c r="I1494" t="s">
        <v>84</v>
      </c>
      <c r="J1494" t="s">
        <v>24</v>
      </c>
      <c r="K1494">
        <v>10</v>
      </c>
      <c r="L1494">
        <v>9600</v>
      </c>
      <c r="M1494">
        <v>0</v>
      </c>
      <c r="N1494">
        <v>96000</v>
      </c>
      <c r="O1494" t="s">
        <v>25</v>
      </c>
      <c r="P1494">
        <v>2</v>
      </c>
      <c r="Q1494" t="s">
        <v>26</v>
      </c>
    </row>
    <row r="1495" spans="1:17" x14ac:dyDescent="0.3">
      <c r="A1495" t="s">
        <v>2601</v>
      </c>
      <c r="B1495" t="s">
        <v>1949</v>
      </c>
      <c r="C1495" t="s">
        <v>113</v>
      </c>
      <c r="D1495" t="s">
        <v>39</v>
      </c>
      <c r="E1495">
        <v>29</v>
      </c>
      <c r="F1495" t="s">
        <v>30</v>
      </c>
      <c r="G1495" t="s">
        <v>57</v>
      </c>
      <c r="H1495" t="s">
        <v>46</v>
      </c>
      <c r="I1495" t="s">
        <v>79</v>
      </c>
      <c r="J1495" t="s">
        <v>80</v>
      </c>
      <c r="K1495">
        <v>7</v>
      </c>
      <c r="L1495">
        <v>49600</v>
      </c>
      <c r="M1495">
        <v>20</v>
      </c>
      <c r="N1495">
        <v>277760</v>
      </c>
      <c r="O1495" t="s">
        <v>35</v>
      </c>
      <c r="P1495">
        <v>1</v>
      </c>
      <c r="Q1495" t="s">
        <v>65</v>
      </c>
    </row>
    <row r="1496" spans="1:17" x14ac:dyDescent="0.3">
      <c r="A1496" t="s">
        <v>2602</v>
      </c>
      <c r="B1496" t="s">
        <v>2603</v>
      </c>
      <c r="C1496" t="s">
        <v>60</v>
      </c>
      <c r="D1496" t="s">
        <v>20</v>
      </c>
      <c r="E1496">
        <v>49</v>
      </c>
      <c r="F1496" t="s">
        <v>44</v>
      </c>
      <c r="G1496" t="s">
        <v>100</v>
      </c>
      <c r="H1496" t="s">
        <v>22</v>
      </c>
      <c r="I1496" t="s">
        <v>23</v>
      </c>
      <c r="J1496" t="s">
        <v>72</v>
      </c>
      <c r="K1496">
        <v>8</v>
      </c>
      <c r="L1496">
        <v>14200</v>
      </c>
      <c r="M1496">
        <v>5</v>
      </c>
      <c r="N1496">
        <v>107920</v>
      </c>
      <c r="O1496" t="s">
        <v>105</v>
      </c>
      <c r="Q1496" t="s">
        <v>26</v>
      </c>
    </row>
    <row r="1497" spans="1:17" x14ac:dyDescent="0.3">
      <c r="A1497" t="s">
        <v>2604</v>
      </c>
      <c r="B1497" t="s">
        <v>679</v>
      </c>
      <c r="C1497" t="s">
        <v>121</v>
      </c>
      <c r="D1497" t="s">
        <v>20</v>
      </c>
      <c r="E1497">
        <v>58</v>
      </c>
      <c r="F1497" t="s">
        <v>44</v>
      </c>
      <c r="G1497" t="s">
        <v>100</v>
      </c>
      <c r="H1497" t="s">
        <v>46</v>
      </c>
      <c r="I1497" t="s">
        <v>47</v>
      </c>
      <c r="J1497" t="s">
        <v>64</v>
      </c>
      <c r="K1497">
        <v>6</v>
      </c>
      <c r="L1497">
        <v>20400</v>
      </c>
      <c r="M1497">
        <v>15</v>
      </c>
      <c r="N1497">
        <v>104040</v>
      </c>
      <c r="O1497" t="s">
        <v>73</v>
      </c>
      <c r="P1497">
        <v>2</v>
      </c>
      <c r="Q1497" t="s">
        <v>41</v>
      </c>
    </row>
    <row r="1498" spans="1:17" x14ac:dyDescent="0.3">
      <c r="A1498" t="s">
        <v>2605</v>
      </c>
      <c r="B1498" t="s">
        <v>2606</v>
      </c>
      <c r="C1498" t="s">
        <v>60</v>
      </c>
      <c r="D1498" t="s">
        <v>83</v>
      </c>
      <c r="E1498">
        <v>40</v>
      </c>
      <c r="F1498" t="s">
        <v>51</v>
      </c>
      <c r="G1498" t="s">
        <v>104</v>
      </c>
      <c r="H1498" t="s">
        <v>62</v>
      </c>
      <c r="I1498" t="s">
        <v>140</v>
      </c>
      <c r="J1498" t="s">
        <v>72</v>
      </c>
      <c r="K1498">
        <v>3</v>
      </c>
      <c r="L1498">
        <v>32400</v>
      </c>
      <c r="M1498">
        <v>5</v>
      </c>
      <c r="N1498">
        <v>92340</v>
      </c>
      <c r="O1498" t="s">
        <v>85</v>
      </c>
      <c r="P1498">
        <v>1</v>
      </c>
      <c r="Q1498" t="s">
        <v>26</v>
      </c>
    </row>
    <row r="1499" spans="1:17" x14ac:dyDescent="0.3">
      <c r="A1499" t="s">
        <v>2607</v>
      </c>
      <c r="B1499" t="s">
        <v>2608</v>
      </c>
      <c r="C1499" t="s">
        <v>94</v>
      </c>
      <c r="E1499">
        <v>42</v>
      </c>
      <c r="F1499" t="s">
        <v>30</v>
      </c>
      <c r="G1499" t="s">
        <v>57</v>
      </c>
      <c r="H1499" t="s">
        <v>22</v>
      </c>
      <c r="I1499" t="s">
        <v>84</v>
      </c>
      <c r="J1499" t="s">
        <v>80</v>
      </c>
      <c r="K1499">
        <v>5</v>
      </c>
      <c r="L1499">
        <v>16700</v>
      </c>
      <c r="M1499">
        <v>0</v>
      </c>
      <c r="N1499">
        <v>83500</v>
      </c>
      <c r="O1499" t="s">
        <v>35</v>
      </c>
      <c r="P1499">
        <v>5</v>
      </c>
      <c r="Q1499" t="s">
        <v>74</v>
      </c>
    </row>
    <row r="1500" spans="1:17" x14ac:dyDescent="0.3">
      <c r="A1500" t="s">
        <v>2609</v>
      </c>
      <c r="B1500" t="s">
        <v>2610</v>
      </c>
      <c r="C1500" t="s">
        <v>94</v>
      </c>
      <c r="D1500" t="s">
        <v>83</v>
      </c>
      <c r="E1500">
        <v>27</v>
      </c>
      <c r="F1500" t="s">
        <v>44</v>
      </c>
      <c r="G1500" t="s">
        <v>100</v>
      </c>
      <c r="H1500" t="s">
        <v>46</v>
      </c>
      <c r="I1500" t="s">
        <v>79</v>
      </c>
      <c r="J1500" t="s">
        <v>34</v>
      </c>
      <c r="K1500">
        <v>6</v>
      </c>
      <c r="L1500">
        <v>7600</v>
      </c>
      <c r="M1500">
        <v>0</v>
      </c>
      <c r="N1500">
        <v>45600</v>
      </c>
      <c r="O1500" t="s">
        <v>73</v>
      </c>
      <c r="P1500">
        <v>2</v>
      </c>
      <c r="Q1500" t="s">
        <v>65</v>
      </c>
    </row>
    <row r="1501" spans="1:17" x14ac:dyDescent="0.3">
      <c r="A1501" t="s">
        <v>2611</v>
      </c>
      <c r="B1501" t="s">
        <v>1112</v>
      </c>
      <c r="C1501" t="s">
        <v>68</v>
      </c>
      <c r="D1501" t="s">
        <v>83</v>
      </c>
      <c r="E1501">
        <v>52</v>
      </c>
      <c r="F1501" t="s">
        <v>44</v>
      </c>
      <c r="G1501" t="s">
        <v>45</v>
      </c>
      <c r="H1501" t="s">
        <v>62</v>
      </c>
      <c r="I1501" t="s">
        <v>140</v>
      </c>
      <c r="J1501" t="s">
        <v>72</v>
      </c>
      <c r="K1501">
        <v>7</v>
      </c>
      <c r="L1501">
        <v>37100</v>
      </c>
      <c r="M1501">
        <v>5</v>
      </c>
      <c r="N1501">
        <v>246715</v>
      </c>
      <c r="O1501" t="s">
        <v>35</v>
      </c>
      <c r="P1501">
        <v>3</v>
      </c>
      <c r="Q1501" t="s">
        <v>65</v>
      </c>
    </row>
    <row r="1502" spans="1:17" x14ac:dyDescent="0.3">
      <c r="A1502" t="s">
        <v>2612</v>
      </c>
      <c r="B1502" t="s">
        <v>2613</v>
      </c>
      <c r="C1502" t="s">
        <v>38</v>
      </c>
      <c r="D1502" t="s">
        <v>20</v>
      </c>
      <c r="E1502">
        <v>37</v>
      </c>
      <c r="F1502" t="s">
        <v>61</v>
      </c>
      <c r="G1502" t="s">
        <v>61</v>
      </c>
      <c r="H1502" t="s">
        <v>32</v>
      </c>
      <c r="I1502" t="s">
        <v>53</v>
      </c>
      <c r="J1502" t="s">
        <v>34</v>
      </c>
      <c r="K1502" t="s">
        <v>443</v>
      </c>
      <c r="L1502">
        <v>8000</v>
      </c>
      <c r="M1502">
        <v>20</v>
      </c>
      <c r="N1502">
        <v>64000</v>
      </c>
      <c r="O1502" t="s">
        <v>35</v>
      </c>
      <c r="P1502">
        <v>1</v>
      </c>
      <c r="Q1502" t="s">
        <v>65</v>
      </c>
    </row>
    <row r="1503" spans="1:17" x14ac:dyDescent="0.3">
      <c r="A1503" t="s">
        <v>2614</v>
      </c>
      <c r="B1503" t="s">
        <v>2615</v>
      </c>
      <c r="C1503" t="s">
        <v>88</v>
      </c>
      <c r="D1503" t="s">
        <v>103</v>
      </c>
      <c r="E1503">
        <v>33</v>
      </c>
      <c r="F1503" t="s">
        <v>61</v>
      </c>
      <c r="G1503" t="s">
        <v>61</v>
      </c>
      <c r="H1503" t="s">
        <v>22</v>
      </c>
      <c r="I1503" t="s">
        <v>84</v>
      </c>
      <c r="J1503" t="s">
        <v>80</v>
      </c>
      <c r="K1503">
        <v>2</v>
      </c>
      <c r="L1503">
        <v>12100</v>
      </c>
      <c r="M1503">
        <v>5</v>
      </c>
      <c r="N1503">
        <v>22990</v>
      </c>
      <c r="O1503" t="s">
        <v>35</v>
      </c>
      <c r="P1503">
        <v>4</v>
      </c>
      <c r="Q1503" t="s">
        <v>26</v>
      </c>
    </row>
    <row r="1504" spans="1:17" x14ac:dyDescent="0.3">
      <c r="A1504" t="s">
        <v>2616</v>
      </c>
      <c r="B1504" t="s">
        <v>2617</v>
      </c>
      <c r="C1504" t="s">
        <v>29</v>
      </c>
      <c r="D1504" t="s">
        <v>20</v>
      </c>
      <c r="E1504">
        <v>46</v>
      </c>
      <c r="F1504" t="s">
        <v>44</v>
      </c>
      <c r="G1504" t="s">
        <v>100</v>
      </c>
      <c r="H1504" t="s">
        <v>62</v>
      </c>
      <c r="I1504" t="s">
        <v>63</v>
      </c>
      <c r="J1504" t="s">
        <v>64</v>
      </c>
      <c r="K1504">
        <v>6</v>
      </c>
      <c r="L1504">
        <v>17700</v>
      </c>
      <c r="M1504">
        <v>5</v>
      </c>
      <c r="N1504">
        <v>100890</v>
      </c>
      <c r="O1504" t="s">
        <v>35</v>
      </c>
      <c r="P1504">
        <v>2</v>
      </c>
      <c r="Q1504" t="s">
        <v>65</v>
      </c>
    </row>
    <row r="1505" spans="1:17" x14ac:dyDescent="0.3">
      <c r="A1505" t="s">
        <v>2618</v>
      </c>
      <c r="B1505" t="s">
        <v>2619</v>
      </c>
      <c r="C1505" t="s">
        <v>88</v>
      </c>
      <c r="D1505" t="s">
        <v>39</v>
      </c>
      <c r="E1505">
        <v>46</v>
      </c>
      <c r="F1505" t="s">
        <v>77</v>
      </c>
      <c r="G1505" t="s">
        <v>78</v>
      </c>
      <c r="H1505" t="s">
        <v>32</v>
      </c>
      <c r="I1505" t="s">
        <v>53</v>
      </c>
      <c r="J1505" t="s">
        <v>64</v>
      </c>
      <c r="K1505">
        <v>2</v>
      </c>
      <c r="L1505">
        <v>45800</v>
      </c>
      <c r="M1505">
        <v>0</v>
      </c>
      <c r="N1505">
        <v>91600</v>
      </c>
      <c r="O1505" t="s">
        <v>73</v>
      </c>
      <c r="P1505">
        <v>2</v>
      </c>
      <c r="Q1505" t="s">
        <v>41</v>
      </c>
    </row>
    <row r="1506" spans="1:17" x14ac:dyDescent="0.3">
      <c r="A1506" t="s">
        <v>2620</v>
      </c>
      <c r="B1506" t="s">
        <v>1884</v>
      </c>
      <c r="C1506" t="s">
        <v>113</v>
      </c>
      <c r="E1506">
        <v>36</v>
      </c>
      <c r="F1506" t="s">
        <v>30</v>
      </c>
      <c r="G1506" t="s">
        <v>31</v>
      </c>
      <c r="H1506" t="s">
        <v>46</v>
      </c>
      <c r="I1506" t="s">
        <v>47</v>
      </c>
      <c r="J1506" t="s">
        <v>24</v>
      </c>
      <c r="K1506">
        <v>7</v>
      </c>
      <c r="L1506">
        <v>31400</v>
      </c>
      <c r="M1506">
        <v>20</v>
      </c>
      <c r="N1506">
        <v>175840</v>
      </c>
      <c r="O1506" t="s">
        <v>35</v>
      </c>
      <c r="Q1506" t="s">
        <v>41</v>
      </c>
    </row>
    <row r="1507" spans="1:17" x14ac:dyDescent="0.3">
      <c r="A1507" t="s">
        <v>2621</v>
      </c>
      <c r="B1507" t="s">
        <v>1293</v>
      </c>
      <c r="C1507" t="s">
        <v>94</v>
      </c>
      <c r="D1507" t="s">
        <v>83</v>
      </c>
      <c r="E1507">
        <v>59</v>
      </c>
      <c r="F1507" t="s">
        <v>21</v>
      </c>
      <c r="G1507" t="s">
        <v>21</v>
      </c>
      <c r="H1507" t="s">
        <v>62</v>
      </c>
      <c r="I1507" t="s">
        <v>140</v>
      </c>
      <c r="J1507" t="s">
        <v>24</v>
      </c>
      <c r="K1507">
        <v>8</v>
      </c>
      <c r="L1507">
        <v>14000</v>
      </c>
      <c r="M1507">
        <v>5</v>
      </c>
      <c r="N1507">
        <v>106400</v>
      </c>
      <c r="O1507" t="s">
        <v>35</v>
      </c>
      <c r="P1507">
        <v>5</v>
      </c>
      <c r="Q1507" t="s">
        <v>26</v>
      </c>
    </row>
    <row r="1508" spans="1:17" x14ac:dyDescent="0.3">
      <c r="A1508" t="s">
        <v>2622</v>
      </c>
      <c r="B1508" t="s">
        <v>926</v>
      </c>
      <c r="C1508" t="s">
        <v>71</v>
      </c>
      <c r="E1508">
        <v>43</v>
      </c>
      <c r="F1508" t="s">
        <v>21</v>
      </c>
      <c r="G1508" t="s">
        <v>21</v>
      </c>
      <c r="H1508" t="s">
        <v>46</v>
      </c>
      <c r="I1508" t="s">
        <v>47</v>
      </c>
      <c r="J1508" t="s">
        <v>24</v>
      </c>
      <c r="K1508">
        <v>1</v>
      </c>
      <c r="L1508">
        <v>39200</v>
      </c>
      <c r="M1508">
        <v>20</v>
      </c>
      <c r="N1508">
        <v>31360</v>
      </c>
      <c r="O1508" t="s">
        <v>35</v>
      </c>
      <c r="Q1508" t="s">
        <v>65</v>
      </c>
    </row>
    <row r="1509" spans="1:17" x14ac:dyDescent="0.3">
      <c r="A1509" t="s">
        <v>2623</v>
      </c>
      <c r="B1509" t="s">
        <v>2624</v>
      </c>
      <c r="C1509" t="s">
        <v>29</v>
      </c>
      <c r="E1509">
        <v>24</v>
      </c>
      <c r="F1509" t="s">
        <v>51</v>
      </c>
      <c r="G1509" t="s">
        <v>104</v>
      </c>
      <c r="H1509" t="s">
        <v>22</v>
      </c>
      <c r="I1509" t="s">
        <v>84</v>
      </c>
      <c r="J1509" t="s">
        <v>64</v>
      </c>
      <c r="K1509">
        <v>5</v>
      </c>
      <c r="L1509">
        <v>16100</v>
      </c>
      <c r="M1509">
        <v>0</v>
      </c>
      <c r="N1509">
        <v>80500</v>
      </c>
      <c r="O1509" t="s">
        <v>85</v>
      </c>
      <c r="Q1509" t="s">
        <v>26</v>
      </c>
    </row>
    <row r="1510" spans="1:17" x14ac:dyDescent="0.3">
      <c r="A1510" t="s">
        <v>2625</v>
      </c>
      <c r="B1510" t="s">
        <v>135</v>
      </c>
      <c r="C1510" t="s">
        <v>88</v>
      </c>
      <c r="E1510">
        <v>43</v>
      </c>
      <c r="F1510" t="s">
        <v>77</v>
      </c>
      <c r="G1510" t="s">
        <v>78</v>
      </c>
      <c r="H1510" t="s">
        <v>22</v>
      </c>
      <c r="I1510" t="s">
        <v>84</v>
      </c>
      <c r="J1510" t="s">
        <v>24</v>
      </c>
      <c r="K1510">
        <v>3</v>
      </c>
      <c r="L1510">
        <v>28900</v>
      </c>
      <c r="M1510">
        <v>15</v>
      </c>
      <c r="N1510">
        <v>73695</v>
      </c>
      <c r="O1510" t="s">
        <v>73</v>
      </c>
      <c r="P1510">
        <v>4</v>
      </c>
      <c r="Q1510" t="s">
        <v>74</v>
      </c>
    </row>
    <row r="1511" spans="1:17" x14ac:dyDescent="0.3">
      <c r="A1511" t="s">
        <v>2626</v>
      </c>
      <c r="B1511" t="s">
        <v>2325</v>
      </c>
      <c r="C1511" t="s">
        <v>88</v>
      </c>
      <c r="D1511" t="s">
        <v>20</v>
      </c>
      <c r="E1511">
        <v>42</v>
      </c>
      <c r="F1511" t="s">
        <v>77</v>
      </c>
      <c r="G1511" t="s">
        <v>95</v>
      </c>
      <c r="H1511" t="s">
        <v>62</v>
      </c>
      <c r="I1511" t="s">
        <v>63</v>
      </c>
      <c r="J1511" t="s">
        <v>64</v>
      </c>
      <c r="K1511">
        <v>8</v>
      </c>
      <c r="L1511">
        <v>44500</v>
      </c>
      <c r="M1511">
        <v>0</v>
      </c>
      <c r="N1511">
        <v>356000</v>
      </c>
      <c r="O1511" t="s">
        <v>85</v>
      </c>
      <c r="P1511">
        <v>3</v>
      </c>
      <c r="Q1511" t="s">
        <v>41</v>
      </c>
    </row>
    <row r="1512" spans="1:17" x14ac:dyDescent="0.3">
      <c r="A1512" t="s">
        <v>2627</v>
      </c>
      <c r="B1512" t="s">
        <v>407</v>
      </c>
      <c r="C1512" t="s">
        <v>71</v>
      </c>
      <c r="D1512" t="s">
        <v>20</v>
      </c>
      <c r="E1512">
        <v>41</v>
      </c>
      <c r="F1512" t="s">
        <v>61</v>
      </c>
      <c r="G1512" t="s">
        <v>61</v>
      </c>
      <c r="H1512" t="s">
        <v>22</v>
      </c>
      <c r="I1512" t="s">
        <v>84</v>
      </c>
      <c r="J1512" t="s">
        <v>24</v>
      </c>
      <c r="K1512">
        <v>2</v>
      </c>
      <c r="L1512">
        <v>49500</v>
      </c>
      <c r="M1512">
        <v>25</v>
      </c>
      <c r="N1512" t="s">
        <v>2628</v>
      </c>
      <c r="O1512" t="s">
        <v>105</v>
      </c>
      <c r="Q1512" t="s">
        <v>74</v>
      </c>
    </row>
    <row r="1513" spans="1:17" x14ac:dyDescent="0.3">
      <c r="A1513" t="s">
        <v>2629</v>
      </c>
      <c r="B1513" t="s">
        <v>644</v>
      </c>
      <c r="C1513" t="s">
        <v>88</v>
      </c>
      <c r="D1513" t="s">
        <v>83</v>
      </c>
      <c r="E1513">
        <v>55</v>
      </c>
      <c r="F1513" t="s">
        <v>77</v>
      </c>
      <c r="G1513" t="s">
        <v>78</v>
      </c>
      <c r="H1513" t="s">
        <v>46</v>
      </c>
      <c r="I1513" t="s">
        <v>79</v>
      </c>
      <c r="J1513" t="s">
        <v>24</v>
      </c>
      <c r="K1513">
        <v>4</v>
      </c>
      <c r="L1513">
        <v>13500</v>
      </c>
      <c r="M1513">
        <v>5</v>
      </c>
      <c r="N1513">
        <v>51300</v>
      </c>
      <c r="O1513" t="s">
        <v>25</v>
      </c>
      <c r="P1513">
        <v>5</v>
      </c>
      <c r="Q1513" t="s">
        <v>65</v>
      </c>
    </row>
    <row r="1514" spans="1:17" x14ac:dyDescent="0.3">
      <c r="A1514" t="s">
        <v>2630</v>
      </c>
      <c r="B1514" t="s">
        <v>1495</v>
      </c>
      <c r="C1514" t="s">
        <v>19</v>
      </c>
      <c r="D1514" t="s">
        <v>20</v>
      </c>
      <c r="E1514">
        <v>36</v>
      </c>
      <c r="F1514" t="s">
        <v>77</v>
      </c>
      <c r="G1514" t="s">
        <v>95</v>
      </c>
      <c r="H1514" t="s">
        <v>46</v>
      </c>
      <c r="I1514" t="s">
        <v>47</v>
      </c>
      <c r="J1514" t="s">
        <v>80</v>
      </c>
      <c r="K1514" t="s">
        <v>443</v>
      </c>
      <c r="L1514">
        <v>47100</v>
      </c>
      <c r="M1514">
        <v>5</v>
      </c>
      <c r="N1514">
        <v>447450</v>
      </c>
      <c r="O1514" t="s">
        <v>25</v>
      </c>
      <c r="P1514">
        <v>2</v>
      </c>
      <c r="Q1514" t="s">
        <v>26</v>
      </c>
    </row>
    <row r="1515" spans="1:17" x14ac:dyDescent="0.3">
      <c r="A1515" t="s">
        <v>2631</v>
      </c>
      <c r="B1515" t="s">
        <v>2632</v>
      </c>
      <c r="C1515" t="s">
        <v>38</v>
      </c>
      <c r="D1515" t="s">
        <v>39</v>
      </c>
      <c r="E1515">
        <v>46</v>
      </c>
      <c r="F1515" t="s">
        <v>61</v>
      </c>
      <c r="G1515" t="s">
        <v>61</v>
      </c>
      <c r="H1515" t="s">
        <v>32</v>
      </c>
      <c r="I1515" t="s">
        <v>53</v>
      </c>
      <c r="J1515" t="s">
        <v>80</v>
      </c>
      <c r="K1515">
        <v>3</v>
      </c>
      <c r="L1515">
        <v>12400</v>
      </c>
      <c r="M1515">
        <v>15</v>
      </c>
      <c r="N1515">
        <v>31620</v>
      </c>
      <c r="O1515" t="s">
        <v>105</v>
      </c>
      <c r="Q1515" t="s">
        <v>74</v>
      </c>
    </row>
    <row r="1516" spans="1:17" x14ac:dyDescent="0.3">
      <c r="A1516" t="s">
        <v>2633</v>
      </c>
      <c r="B1516" t="s">
        <v>1389</v>
      </c>
      <c r="C1516" t="s">
        <v>60</v>
      </c>
      <c r="D1516" t="s">
        <v>83</v>
      </c>
      <c r="E1516">
        <v>27</v>
      </c>
      <c r="F1516" t="s">
        <v>44</v>
      </c>
      <c r="G1516" t="s">
        <v>100</v>
      </c>
      <c r="H1516" t="s">
        <v>22</v>
      </c>
      <c r="I1516" t="s">
        <v>23</v>
      </c>
      <c r="J1516" t="s">
        <v>72</v>
      </c>
      <c r="K1516">
        <v>6</v>
      </c>
      <c r="L1516">
        <v>24600</v>
      </c>
      <c r="M1516">
        <v>10</v>
      </c>
      <c r="N1516">
        <v>132840</v>
      </c>
      <c r="O1516" t="s">
        <v>25</v>
      </c>
      <c r="P1516">
        <v>4</v>
      </c>
      <c r="Q1516" t="s">
        <v>65</v>
      </c>
    </row>
    <row r="1517" spans="1:17" x14ac:dyDescent="0.3">
      <c r="A1517" t="s">
        <v>2634</v>
      </c>
      <c r="B1517" t="s">
        <v>1039</v>
      </c>
      <c r="C1517" t="s">
        <v>68</v>
      </c>
      <c r="D1517" t="s">
        <v>83</v>
      </c>
      <c r="E1517">
        <v>60</v>
      </c>
      <c r="F1517" t="s">
        <v>44</v>
      </c>
      <c r="G1517" t="s">
        <v>100</v>
      </c>
      <c r="H1517" t="s">
        <v>46</v>
      </c>
      <c r="I1517" t="s">
        <v>79</v>
      </c>
      <c r="J1517" t="s">
        <v>72</v>
      </c>
      <c r="K1517">
        <v>10</v>
      </c>
      <c r="L1517">
        <v>37800</v>
      </c>
      <c r="M1517">
        <v>10</v>
      </c>
      <c r="N1517">
        <v>340200</v>
      </c>
      <c r="O1517" t="s">
        <v>48</v>
      </c>
      <c r="P1517">
        <v>5</v>
      </c>
      <c r="Q1517" t="s">
        <v>26</v>
      </c>
    </row>
    <row r="1518" spans="1:17" x14ac:dyDescent="0.3">
      <c r="A1518" t="s">
        <v>2635</v>
      </c>
      <c r="B1518" t="s">
        <v>2636</v>
      </c>
      <c r="C1518" t="s">
        <v>60</v>
      </c>
      <c r="D1518" t="s">
        <v>103</v>
      </c>
      <c r="E1518">
        <v>20</v>
      </c>
      <c r="F1518" t="s">
        <v>44</v>
      </c>
      <c r="G1518" t="s">
        <v>45</v>
      </c>
      <c r="H1518" t="s">
        <v>22</v>
      </c>
      <c r="I1518" t="s">
        <v>84</v>
      </c>
      <c r="J1518" t="s">
        <v>89</v>
      </c>
      <c r="K1518">
        <v>3</v>
      </c>
      <c r="L1518">
        <v>17300</v>
      </c>
      <c r="M1518">
        <v>10</v>
      </c>
      <c r="N1518">
        <v>46710</v>
      </c>
      <c r="O1518" t="s">
        <v>105</v>
      </c>
      <c r="P1518">
        <v>3</v>
      </c>
      <c r="Q1518" t="s">
        <v>65</v>
      </c>
    </row>
    <row r="1519" spans="1:17" x14ac:dyDescent="0.3">
      <c r="A1519" t="s">
        <v>2637</v>
      </c>
      <c r="B1519" t="s">
        <v>2592</v>
      </c>
      <c r="C1519" t="s">
        <v>29</v>
      </c>
      <c r="D1519" t="s">
        <v>103</v>
      </c>
      <c r="E1519">
        <v>53</v>
      </c>
      <c r="F1519" t="s">
        <v>44</v>
      </c>
      <c r="G1519" t="s">
        <v>100</v>
      </c>
      <c r="H1519" t="s">
        <v>46</v>
      </c>
      <c r="I1519" t="s">
        <v>47</v>
      </c>
      <c r="J1519" t="s">
        <v>64</v>
      </c>
      <c r="K1519">
        <v>9</v>
      </c>
      <c r="L1519">
        <v>26400</v>
      </c>
      <c r="M1519">
        <v>0</v>
      </c>
      <c r="N1519">
        <v>237600</v>
      </c>
      <c r="O1519" t="s">
        <v>85</v>
      </c>
      <c r="Q1519" t="s">
        <v>26</v>
      </c>
    </row>
    <row r="1520" spans="1:17" x14ac:dyDescent="0.3">
      <c r="A1520" t="s">
        <v>2638</v>
      </c>
      <c r="B1520" t="s">
        <v>2639</v>
      </c>
      <c r="C1520" t="s">
        <v>113</v>
      </c>
      <c r="D1520" t="s">
        <v>20</v>
      </c>
      <c r="E1520">
        <v>19</v>
      </c>
      <c r="F1520" t="s">
        <v>44</v>
      </c>
      <c r="G1520" t="s">
        <v>100</v>
      </c>
      <c r="H1520" t="s">
        <v>22</v>
      </c>
      <c r="I1520" t="s">
        <v>84</v>
      </c>
      <c r="J1520" t="s">
        <v>24</v>
      </c>
      <c r="K1520">
        <v>10</v>
      </c>
      <c r="L1520">
        <v>23200</v>
      </c>
      <c r="M1520">
        <v>15</v>
      </c>
      <c r="N1520">
        <v>197200</v>
      </c>
      <c r="O1520" t="s">
        <v>85</v>
      </c>
      <c r="P1520">
        <v>2</v>
      </c>
      <c r="Q1520" t="s">
        <v>41</v>
      </c>
    </row>
    <row r="1521" spans="1:17" x14ac:dyDescent="0.3">
      <c r="A1521" t="s">
        <v>2640</v>
      </c>
      <c r="B1521" t="s">
        <v>1272</v>
      </c>
      <c r="C1521" t="s">
        <v>88</v>
      </c>
      <c r="D1521" t="s">
        <v>39</v>
      </c>
      <c r="E1521">
        <v>50</v>
      </c>
      <c r="F1521" t="s">
        <v>30</v>
      </c>
      <c r="G1521" t="s">
        <v>31</v>
      </c>
      <c r="H1521" t="s">
        <v>62</v>
      </c>
      <c r="I1521" t="s">
        <v>140</v>
      </c>
      <c r="J1521" t="s">
        <v>24</v>
      </c>
      <c r="K1521">
        <v>1</v>
      </c>
      <c r="L1521">
        <v>9300</v>
      </c>
      <c r="M1521">
        <v>25</v>
      </c>
      <c r="N1521">
        <v>6975</v>
      </c>
      <c r="O1521" t="s">
        <v>73</v>
      </c>
      <c r="P1521">
        <v>4</v>
      </c>
      <c r="Q1521" t="s">
        <v>41</v>
      </c>
    </row>
    <row r="1522" spans="1:17" x14ac:dyDescent="0.3">
      <c r="A1522" t="s">
        <v>2641</v>
      </c>
      <c r="B1522" t="s">
        <v>737</v>
      </c>
      <c r="C1522" t="s">
        <v>68</v>
      </c>
      <c r="D1522" t="s">
        <v>20</v>
      </c>
      <c r="E1522">
        <v>42</v>
      </c>
      <c r="F1522" t="s">
        <v>21</v>
      </c>
      <c r="G1522" t="s">
        <v>21</v>
      </c>
      <c r="H1522" t="s">
        <v>62</v>
      </c>
      <c r="I1522" t="s">
        <v>63</v>
      </c>
      <c r="J1522" t="s">
        <v>89</v>
      </c>
      <c r="K1522">
        <v>6</v>
      </c>
      <c r="L1522">
        <v>13000</v>
      </c>
      <c r="M1522">
        <v>15</v>
      </c>
      <c r="N1522">
        <v>66300</v>
      </c>
      <c r="O1522" t="s">
        <v>35</v>
      </c>
      <c r="P1522">
        <v>1</v>
      </c>
      <c r="Q1522" t="s">
        <v>26</v>
      </c>
    </row>
    <row r="1523" spans="1:17" x14ac:dyDescent="0.3">
      <c r="A1523" t="s">
        <v>2642</v>
      </c>
      <c r="B1523" t="s">
        <v>2643</v>
      </c>
      <c r="C1523" t="s">
        <v>68</v>
      </c>
      <c r="E1523">
        <v>23</v>
      </c>
      <c r="F1523" t="s">
        <v>77</v>
      </c>
      <c r="G1523" t="s">
        <v>95</v>
      </c>
      <c r="H1523" t="s">
        <v>32</v>
      </c>
      <c r="I1523" t="s">
        <v>33</v>
      </c>
      <c r="J1523" t="s">
        <v>24</v>
      </c>
      <c r="K1523">
        <v>3</v>
      </c>
      <c r="L1523">
        <v>6700</v>
      </c>
      <c r="M1523">
        <v>5</v>
      </c>
      <c r="N1523">
        <v>19095</v>
      </c>
      <c r="O1523" t="s">
        <v>48</v>
      </c>
      <c r="P1523">
        <v>1</v>
      </c>
      <c r="Q1523" t="s">
        <v>26</v>
      </c>
    </row>
    <row r="1524" spans="1:17" x14ac:dyDescent="0.3">
      <c r="A1524" t="s">
        <v>2644</v>
      </c>
      <c r="B1524" t="s">
        <v>692</v>
      </c>
      <c r="C1524" t="s">
        <v>38</v>
      </c>
      <c r="E1524">
        <v>44</v>
      </c>
      <c r="F1524" t="s">
        <v>44</v>
      </c>
      <c r="G1524" t="s">
        <v>45</v>
      </c>
      <c r="H1524" t="s">
        <v>22</v>
      </c>
      <c r="I1524" t="s">
        <v>84</v>
      </c>
      <c r="J1524" t="s">
        <v>80</v>
      </c>
      <c r="K1524">
        <v>8</v>
      </c>
      <c r="L1524">
        <v>15800</v>
      </c>
      <c r="M1524">
        <v>25</v>
      </c>
      <c r="N1524">
        <v>94800</v>
      </c>
      <c r="O1524" t="s">
        <v>73</v>
      </c>
      <c r="Q1524" t="s">
        <v>74</v>
      </c>
    </row>
    <row r="1525" spans="1:17" x14ac:dyDescent="0.3">
      <c r="A1525" t="s">
        <v>2645</v>
      </c>
      <c r="B1525" t="s">
        <v>2646</v>
      </c>
      <c r="C1525" t="s">
        <v>113</v>
      </c>
      <c r="D1525" t="s">
        <v>39</v>
      </c>
      <c r="E1525">
        <v>49</v>
      </c>
      <c r="F1525" t="s">
        <v>21</v>
      </c>
      <c r="G1525" t="s">
        <v>21</v>
      </c>
      <c r="H1525" t="s">
        <v>32</v>
      </c>
      <c r="I1525" t="s">
        <v>53</v>
      </c>
      <c r="J1525" t="s">
        <v>34</v>
      </c>
      <c r="K1525">
        <v>2</v>
      </c>
      <c r="L1525">
        <v>34800</v>
      </c>
      <c r="M1525">
        <v>10</v>
      </c>
      <c r="N1525">
        <v>62640</v>
      </c>
      <c r="O1525" t="s">
        <v>35</v>
      </c>
      <c r="P1525">
        <v>5</v>
      </c>
      <c r="Q1525" t="s">
        <v>65</v>
      </c>
    </row>
    <row r="1526" spans="1:17" x14ac:dyDescent="0.3">
      <c r="A1526" t="s">
        <v>2647</v>
      </c>
      <c r="B1526" t="s">
        <v>2648</v>
      </c>
      <c r="C1526" t="s">
        <v>121</v>
      </c>
      <c r="D1526" t="s">
        <v>83</v>
      </c>
      <c r="E1526">
        <v>44</v>
      </c>
      <c r="F1526" t="s">
        <v>30</v>
      </c>
      <c r="G1526" t="s">
        <v>57</v>
      </c>
      <c r="H1526" t="s">
        <v>46</v>
      </c>
      <c r="I1526" t="s">
        <v>79</v>
      </c>
      <c r="J1526" t="s">
        <v>24</v>
      </c>
      <c r="K1526">
        <v>9</v>
      </c>
      <c r="L1526">
        <v>20600</v>
      </c>
      <c r="M1526">
        <v>15</v>
      </c>
      <c r="N1526">
        <v>157590</v>
      </c>
      <c r="O1526" t="s">
        <v>40</v>
      </c>
      <c r="P1526">
        <v>3</v>
      </c>
      <c r="Q1526" t="s">
        <v>65</v>
      </c>
    </row>
    <row r="1527" spans="1:17" x14ac:dyDescent="0.3">
      <c r="A1527" t="s">
        <v>2649</v>
      </c>
      <c r="B1527" t="s">
        <v>1300</v>
      </c>
      <c r="C1527" t="s">
        <v>121</v>
      </c>
      <c r="E1527">
        <v>45</v>
      </c>
      <c r="F1527" t="s">
        <v>61</v>
      </c>
      <c r="G1527" t="s">
        <v>61</v>
      </c>
      <c r="H1527" t="s">
        <v>62</v>
      </c>
      <c r="I1527" t="s">
        <v>63</v>
      </c>
      <c r="J1527" t="s">
        <v>72</v>
      </c>
      <c r="K1527">
        <v>2</v>
      </c>
      <c r="L1527">
        <v>13400</v>
      </c>
      <c r="M1527">
        <v>0</v>
      </c>
      <c r="N1527">
        <v>26800</v>
      </c>
      <c r="O1527" t="s">
        <v>25</v>
      </c>
      <c r="P1527">
        <v>1</v>
      </c>
      <c r="Q1527" t="s">
        <v>26</v>
      </c>
    </row>
    <row r="1528" spans="1:17" x14ac:dyDescent="0.3">
      <c r="A1528" t="s">
        <v>2650</v>
      </c>
      <c r="B1528" t="s">
        <v>822</v>
      </c>
      <c r="C1528" t="s">
        <v>113</v>
      </c>
      <c r="D1528" t="s">
        <v>83</v>
      </c>
      <c r="E1528">
        <v>31</v>
      </c>
      <c r="F1528" t="s">
        <v>30</v>
      </c>
      <c r="G1528" t="s">
        <v>57</v>
      </c>
      <c r="H1528" t="s">
        <v>22</v>
      </c>
      <c r="I1528" t="s">
        <v>23</v>
      </c>
      <c r="J1528" t="s">
        <v>80</v>
      </c>
      <c r="K1528">
        <v>4</v>
      </c>
      <c r="L1528">
        <v>25100</v>
      </c>
      <c r="M1528">
        <v>20</v>
      </c>
      <c r="N1528">
        <v>80320</v>
      </c>
      <c r="O1528" t="s">
        <v>73</v>
      </c>
      <c r="P1528">
        <v>3</v>
      </c>
      <c r="Q1528" t="s">
        <v>26</v>
      </c>
    </row>
    <row r="1529" spans="1:17" x14ac:dyDescent="0.3">
      <c r="A1529" t="s">
        <v>2651</v>
      </c>
      <c r="B1529" t="s">
        <v>2652</v>
      </c>
      <c r="C1529" t="s">
        <v>94</v>
      </c>
      <c r="D1529" t="s">
        <v>20</v>
      </c>
      <c r="E1529">
        <v>46</v>
      </c>
      <c r="F1529" t="s">
        <v>77</v>
      </c>
      <c r="G1529" t="s">
        <v>78</v>
      </c>
      <c r="H1529" t="s">
        <v>22</v>
      </c>
      <c r="I1529" t="s">
        <v>84</v>
      </c>
      <c r="J1529" t="s">
        <v>89</v>
      </c>
      <c r="K1529">
        <v>10</v>
      </c>
      <c r="L1529">
        <v>10700</v>
      </c>
      <c r="M1529">
        <v>15</v>
      </c>
      <c r="N1529">
        <v>90950</v>
      </c>
      <c r="O1529" t="s">
        <v>35</v>
      </c>
      <c r="P1529">
        <v>2</v>
      </c>
      <c r="Q1529" t="s">
        <v>41</v>
      </c>
    </row>
    <row r="1530" spans="1:17" x14ac:dyDescent="0.3">
      <c r="A1530" t="s">
        <v>2653</v>
      </c>
      <c r="B1530" t="s">
        <v>916</v>
      </c>
      <c r="C1530" t="s">
        <v>113</v>
      </c>
      <c r="D1530" t="s">
        <v>103</v>
      </c>
      <c r="E1530">
        <v>46</v>
      </c>
      <c r="F1530" t="s">
        <v>77</v>
      </c>
      <c r="G1530" t="s">
        <v>78</v>
      </c>
      <c r="H1530" t="s">
        <v>62</v>
      </c>
      <c r="I1530" t="s">
        <v>140</v>
      </c>
      <c r="J1530" t="s">
        <v>34</v>
      </c>
      <c r="K1530">
        <v>2</v>
      </c>
      <c r="L1530">
        <v>12200</v>
      </c>
      <c r="M1530">
        <v>25</v>
      </c>
      <c r="N1530">
        <v>18300</v>
      </c>
      <c r="O1530" t="s">
        <v>25</v>
      </c>
      <c r="P1530">
        <v>1</v>
      </c>
      <c r="Q1530" t="s">
        <v>65</v>
      </c>
    </row>
    <row r="1531" spans="1:17" x14ac:dyDescent="0.3">
      <c r="A1531" t="s">
        <v>2654</v>
      </c>
      <c r="B1531" t="s">
        <v>2050</v>
      </c>
      <c r="C1531" t="s">
        <v>113</v>
      </c>
      <c r="D1531" t="s">
        <v>103</v>
      </c>
      <c r="E1531">
        <v>55</v>
      </c>
      <c r="F1531" t="s">
        <v>44</v>
      </c>
      <c r="G1531" t="s">
        <v>45</v>
      </c>
      <c r="H1531" t="s">
        <v>62</v>
      </c>
      <c r="I1531" t="s">
        <v>140</v>
      </c>
      <c r="J1531" t="s">
        <v>34</v>
      </c>
      <c r="K1531">
        <v>8</v>
      </c>
      <c r="L1531">
        <v>48900</v>
      </c>
      <c r="M1531">
        <v>20</v>
      </c>
      <c r="N1531">
        <v>312960</v>
      </c>
      <c r="O1531" t="s">
        <v>73</v>
      </c>
      <c r="P1531">
        <v>5</v>
      </c>
      <c r="Q1531" t="s">
        <v>74</v>
      </c>
    </row>
    <row r="1532" spans="1:17" x14ac:dyDescent="0.3">
      <c r="A1532" t="s">
        <v>2655</v>
      </c>
      <c r="B1532" t="s">
        <v>714</v>
      </c>
      <c r="C1532" t="s">
        <v>113</v>
      </c>
      <c r="D1532" t="s">
        <v>20</v>
      </c>
      <c r="E1532">
        <v>39</v>
      </c>
      <c r="F1532" t="s">
        <v>21</v>
      </c>
      <c r="G1532" t="s">
        <v>21</v>
      </c>
      <c r="H1532" t="s">
        <v>22</v>
      </c>
      <c r="I1532" t="s">
        <v>23</v>
      </c>
      <c r="J1532" t="s">
        <v>72</v>
      </c>
      <c r="K1532">
        <v>4</v>
      </c>
      <c r="L1532">
        <v>5500</v>
      </c>
      <c r="M1532">
        <v>10</v>
      </c>
      <c r="N1532">
        <v>19800</v>
      </c>
      <c r="O1532" t="s">
        <v>35</v>
      </c>
      <c r="Q1532" t="s">
        <v>41</v>
      </c>
    </row>
    <row r="1533" spans="1:17" x14ac:dyDescent="0.3">
      <c r="A1533" t="s">
        <v>2656</v>
      </c>
      <c r="B1533" t="s">
        <v>1382</v>
      </c>
      <c r="C1533" t="s">
        <v>121</v>
      </c>
      <c r="D1533" t="s">
        <v>103</v>
      </c>
      <c r="E1533">
        <v>34</v>
      </c>
      <c r="F1533" t="s">
        <v>44</v>
      </c>
      <c r="G1533" t="s">
        <v>100</v>
      </c>
      <c r="H1533" t="s">
        <v>46</v>
      </c>
      <c r="I1533" t="s">
        <v>47</v>
      </c>
      <c r="J1533" t="s">
        <v>64</v>
      </c>
      <c r="K1533">
        <v>10</v>
      </c>
      <c r="L1533">
        <v>33500</v>
      </c>
      <c r="M1533">
        <v>20</v>
      </c>
      <c r="N1533">
        <v>268000</v>
      </c>
      <c r="O1533" t="s">
        <v>105</v>
      </c>
      <c r="P1533">
        <v>4</v>
      </c>
      <c r="Q1533" t="s">
        <v>74</v>
      </c>
    </row>
    <row r="1534" spans="1:17" x14ac:dyDescent="0.3">
      <c r="A1534" t="s">
        <v>2657</v>
      </c>
      <c r="B1534" t="s">
        <v>2658</v>
      </c>
      <c r="C1534" t="s">
        <v>88</v>
      </c>
      <c r="D1534" t="s">
        <v>103</v>
      </c>
      <c r="E1534">
        <v>59</v>
      </c>
      <c r="F1534" t="s">
        <v>44</v>
      </c>
      <c r="G1534" t="s">
        <v>100</v>
      </c>
      <c r="H1534" t="s">
        <v>22</v>
      </c>
      <c r="I1534" t="s">
        <v>84</v>
      </c>
      <c r="J1534" t="s">
        <v>24</v>
      </c>
      <c r="K1534">
        <v>8</v>
      </c>
      <c r="L1534">
        <v>25200</v>
      </c>
      <c r="M1534">
        <v>15</v>
      </c>
      <c r="N1534">
        <v>171360</v>
      </c>
      <c r="O1534" t="s">
        <v>85</v>
      </c>
      <c r="Q1534" t="s">
        <v>41</v>
      </c>
    </row>
    <row r="1535" spans="1:17" x14ac:dyDescent="0.3">
      <c r="A1535" t="s">
        <v>2659</v>
      </c>
      <c r="B1535" t="s">
        <v>1540</v>
      </c>
      <c r="C1535" t="s">
        <v>38</v>
      </c>
      <c r="D1535" t="s">
        <v>83</v>
      </c>
      <c r="E1535">
        <v>49</v>
      </c>
      <c r="F1535" t="s">
        <v>21</v>
      </c>
      <c r="G1535" t="s">
        <v>21</v>
      </c>
      <c r="H1535" t="s">
        <v>22</v>
      </c>
      <c r="I1535" t="s">
        <v>84</v>
      </c>
      <c r="J1535" t="s">
        <v>24</v>
      </c>
      <c r="K1535">
        <v>7</v>
      </c>
      <c r="L1535">
        <v>41700</v>
      </c>
      <c r="M1535">
        <v>10</v>
      </c>
      <c r="N1535">
        <v>262710</v>
      </c>
      <c r="O1535" t="s">
        <v>25</v>
      </c>
      <c r="P1535">
        <v>5</v>
      </c>
      <c r="Q1535" t="s">
        <v>26</v>
      </c>
    </row>
    <row r="1536" spans="1:17" x14ac:dyDescent="0.3">
      <c r="A1536" t="s">
        <v>2660</v>
      </c>
      <c r="B1536" t="s">
        <v>2661</v>
      </c>
      <c r="C1536" t="s">
        <v>71</v>
      </c>
      <c r="D1536" t="s">
        <v>83</v>
      </c>
      <c r="E1536">
        <v>30</v>
      </c>
      <c r="F1536" t="s">
        <v>51</v>
      </c>
      <c r="G1536" t="s">
        <v>104</v>
      </c>
      <c r="H1536" t="s">
        <v>22</v>
      </c>
      <c r="I1536" t="s">
        <v>23</v>
      </c>
      <c r="J1536" t="s">
        <v>72</v>
      </c>
      <c r="K1536" t="s">
        <v>173</v>
      </c>
      <c r="L1536">
        <v>9200</v>
      </c>
      <c r="M1536">
        <v>15</v>
      </c>
      <c r="N1536">
        <v>15640</v>
      </c>
      <c r="O1536" t="s">
        <v>73</v>
      </c>
      <c r="P1536">
        <v>4</v>
      </c>
      <c r="Q1536" t="s">
        <v>26</v>
      </c>
    </row>
    <row r="1537" spans="1:17" x14ac:dyDescent="0.3">
      <c r="A1537" t="s">
        <v>2662</v>
      </c>
      <c r="B1537" t="s">
        <v>222</v>
      </c>
      <c r="C1537" t="s">
        <v>38</v>
      </c>
      <c r="D1537" t="s">
        <v>20</v>
      </c>
      <c r="E1537">
        <v>46</v>
      </c>
      <c r="F1537" t="s">
        <v>30</v>
      </c>
      <c r="G1537" t="s">
        <v>31</v>
      </c>
      <c r="H1537" t="s">
        <v>46</v>
      </c>
      <c r="I1537" t="s">
        <v>79</v>
      </c>
      <c r="J1537" t="s">
        <v>34</v>
      </c>
      <c r="K1537">
        <v>5</v>
      </c>
      <c r="L1537">
        <v>11700</v>
      </c>
      <c r="M1537">
        <v>5</v>
      </c>
      <c r="N1537">
        <v>55575</v>
      </c>
      <c r="O1537" t="s">
        <v>48</v>
      </c>
      <c r="P1537">
        <v>5</v>
      </c>
      <c r="Q1537" t="s">
        <v>26</v>
      </c>
    </row>
    <row r="1538" spans="1:17" x14ac:dyDescent="0.3">
      <c r="A1538" t="s">
        <v>2663</v>
      </c>
      <c r="B1538" t="s">
        <v>2664</v>
      </c>
      <c r="C1538" t="s">
        <v>60</v>
      </c>
      <c r="D1538" t="s">
        <v>39</v>
      </c>
      <c r="E1538">
        <v>29</v>
      </c>
      <c r="F1538" t="s">
        <v>21</v>
      </c>
      <c r="G1538" t="s">
        <v>21</v>
      </c>
      <c r="H1538" t="s">
        <v>62</v>
      </c>
      <c r="I1538" t="s">
        <v>140</v>
      </c>
      <c r="J1538" t="s">
        <v>64</v>
      </c>
      <c r="K1538">
        <v>6</v>
      </c>
      <c r="L1538">
        <v>41000</v>
      </c>
      <c r="M1538">
        <v>20</v>
      </c>
      <c r="N1538">
        <v>196800</v>
      </c>
      <c r="O1538" t="s">
        <v>105</v>
      </c>
      <c r="P1538">
        <v>4</v>
      </c>
      <c r="Q1538" t="s">
        <v>65</v>
      </c>
    </row>
    <row r="1539" spans="1:17" x14ac:dyDescent="0.3">
      <c r="A1539" t="s">
        <v>2665</v>
      </c>
      <c r="B1539" t="s">
        <v>1296</v>
      </c>
      <c r="C1539" t="s">
        <v>60</v>
      </c>
      <c r="D1539" t="s">
        <v>39</v>
      </c>
      <c r="E1539">
        <v>61</v>
      </c>
      <c r="F1539" t="s">
        <v>21</v>
      </c>
      <c r="G1539" t="s">
        <v>21</v>
      </c>
      <c r="H1539" t="s">
        <v>62</v>
      </c>
      <c r="I1539" t="s">
        <v>140</v>
      </c>
      <c r="J1539" t="s">
        <v>72</v>
      </c>
      <c r="K1539">
        <v>1</v>
      </c>
      <c r="L1539">
        <v>47400</v>
      </c>
      <c r="M1539">
        <v>10</v>
      </c>
      <c r="N1539">
        <v>42660</v>
      </c>
      <c r="O1539" t="s">
        <v>105</v>
      </c>
      <c r="P1539">
        <v>1</v>
      </c>
      <c r="Q1539" t="s">
        <v>65</v>
      </c>
    </row>
    <row r="1540" spans="1:17" x14ac:dyDescent="0.3">
      <c r="A1540" t="s">
        <v>2666</v>
      </c>
      <c r="B1540" t="s">
        <v>2667</v>
      </c>
      <c r="C1540" t="s">
        <v>88</v>
      </c>
      <c r="D1540" t="s">
        <v>20</v>
      </c>
      <c r="E1540">
        <v>65</v>
      </c>
      <c r="F1540" t="s">
        <v>21</v>
      </c>
      <c r="G1540" t="s">
        <v>21</v>
      </c>
      <c r="H1540" t="s">
        <v>62</v>
      </c>
      <c r="I1540" t="s">
        <v>140</v>
      </c>
      <c r="J1540" t="s">
        <v>64</v>
      </c>
      <c r="K1540">
        <v>8</v>
      </c>
      <c r="L1540">
        <v>10100</v>
      </c>
      <c r="M1540">
        <v>25</v>
      </c>
      <c r="N1540">
        <v>60600</v>
      </c>
      <c r="O1540" t="s">
        <v>105</v>
      </c>
      <c r="P1540">
        <v>5</v>
      </c>
      <c r="Q1540" t="s">
        <v>41</v>
      </c>
    </row>
    <row r="1541" spans="1:17" x14ac:dyDescent="0.3">
      <c r="A1541" t="s">
        <v>2668</v>
      </c>
      <c r="B1541" t="s">
        <v>157</v>
      </c>
      <c r="C1541" t="s">
        <v>19</v>
      </c>
      <c r="D1541" t="s">
        <v>39</v>
      </c>
      <c r="E1541">
        <v>53</v>
      </c>
      <c r="F1541" t="s">
        <v>51</v>
      </c>
      <c r="G1541" t="s">
        <v>52</v>
      </c>
      <c r="H1541" t="s">
        <v>32</v>
      </c>
      <c r="I1541" t="s">
        <v>53</v>
      </c>
      <c r="J1541" t="s">
        <v>80</v>
      </c>
      <c r="K1541">
        <v>8</v>
      </c>
      <c r="L1541">
        <v>47300</v>
      </c>
      <c r="M1541">
        <v>10</v>
      </c>
      <c r="N1541">
        <v>340560</v>
      </c>
      <c r="O1541" t="s">
        <v>105</v>
      </c>
      <c r="P1541">
        <v>4</v>
      </c>
      <c r="Q1541" t="s">
        <v>26</v>
      </c>
    </row>
    <row r="1542" spans="1:17" x14ac:dyDescent="0.3">
      <c r="A1542" t="s">
        <v>2669</v>
      </c>
      <c r="B1542" t="s">
        <v>439</v>
      </c>
      <c r="C1542" t="s">
        <v>60</v>
      </c>
      <c r="D1542" t="s">
        <v>20</v>
      </c>
      <c r="E1542">
        <v>24</v>
      </c>
      <c r="F1542" t="s">
        <v>21</v>
      </c>
      <c r="G1542" t="s">
        <v>21</v>
      </c>
      <c r="H1542" t="s">
        <v>116</v>
      </c>
      <c r="I1542" t="s">
        <v>84</v>
      </c>
      <c r="J1542" t="s">
        <v>34</v>
      </c>
      <c r="K1542">
        <v>5</v>
      </c>
      <c r="L1542">
        <v>47100</v>
      </c>
      <c r="M1542">
        <v>0</v>
      </c>
      <c r="N1542">
        <v>235500</v>
      </c>
      <c r="O1542" t="s">
        <v>35</v>
      </c>
      <c r="P1542">
        <v>1</v>
      </c>
      <c r="Q1542" t="s">
        <v>74</v>
      </c>
    </row>
    <row r="1543" spans="1:17" x14ac:dyDescent="0.3">
      <c r="A1543" t="s">
        <v>2670</v>
      </c>
      <c r="B1543" t="s">
        <v>1947</v>
      </c>
      <c r="C1543" t="s">
        <v>68</v>
      </c>
      <c r="D1543" t="s">
        <v>20</v>
      </c>
      <c r="E1543">
        <v>21</v>
      </c>
      <c r="F1543" t="s">
        <v>77</v>
      </c>
      <c r="G1543" t="s">
        <v>95</v>
      </c>
      <c r="H1543" t="s">
        <v>32</v>
      </c>
      <c r="I1543" t="s">
        <v>53</v>
      </c>
      <c r="J1543" t="s">
        <v>24</v>
      </c>
      <c r="K1543">
        <v>6</v>
      </c>
      <c r="L1543">
        <v>2100</v>
      </c>
      <c r="M1543">
        <v>5</v>
      </c>
      <c r="N1543">
        <v>11970</v>
      </c>
      <c r="O1543" t="s">
        <v>85</v>
      </c>
      <c r="Q1543" t="s">
        <v>65</v>
      </c>
    </row>
    <row r="1544" spans="1:17" x14ac:dyDescent="0.3">
      <c r="A1544" t="s">
        <v>2671</v>
      </c>
      <c r="B1544" t="s">
        <v>2672</v>
      </c>
      <c r="C1544" t="s">
        <v>38</v>
      </c>
      <c r="D1544" t="s">
        <v>20</v>
      </c>
      <c r="E1544">
        <v>50</v>
      </c>
      <c r="F1544" t="s">
        <v>44</v>
      </c>
      <c r="G1544" t="s">
        <v>100</v>
      </c>
      <c r="H1544" t="s">
        <v>22</v>
      </c>
      <c r="I1544" t="s">
        <v>23</v>
      </c>
      <c r="J1544" t="s">
        <v>80</v>
      </c>
      <c r="K1544">
        <v>6</v>
      </c>
      <c r="L1544">
        <v>19400</v>
      </c>
      <c r="M1544">
        <v>0</v>
      </c>
      <c r="N1544">
        <v>116400</v>
      </c>
      <c r="O1544" t="s">
        <v>73</v>
      </c>
      <c r="P1544">
        <v>3</v>
      </c>
      <c r="Q1544" t="s">
        <v>74</v>
      </c>
    </row>
    <row r="1545" spans="1:17" x14ac:dyDescent="0.3">
      <c r="A1545" t="s">
        <v>2673</v>
      </c>
      <c r="B1545" t="s">
        <v>2674</v>
      </c>
      <c r="C1545" t="s">
        <v>29</v>
      </c>
      <c r="D1545" t="s">
        <v>20</v>
      </c>
      <c r="E1545">
        <v>25</v>
      </c>
      <c r="F1545" t="s">
        <v>61</v>
      </c>
      <c r="G1545" t="s">
        <v>61</v>
      </c>
      <c r="H1545" t="s">
        <v>32</v>
      </c>
      <c r="I1545" t="s">
        <v>33</v>
      </c>
      <c r="J1545" t="s">
        <v>89</v>
      </c>
      <c r="K1545">
        <v>9</v>
      </c>
      <c r="L1545">
        <v>49200</v>
      </c>
      <c r="M1545">
        <v>15</v>
      </c>
      <c r="N1545">
        <v>376380</v>
      </c>
      <c r="O1545" t="s">
        <v>48</v>
      </c>
      <c r="Q1545" t="s">
        <v>74</v>
      </c>
    </row>
    <row r="1546" spans="1:17" x14ac:dyDescent="0.3">
      <c r="A1546" t="s">
        <v>2675</v>
      </c>
      <c r="B1546" t="s">
        <v>962</v>
      </c>
      <c r="C1546" t="s">
        <v>94</v>
      </c>
      <c r="D1546" t="s">
        <v>103</v>
      </c>
      <c r="E1546">
        <v>24</v>
      </c>
      <c r="F1546" t="s">
        <v>44</v>
      </c>
      <c r="G1546" t="s">
        <v>100</v>
      </c>
      <c r="H1546" t="s">
        <v>32</v>
      </c>
      <c r="I1546" t="s">
        <v>33</v>
      </c>
      <c r="J1546" t="s">
        <v>89</v>
      </c>
      <c r="K1546">
        <v>3</v>
      </c>
      <c r="L1546">
        <v>29000</v>
      </c>
      <c r="M1546">
        <v>25</v>
      </c>
      <c r="N1546">
        <v>65250</v>
      </c>
      <c r="O1546" t="s">
        <v>40</v>
      </c>
      <c r="Q1546" t="s">
        <v>26</v>
      </c>
    </row>
    <row r="1547" spans="1:17" x14ac:dyDescent="0.3">
      <c r="A1547" t="s">
        <v>2676</v>
      </c>
      <c r="B1547" t="s">
        <v>2677</v>
      </c>
      <c r="C1547" t="s">
        <v>121</v>
      </c>
      <c r="D1547" t="s">
        <v>103</v>
      </c>
      <c r="E1547">
        <v>29</v>
      </c>
      <c r="F1547" t="s">
        <v>30</v>
      </c>
      <c r="G1547" t="s">
        <v>31</v>
      </c>
      <c r="H1547" t="s">
        <v>62</v>
      </c>
      <c r="I1547" t="s">
        <v>63</v>
      </c>
      <c r="J1547" t="s">
        <v>89</v>
      </c>
      <c r="K1547">
        <v>4</v>
      </c>
      <c r="L1547">
        <v>5500</v>
      </c>
      <c r="M1547">
        <v>5</v>
      </c>
      <c r="N1547">
        <v>20900</v>
      </c>
      <c r="O1547" t="s">
        <v>35</v>
      </c>
      <c r="P1547">
        <v>3</v>
      </c>
      <c r="Q1547" t="s">
        <v>65</v>
      </c>
    </row>
    <row r="1548" spans="1:17" x14ac:dyDescent="0.3">
      <c r="A1548" t="s">
        <v>2678</v>
      </c>
      <c r="B1548" t="s">
        <v>2615</v>
      </c>
      <c r="C1548" t="s">
        <v>94</v>
      </c>
      <c r="D1548" t="s">
        <v>39</v>
      </c>
      <c r="E1548">
        <v>55</v>
      </c>
      <c r="F1548" t="s">
        <v>44</v>
      </c>
      <c r="G1548" t="s">
        <v>100</v>
      </c>
      <c r="H1548" t="s">
        <v>22</v>
      </c>
      <c r="I1548" t="s">
        <v>84</v>
      </c>
      <c r="J1548" t="s">
        <v>64</v>
      </c>
      <c r="K1548">
        <v>6</v>
      </c>
      <c r="L1548">
        <v>5200</v>
      </c>
      <c r="M1548">
        <v>15</v>
      </c>
      <c r="N1548">
        <v>26520</v>
      </c>
      <c r="O1548" t="s">
        <v>48</v>
      </c>
      <c r="P1548">
        <v>3</v>
      </c>
      <c r="Q1548" t="s">
        <v>65</v>
      </c>
    </row>
    <row r="1549" spans="1:17" x14ac:dyDescent="0.3">
      <c r="A1549" t="s">
        <v>2679</v>
      </c>
      <c r="B1549" t="s">
        <v>2680</v>
      </c>
      <c r="C1549" t="s">
        <v>68</v>
      </c>
      <c r="D1549" t="s">
        <v>39</v>
      </c>
      <c r="E1549">
        <v>38</v>
      </c>
      <c r="F1549" t="s">
        <v>77</v>
      </c>
      <c r="G1549" t="s">
        <v>95</v>
      </c>
      <c r="H1549" t="s">
        <v>32</v>
      </c>
      <c r="I1549" t="s">
        <v>33</v>
      </c>
      <c r="J1549" t="s">
        <v>64</v>
      </c>
      <c r="K1549">
        <v>10</v>
      </c>
      <c r="L1549">
        <v>40200</v>
      </c>
      <c r="M1549">
        <v>15</v>
      </c>
      <c r="N1549">
        <v>341700</v>
      </c>
      <c r="O1549" t="s">
        <v>40</v>
      </c>
      <c r="Q1549" t="s">
        <v>65</v>
      </c>
    </row>
    <row r="1550" spans="1:17" x14ac:dyDescent="0.3">
      <c r="A1550" t="s">
        <v>2681</v>
      </c>
      <c r="B1550" t="s">
        <v>2107</v>
      </c>
      <c r="C1550" t="s">
        <v>68</v>
      </c>
      <c r="D1550" t="s">
        <v>83</v>
      </c>
      <c r="E1550">
        <v>28</v>
      </c>
      <c r="F1550" t="s">
        <v>44</v>
      </c>
      <c r="G1550" t="s">
        <v>100</v>
      </c>
      <c r="H1550" t="s">
        <v>46</v>
      </c>
      <c r="I1550" t="s">
        <v>47</v>
      </c>
      <c r="J1550" t="s">
        <v>80</v>
      </c>
      <c r="K1550">
        <v>7</v>
      </c>
      <c r="L1550">
        <v>48300</v>
      </c>
      <c r="M1550">
        <v>20</v>
      </c>
      <c r="N1550">
        <v>270480</v>
      </c>
      <c r="O1550" t="s">
        <v>73</v>
      </c>
      <c r="P1550">
        <v>4</v>
      </c>
      <c r="Q1550" t="s">
        <v>26</v>
      </c>
    </row>
    <row r="1551" spans="1:17" x14ac:dyDescent="0.3">
      <c r="A1551" t="s">
        <v>2682</v>
      </c>
      <c r="B1551" t="s">
        <v>1165</v>
      </c>
      <c r="C1551" t="s">
        <v>71</v>
      </c>
      <c r="D1551" t="s">
        <v>20</v>
      </c>
      <c r="E1551">
        <v>43</v>
      </c>
      <c r="F1551" t="s">
        <v>21</v>
      </c>
      <c r="G1551" t="s">
        <v>21</v>
      </c>
      <c r="H1551" t="s">
        <v>32</v>
      </c>
      <c r="I1551" t="s">
        <v>33</v>
      </c>
      <c r="J1551" t="s">
        <v>24</v>
      </c>
      <c r="K1551">
        <v>6</v>
      </c>
      <c r="L1551">
        <v>19200</v>
      </c>
      <c r="M1551">
        <v>20</v>
      </c>
      <c r="N1551">
        <v>92160</v>
      </c>
      <c r="O1551" t="s">
        <v>85</v>
      </c>
      <c r="Q1551" t="s">
        <v>26</v>
      </c>
    </row>
    <row r="1552" spans="1:17" x14ac:dyDescent="0.3">
      <c r="A1552" t="s">
        <v>2683</v>
      </c>
      <c r="B1552" t="s">
        <v>2334</v>
      </c>
      <c r="C1552" t="s">
        <v>88</v>
      </c>
      <c r="D1552" t="s">
        <v>20</v>
      </c>
      <c r="E1552">
        <v>22</v>
      </c>
      <c r="F1552" t="s">
        <v>61</v>
      </c>
      <c r="G1552" t="s">
        <v>61</v>
      </c>
      <c r="H1552" t="s">
        <v>22</v>
      </c>
      <c r="I1552" t="s">
        <v>84</v>
      </c>
      <c r="J1552" t="s">
        <v>24</v>
      </c>
      <c r="K1552">
        <v>2</v>
      </c>
      <c r="L1552">
        <v>9100</v>
      </c>
      <c r="M1552">
        <v>15</v>
      </c>
      <c r="N1552" t="s">
        <v>2684</v>
      </c>
      <c r="O1552" t="s">
        <v>35</v>
      </c>
      <c r="P1552">
        <v>2</v>
      </c>
      <c r="Q1552" t="s">
        <v>41</v>
      </c>
    </row>
    <row r="1553" spans="1:17" x14ac:dyDescent="0.3">
      <c r="A1553" t="s">
        <v>2685</v>
      </c>
      <c r="B1553" t="s">
        <v>2686</v>
      </c>
      <c r="C1553" t="s">
        <v>68</v>
      </c>
      <c r="D1553" t="s">
        <v>39</v>
      </c>
      <c r="E1553">
        <v>61</v>
      </c>
      <c r="F1553" t="s">
        <v>30</v>
      </c>
      <c r="G1553" t="s">
        <v>57</v>
      </c>
      <c r="H1553" t="s">
        <v>62</v>
      </c>
      <c r="I1553" t="s">
        <v>140</v>
      </c>
      <c r="J1553" t="s">
        <v>72</v>
      </c>
      <c r="K1553">
        <v>2</v>
      </c>
      <c r="L1553">
        <v>13400</v>
      </c>
      <c r="M1553">
        <v>15</v>
      </c>
      <c r="N1553">
        <v>22780</v>
      </c>
      <c r="O1553" t="s">
        <v>40</v>
      </c>
      <c r="Q1553" t="s">
        <v>74</v>
      </c>
    </row>
    <row r="1554" spans="1:17" x14ac:dyDescent="0.3">
      <c r="A1554" t="s">
        <v>2687</v>
      </c>
      <c r="B1554" t="s">
        <v>2688</v>
      </c>
      <c r="C1554" t="s">
        <v>113</v>
      </c>
      <c r="D1554" t="s">
        <v>83</v>
      </c>
      <c r="E1554">
        <v>58</v>
      </c>
      <c r="F1554" t="s">
        <v>77</v>
      </c>
      <c r="G1554" t="s">
        <v>78</v>
      </c>
      <c r="H1554" t="s">
        <v>46</v>
      </c>
      <c r="I1554" t="s">
        <v>79</v>
      </c>
      <c r="J1554" t="s">
        <v>89</v>
      </c>
      <c r="K1554">
        <v>9</v>
      </c>
      <c r="L1554">
        <v>17400</v>
      </c>
      <c r="M1554">
        <v>25</v>
      </c>
      <c r="N1554">
        <v>117450</v>
      </c>
      <c r="O1554" t="s">
        <v>25</v>
      </c>
      <c r="P1554">
        <v>2</v>
      </c>
      <c r="Q1554" t="s">
        <v>26</v>
      </c>
    </row>
    <row r="1555" spans="1:17" x14ac:dyDescent="0.3">
      <c r="A1555" t="s">
        <v>2689</v>
      </c>
      <c r="B1555" t="s">
        <v>1235</v>
      </c>
      <c r="C1555" t="s">
        <v>94</v>
      </c>
      <c r="D1555" t="s">
        <v>103</v>
      </c>
      <c r="E1555">
        <v>20</v>
      </c>
      <c r="F1555" t="s">
        <v>44</v>
      </c>
      <c r="G1555" t="s">
        <v>100</v>
      </c>
      <c r="H1555" t="s">
        <v>22</v>
      </c>
      <c r="I1555" t="s">
        <v>23</v>
      </c>
      <c r="J1555" t="s">
        <v>89</v>
      </c>
      <c r="K1555">
        <v>1</v>
      </c>
      <c r="L1555">
        <v>5700</v>
      </c>
      <c r="M1555">
        <v>0</v>
      </c>
      <c r="N1555">
        <v>5700</v>
      </c>
      <c r="O1555" t="s">
        <v>48</v>
      </c>
      <c r="P1555">
        <v>2</v>
      </c>
      <c r="Q1555" t="s">
        <v>65</v>
      </c>
    </row>
    <row r="1556" spans="1:17" x14ac:dyDescent="0.3">
      <c r="A1556" t="s">
        <v>2690</v>
      </c>
      <c r="B1556" t="s">
        <v>2691</v>
      </c>
      <c r="C1556" t="s">
        <v>121</v>
      </c>
      <c r="E1556">
        <v>18</v>
      </c>
      <c r="F1556" t="s">
        <v>51</v>
      </c>
      <c r="G1556" t="s">
        <v>52</v>
      </c>
      <c r="H1556" t="s">
        <v>32</v>
      </c>
      <c r="I1556" t="s">
        <v>53</v>
      </c>
      <c r="J1556" t="s">
        <v>64</v>
      </c>
      <c r="K1556">
        <v>5</v>
      </c>
      <c r="L1556">
        <v>19200</v>
      </c>
      <c r="M1556">
        <v>5</v>
      </c>
      <c r="N1556">
        <v>91200</v>
      </c>
      <c r="O1556" t="s">
        <v>48</v>
      </c>
      <c r="P1556">
        <v>5</v>
      </c>
      <c r="Q1556" t="s">
        <v>74</v>
      </c>
    </row>
    <row r="1557" spans="1:17" x14ac:dyDescent="0.3">
      <c r="A1557" t="s">
        <v>2692</v>
      </c>
      <c r="B1557" t="s">
        <v>2693</v>
      </c>
      <c r="C1557" t="s">
        <v>60</v>
      </c>
      <c r="D1557" t="s">
        <v>20</v>
      </c>
      <c r="E1557">
        <v>20</v>
      </c>
      <c r="F1557" t="s">
        <v>51</v>
      </c>
      <c r="G1557" t="s">
        <v>52</v>
      </c>
      <c r="H1557" t="s">
        <v>62</v>
      </c>
      <c r="I1557" t="s">
        <v>140</v>
      </c>
      <c r="J1557" t="s">
        <v>72</v>
      </c>
      <c r="K1557">
        <v>4</v>
      </c>
      <c r="L1557">
        <v>45500</v>
      </c>
      <c r="M1557">
        <v>0</v>
      </c>
      <c r="N1557">
        <v>182000</v>
      </c>
      <c r="O1557" t="s">
        <v>48</v>
      </c>
      <c r="P1557">
        <v>4</v>
      </c>
      <c r="Q1557" t="s">
        <v>65</v>
      </c>
    </row>
    <row r="1558" spans="1:17" x14ac:dyDescent="0.3">
      <c r="A1558" t="s">
        <v>2694</v>
      </c>
      <c r="B1558" t="s">
        <v>1833</v>
      </c>
      <c r="C1558" t="s">
        <v>60</v>
      </c>
      <c r="D1558" t="s">
        <v>39</v>
      </c>
      <c r="E1558">
        <v>53</v>
      </c>
      <c r="F1558" t="s">
        <v>44</v>
      </c>
      <c r="G1558" t="s">
        <v>45</v>
      </c>
      <c r="H1558" t="s">
        <v>62</v>
      </c>
      <c r="I1558" t="s">
        <v>140</v>
      </c>
      <c r="J1558" t="s">
        <v>89</v>
      </c>
      <c r="K1558">
        <v>8</v>
      </c>
      <c r="L1558">
        <v>15000</v>
      </c>
      <c r="M1558">
        <v>5</v>
      </c>
      <c r="N1558">
        <v>114000</v>
      </c>
      <c r="O1558" t="s">
        <v>85</v>
      </c>
      <c r="P1558">
        <v>2</v>
      </c>
      <c r="Q1558" t="s">
        <v>26</v>
      </c>
    </row>
    <row r="1559" spans="1:17" x14ac:dyDescent="0.3">
      <c r="A1559" t="s">
        <v>2695</v>
      </c>
      <c r="B1559" t="s">
        <v>2478</v>
      </c>
      <c r="C1559" t="s">
        <v>38</v>
      </c>
      <c r="D1559" t="s">
        <v>103</v>
      </c>
      <c r="E1559">
        <v>63</v>
      </c>
      <c r="F1559" t="s">
        <v>44</v>
      </c>
      <c r="G1559" t="s">
        <v>100</v>
      </c>
      <c r="H1559" t="s">
        <v>62</v>
      </c>
      <c r="I1559" t="s">
        <v>140</v>
      </c>
      <c r="J1559" t="s">
        <v>24</v>
      </c>
      <c r="K1559">
        <v>3</v>
      </c>
      <c r="L1559">
        <v>6000</v>
      </c>
      <c r="M1559">
        <v>25</v>
      </c>
      <c r="N1559">
        <v>13500</v>
      </c>
      <c r="O1559" t="s">
        <v>73</v>
      </c>
      <c r="P1559">
        <v>1</v>
      </c>
      <c r="Q1559" t="s">
        <v>41</v>
      </c>
    </row>
    <row r="1560" spans="1:17" x14ac:dyDescent="0.3">
      <c r="A1560" t="s">
        <v>2696</v>
      </c>
      <c r="B1560" t="s">
        <v>1400</v>
      </c>
      <c r="C1560" t="s">
        <v>60</v>
      </c>
      <c r="E1560">
        <v>43</v>
      </c>
      <c r="F1560" t="s">
        <v>21</v>
      </c>
      <c r="G1560" t="s">
        <v>21</v>
      </c>
      <c r="H1560" t="s">
        <v>22</v>
      </c>
      <c r="I1560" t="s">
        <v>23</v>
      </c>
      <c r="J1560" t="s">
        <v>72</v>
      </c>
      <c r="K1560">
        <v>1</v>
      </c>
      <c r="L1560">
        <v>39800</v>
      </c>
      <c r="M1560">
        <v>5</v>
      </c>
      <c r="N1560">
        <v>37810</v>
      </c>
      <c r="O1560" t="s">
        <v>40</v>
      </c>
      <c r="P1560">
        <v>3</v>
      </c>
      <c r="Q1560" t="s">
        <v>41</v>
      </c>
    </row>
    <row r="1561" spans="1:17" x14ac:dyDescent="0.3">
      <c r="A1561" t="s">
        <v>2697</v>
      </c>
      <c r="B1561" t="s">
        <v>2698</v>
      </c>
      <c r="C1561" t="s">
        <v>88</v>
      </c>
      <c r="E1561">
        <v>22</v>
      </c>
      <c r="F1561" t="s">
        <v>30</v>
      </c>
      <c r="G1561" t="s">
        <v>57</v>
      </c>
      <c r="H1561" t="s">
        <v>46</v>
      </c>
      <c r="I1561" t="s">
        <v>79</v>
      </c>
      <c r="J1561" t="s">
        <v>80</v>
      </c>
      <c r="K1561">
        <v>6</v>
      </c>
      <c r="L1561">
        <v>17300</v>
      </c>
      <c r="M1561">
        <v>10</v>
      </c>
      <c r="N1561">
        <v>93420</v>
      </c>
      <c r="O1561" t="s">
        <v>48</v>
      </c>
      <c r="Q1561" t="s">
        <v>65</v>
      </c>
    </row>
    <row r="1562" spans="1:17" x14ac:dyDescent="0.3">
      <c r="A1562" t="s">
        <v>2699</v>
      </c>
      <c r="B1562" t="s">
        <v>702</v>
      </c>
      <c r="C1562" t="s">
        <v>60</v>
      </c>
      <c r="D1562" t="s">
        <v>20</v>
      </c>
      <c r="E1562">
        <v>20</v>
      </c>
      <c r="F1562" t="s">
        <v>44</v>
      </c>
      <c r="G1562" t="s">
        <v>45</v>
      </c>
      <c r="H1562" t="s">
        <v>46</v>
      </c>
      <c r="I1562" t="s">
        <v>79</v>
      </c>
      <c r="J1562" t="s">
        <v>80</v>
      </c>
      <c r="K1562">
        <v>5</v>
      </c>
      <c r="L1562">
        <v>5100</v>
      </c>
      <c r="M1562">
        <v>20</v>
      </c>
      <c r="N1562">
        <v>20400</v>
      </c>
      <c r="O1562" t="s">
        <v>73</v>
      </c>
      <c r="Q1562" t="s">
        <v>74</v>
      </c>
    </row>
    <row r="1563" spans="1:17" x14ac:dyDescent="0.3">
      <c r="A1563" t="s">
        <v>2700</v>
      </c>
      <c r="B1563" t="s">
        <v>2235</v>
      </c>
      <c r="C1563" t="s">
        <v>29</v>
      </c>
      <c r="D1563" t="s">
        <v>103</v>
      </c>
      <c r="E1563">
        <v>61</v>
      </c>
      <c r="F1563" t="s">
        <v>30</v>
      </c>
      <c r="G1563" t="s">
        <v>57</v>
      </c>
      <c r="H1563" t="s">
        <v>22</v>
      </c>
      <c r="I1563" t="s">
        <v>84</v>
      </c>
      <c r="J1563" t="s">
        <v>80</v>
      </c>
      <c r="K1563">
        <v>5</v>
      </c>
      <c r="L1563">
        <v>48400</v>
      </c>
      <c r="M1563">
        <v>25</v>
      </c>
      <c r="N1563">
        <v>181500</v>
      </c>
      <c r="O1563" t="s">
        <v>73</v>
      </c>
      <c r="Q1563" t="s">
        <v>26</v>
      </c>
    </row>
    <row r="1564" spans="1:17" x14ac:dyDescent="0.3">
      <c r="A1564" t="s">
        <v>2701</v>
      </c>
      <c r="B1564" t="s">
        <v>696</v>
      </c>
      <c r="C1564" t="s">
        <v>60</v>
      </c>
      <c r="D1564" t="s">
        <v>103</v>
      </c>
      <c r="E1564">
        <v>45</v>
      </c>
      <c r="F1564" t="s">
        <v>61</v>
      </c>
      <c r="G1564" t="s">
        <v>61</v>
      </c>
      <c r="H1564" t="s">
        <v>62</v>
      </c>
      <c r="I1564" t="s">
        <v>140</v>
      </c>
      <c r="J1564" t="s">
        <v>89</v>
      </c>
      <c r="K1564">
        <v>10</v>
      </c>
      <c r="L1564">
        <v>33900</v>
      </c>
      <c r="M1564">
        <v>15</v>
      </c>
      <c r="N1564">
        <v>288150</v>
      </c>
      <c r="O1564" t="s">
        <v>85</v>
      </c>
      <c r="P1564">
        <v>1</v>
      </c>
      <c r="Q1564" t="s">
        <v>65</v>
      </c>
    </row>
    <row r="1565" spans="1:17" x14ac:dyDescent="0.3">
      <c r="A1565" t="s">
        <v>2702</v>
      </c>
      <c r="B1565" t="s">
        <v>1050</v>
      </c>
      <c r="C1565" t="s">
        <v>60</v>
      </c>
      <c r="D1565" t="s">
        <v>39</v>
      </c>
      <c r="E1565">
        <v>54</v>
      </c>
      <c r="F1565" t="s">
        <v>77</v>
      </c>
      <c r="G1565" t="s">
        <v>78</v>
      </c>
      <c r="H1565" t="s">
        <v>22</v>
      </c>
      <c r="I1565" t="s">
        <v>23</v>
      </c>
      <c r="J1565" t="s">
        <v>80</v>
      </c>
      <c r="K1565">
        <v>5</v>
      </c>
      <c r="L1565">
        <v>48600</v>
      </c>
      <c r="M1565">
        <v>5</v>
      </c>
      <c r="N1565">
        <v>230850</v>
      </c>
      <c r="O1565" t="s">
        <v>48</v>
      </c>
      <c r="P1565">
        <v>3</v>
      </c>
      <c r="Q1565" t="s">
        <v>65</v>
      </c>
    </row>
    <row r="1566" spans="1:17" x14ac:dyDescent="0.3">
      <c r="A1566" t="s">
        <v>2703</v>
      </c>
      <c r="B1566" t="s">
        <v>2704</v>
      </c>
      <c r="C1566" t="s">
        <v>68</v>
      </c>
      <c r="D1566" t="s">
        <v>20</v>
      </c>
      <c r="E1566">
        <v>62</v>
      </c>
      <c r="F1566" t="s">
        <v>77</v>
      </c>
      <c r="G1566" t="s">
        <v>95</v>
      </c>
      <c r="H1566" t="s">
        <v>32</v>
      </c>
      <c r="I1566" t="s">
        <v>33</v>
      </c>
      <c r="J1566" t="s">
        <v>72</v>
      </c>
      <c r="K1566">
        <v>9</v>
      </c>
      <c r="L1566">
        <v>24800</v>
      </c>
      <c r="M1566">
        <v>0</v>
      </c>
      <c r="N1566">
        <v>223200</v>
      </c>
      <c r="O1566" t="s">
        <v>35</v>
      </c>
      <c r="Q1566" t="s">
        <v>65</v>
      </c>
    </row>
    <row r="1567" spans="1:17" x14ac:dyDescent="0.3">
      <c r="A1567" t="s">
        <v>2705</v>
      </c>
      <c r="B1567" t="s">
        <v>2706</v>
      </c>
      <c r="C1567" t="s">
        <v>60</v>
      </c>
      <c r="D1567" t="s">
        <v>20</v>
      </c>
      <c r="E1567">
        <v>30</v>
      </c>
      <c r="F1567" t="s">
        <v>51</v>
      </c>
      <c r="G1567" t="s">
        <v>52</v>
      </c>
      <c r="H1567" t="s">
        <v>62</v>
      </c>
      <c r="I1567" t="s">
        <v>63</v>
      </c>
      <c r="J1567" t="s">
        <v>34</v>
      </c>
      <c r="K1567">
        <v>3</v>
      </c>
      <c r="L1567">
        <v>31900</v>
      </c>
      <c r="M1567">
        <v>20</v>
      </c>
      <c r="N1567">
        <v>76560</v>
      </c>
      <c r="O1567" t="s">
        <v>25</v>
      </c>
      <c r="P1567">
        <v>5</v>
      </c>
      <c r="Q1567" t="s">
        <v>65</v>
      </c>
    </row>
    <row r="1568" spans="1:17" x14ac:dyDescent="0.3">
      <c r="A1568" t="s">
        <v>2707</v>
      </c>
      <c r="B1568" t="s">
        <v>2708</v>
      </c>
      <c r="C1568" t="s">
        <v>88</v>
      </c>
      <c r="D1568" t="s">
        <v>39</v>
      </c>
      <c r="E1568">
        <v>33</v>
      </c>
      <c r="F1568" t="s">
        <v>30</v>
      </c>
      <c r="G1568" t="s">
        <v>57</v>
      </c>
      <c r="H1568" t="s">
        <v>32</v>
      </c>
      <c r="I1568" t="s">
        <v>33</v>
      </c>
      <c r="J1568" t="s">
        <v>72</v>
      </c>
      <c r="K1568">
        <v>8</v>
      </c>
      <c r="L1568">
        <v>36700</v>
      </c>
      <c r="M1568">
        <v>5</v>
      </c>
      <c r="N1568">
        <v>278920</v>
      </c>
      <c r="O1568" t="s">
        <v>25</v>
      </c>
      <c r="P1568">
        <v>3</v>
      </c>
      <c r="Q1568" t="s">
        <v>65</v>
      </c>
    </row>
    <row r="1569" spans="1:17" x14ac:dyDescent="0.3">
      <c r="A1569" t="s">
        <v>2709</v>
      </c>
      <c r="B1569" t="s">
        <v>172</v>
      </c>
      <c r="C1569" t="s">
        <v>29</v>
      </c>
      <c r="D1569" t="s">
        <v>103</v>
      </c>
      <c r="E1569">
        <v>23</v>
      </c>
      <c r="F1569" t="s">
        <v>51</v>
      </c>
      <c r="G1569" t="s">
        <v>104</v>
      </c>
      <c r="H1569" t="s">
        <v>46</v>
      </c>
      <c r="I1569" t="s">
        <v>47</v>
      </c>
      <c r="J1569" t="s">
        <v>80</v>
      </c>
      <c r="K1569">
        <v>6</v>
      </c>
      <c r="L1569">
        <v>9000</v>
      </c>
      <c r="M1569">
        <v>15</v>
      </c>
      <c r="N1569">
        <v>45900</v>
      </c>
      <c r="O1569" t="s">
        <v>48</v>
      </c>
      <c r="P1569">
        <v>2</v>
      </c>
      <c r="Q1569" t="s">
        <v>65</v>
      </c>
    </row>
    <row r="1570" spans="1:17" x14ac:dyDescent="0.3">
      <c r="A1570" t="s">
        <v>2710</v>
      </c>
      <c r="B1570" t="s">
        <v>2189</v>
      </c>
      <c r="C1570" t="s">
        <v>121</v>
      </c>
      <c r="E1570">
        <v>46</v>
      </c>
      <c r="F1570" t="s">
        <v>51</v>
      </c>
      <c r="G1570" t="s">
        <v>104</v>
      </c>
      <c r="H1570" t="s">
        <v>62</v>
      </c>
      <c r="I1570" t="s">
        <v>140</v>
      </c>
      <c r="J1570" t="s">
        <v>89</v>
      </c>
      <c r="K1570">
        <v>6</v>
      </c>
      <c r="L1570">
        <v>39100</v>
      </c>
      <c r="M1570">
        <v>25</v>
      </c>
      <c r="N1570">
        <v>175950</v>
      </c>
      <c r="O1570" t="s">
        <v>40</v>
      </c>
      <c r="Q1570" t="s">
        <v>26</v>
      </c>
    </row>
    <row r="1571" spans="1:17" x14ac:dyDescent="0.3">
      <c r="A1571" t="s">
        <v>2711</v>
      </c>
      <c r="B1571" t="s">
        <v>1252</v>
      </c>
      <c r="C1571" t="s">
        <v>71</v>
      </c>
      <c r="D1571" t="s">
        <v>103</v>
      </c>
      <c r="E1571">
        <v>32</v>
      </c>
      <c r="F1571" t="s">
        <v>51</v>
      </c>
      <c r="G1571" t="s">
        <v>52</v>
      </c>
      <c r="H1571" t="s">
        <v>62</v>
      </c>
      <c r="I1571" t="s">
        <v>140</v>
      </c>
      <c r="J1571" t="s">
        <v>72</v>
      </c>
      <c r="K1571" t="s">
        <v>184</v>
      </c>
      <c r="L1571">
        <v>31300</v>
      </c>
      <c r="M1571">
        <v>10</v>
      </c>
      <c r="N1571">
        <v>140850</v>
      </c>
      <c r="O1571" t="s">
        <v>40</v>
      </c>
      <c r="Q1571" t="s">
        <v>74</v>
      </c>
    </row>
    <row r="1572" spans="1:17" x14ac:dyDescent="0.3">
      <c r="A1572" t="s">
        <v>2712</v>
      </c>
      <c r="B1572" t="s">
        <v>644</v>
      </c>
      <c r="C1572" t="s">
        <v>19</v>
      </c>
      <c r="D1572" t="s">
        <v>39</v>
      </c>
      <c r="E1572">
        <v>32</v>
      </c>
      <c r="F1572" t="s">
        <v>30</v>
      </c>
      <c r="G1572" t="s">
        <v>31</v>
      </c>
      <c r="H1572" t="s">
        <v>62</v>
      </c>
      <c r="I1572" t="s">
        <v>140</v>
      </c>
      <c r="J1572" t="s">
        <v>34</v>
      </c>
      <c r="K1572">
        <v>6</v>
      </c>
      <c r="L1572">
        <v>31700</v>
      </c>
      <c r="M1572">
        <v>0</v>
      </c>
      <c r="N1572">
        <v>190200</v>
      </c>
      <c r="O1572" t="s">
        <v>48</v>
      </c>
      <c r="P1572">
        <v>4</v>
      </c>
      <c r="Q1572" t="s">
        <v>41</v>
      </c>
    </row>
    <row r="1573" spans="1:17" x14ac:dyDescent="0.3">
      <c r="A1573" t="s">
        <v>2713</v>
      </c>
      <c r="B1573" t="s">
        <v>2714</v>
      </c>
      <c r="C1573" t="s">
        <v>71</v>
      </c>
      <c r="D1573" t="s">
        <v>20</v>
      </c>
      <c r="E1573">
        <v>44</v>
      </c>
      <c r="F1573" t="s">
        <v>77</v>
      </c>
      <c r="G1573" t="s">
        <v>95</v>
      </c>
      <c r="H1573" t="s">
        <v>62</v>
      </c>
      <c r="I1573" t="s">
        <v>63</v>
      </c>
      <c r="J1573" t="s">
        <v>72</v>
      </c>
      <c r="K1573">
        <v>5</v>
      </c>
      <c r="L1573">
        <v>33500</v>
      </c>
      <c r="M1573">
        <v>15</v>
      </c>
      <c r="N1573">
        <v>142375</v>
      </c>
      <c r="O1573" t="s">
        <v>85</v>
      </c>
      <c r="P1573">
        <v>4</v>
      </c>
      <c r="Q1573" t="s">
        <v>26</v>
      </c>
    </row>
    <row r="1574" spans="1:17" x14ac:dyDescent="0.3">
      <c r="A1574" t="s">
        <v>2715</v>
      </c>
      <c r="B1574" t="s">
        <v>1806</v>
      </c>
      <c r="C1574" t="s">
        <v>71</v>
      </c>
      <c r="D1574" t="s">
        <v>83</v>
      </c>
      <c r="E1574">
        <v>62</v>
      </c>
      <c r="F1574" t="s">
        <v>61</v>
      </c>
      <c r="G1574" t="s">
        <v>61</v>
      </c>
      <c r="H1574" t="s">
        <v>46</v>
      </c>
      <c r="I1574" t="s">
        <v>79</v>
      </c>
      <c r="J1574" t="s">
        <v>89</v>
      </c>
      <c r="K1574">
        <v>9</v>
      </c>
      <c r="L1574">
        <v>30200</v>
      </c>
      <c r="M1574">
        <v>10</v>
      </c>
      <c r="N1574">
        <v>244620</v>
      </c>
      <c r="O1574" t="s">
        <v>40</v>
      </c>
      <c r="P1574">
        <v>2</v>
      </c>
      <c r="Q1574" t="s">
        <v>41</v>
      </c>
    </row>
    <row r="1575" spans="1:17" x14ac:dyDescent="0.3">
      <c r="A1575" t="s">
        <v>2716</v>
      </c>
      <c r="B1575" t="s">
        <v>67</v>
      </c>
      <c r="C1575" t="s">
        <v>121</v>
      </c>
      <c r="E1575">
        <v>38</v>
      </c>
      <c r="F1575" t="s">
        <v>1253</v>
      </c>
      <c r="G1575" t="s">
        <v>52</v>
      </c>
      <c r="H1575" t="s">
        <v>22</v>
      </c>
      <c r="I1575" t="s">
        <v>23</v>
      </c>
      <c r="J1575" t="s">
        <v>80</v>
      </c>
      <c r="K1575">
        <v>3</v>
      </c>
      <c r="L1575">
        <v>48200</v>
      </c>
      <c r="M1575">
        <v>0</v>
      </c>
      <c r="N1575">
        <v>144600</v>
      </c>
      <c r="O1575" t="s">
        <v>85</v>
      </c>
      <c r="Q1575" t="s">
        <v>65</v>
      </c>
    </row>
    <row r="1576" spans="1:17" x14ac:dyDescent="0.3">
      <c r="A1576" t="s">
        <v>2717</v>
      </c>
      <c r="B1576" t="s">
        <v>552</v>
      </c>
      <c r="C1576" t="s">
        <v>94</v>
      </c>
      <c r="D1576" t="s">
        <v>39</v>
      </c>
      <c r="E1576">
        <v>43</v>
      </c>
      <c r="F1576" t="s">
        <v>77</v>
      </c>
      <c r="G1576" t="s">
        <v>78</v>
      </c>
      <c r="H1576" t="s">
        <v>46</v>
      </c>
      <c r="I1576" t="s">
        <v>79</v>
      </c>
      <c r="J1576" t="s">
        <v>80</v>
      </c>
      <c r="K1576">
        <v>5</v>
      </c>
      <c r="L1576">
        <v>39300</v>
      </c>
      <c r="M1576">
        <v>20</v>
      </c>
      <c r="N1576">
        <v>157200</v>
      </c>
      <c r="O1576" t="s">
        <v>35</v>
      </c>
      <c r="P1576">
        <v>2</v>
      </c>
      <c r="Q1576" t="s">
        <v>26</v>
      </c>
    </row>
    <row r="1577" spans="1:17" x14ac:dyDescent="0.3">
      <c r="A1577" t="s">
        <v>2718</v>
      </c>
      <c r="B1577" t="s">
        <v>486</v>
      </c>
      <c r="C1577" t="s">
        <v>68</v>
      </c>
      <c r="E1577">
        <v>32</v>
      </c>
      <c r="F1577" t="s">
        <v>51</v>
      </c>
      <c r="G1577" t="s">
        <v>104</v>
      </c>
      <c r="H1577" t="s">
        <v>22</v>
      </c>
      <c r="I1577" t="s">
        <v>23</v>
      </c>
      <c r="J1577" t="s">
        <v>80</v>
      </c>
      <c r="K1577">
        <v>3</v>
      </c>
      <c r="L1577">
        <v>44900</v>
      </c>
      <c r="M1577">
        <v>10</v>
      </c>
      <c r="N1577">
        <v>121230</v>
      </c>
      <c r="O1577" t="s">
        <v>105</v>
      </c>
      <c r="P1577">
        <v>1</v>
      </c>
      <c r="Q1577" t="s">
        <v>74</v>
      </c>
    </row>
    <row r="1578" spans="1:17" x14ac:dyDescent="0.3">
      <c r="A1578" t="s">
        <v>2719</v>
      </c>
      <c r="B1578" t="s">
        <v>2720</v>
      </c>
      <c r="C1578" t="s">
        <v>29</v>
      </c>
      <c r="D1578" t="s">
        <v>83</v>
      </c>
      <c r="E1578">
        <v>62</v>
      </c>
      <c r="F1578" t="s">
        <v>77</v>
      </c>
      <c r="G1578" t="s">
        <v>78</v>
      </c>
      <c r="H1578" t="s">
        <v>22</v>
      </c>
      <c r="I1578" t="s">
        <v>23</v>
      </c>
      <c r="J1578" t="s">
        <v>80</v>
      </c>
      <c r="K1578">
        <v>2</v>
      </c>
      <c r="L1578">
        <v>21600</v>
      </c>
      <c r="M1578">
        <v>20</v>
      </c>
      <c r="N1578">
        <v>34560</v>
      </c>
      <c r="O1578" t="s">
        <v>48</v>
      </c>
      <c r="Q1578" t="s">
        <v>65</v>
      </c>
    </row>
    <row r="1579" spans="1:17" x14ac:dyDescent="0.3">
      <c r="A1579" t="s">
        <v>2721</v>
      </c>
      <c r="B1579" t="s">
        <v>2408</v>
      </c>
      <c r="C1579" t="s">
        <v>88</v>
      </c>
      <c r="D1579" t="s">
        <v>83</v>
      </c>
      <c r="E1579">
        <v>30</v>
      </c>
      <c r="F1579" t="s">
        <v>21</v>
      </c>
      <c r="G1579" t="s">
        <v>21</v>
      </c>
      <c r="H1579" t="s">
        <v>22</v>
      </c>
      <c r="I1579" t="s">
        <v>23</v>
      </c>
      <c r="J1579" t="s">
        <v>34</v>
      </c>
      <c r="K1579">
        <v>9</v>
      </c>
      <c r="L1579">
        <v>4400</v>
      </c>
      <c r="M1579">
        <v>0</v>
      </c>
      <c r="N1579">
        <v>39600</v>
      </c>
      <c r="O1579" t="s">
        <v>48</v>
      </c>
      <c r="P1579">
        <v>4</v>
      </c>
      <c r="Q1579" t="s">
        <v>65</v>
      </c>
    </row>
    <row r="1580" spans="1:17" x14ac:dyDescent="0.3">
      <c r="A1580" t="s">
        <v>2722</v>
      </c>
      <c r="B1580" t="s">
        <v>321</v>
      </c>
      <c r="C1580" t="s">
        <v>71</v>
      </c>
      <c r="D1580" t="s">
        <v>39</v>
      </c>
      <c r="E1580">
        <v>54</v>
      </c>
      <c r="F1580" t="s">
        <v>21</v>
      </c>
      <c r="G1580" t="s">
        <v>21</v>
      </c>
      <c r="H1580" t="s">
        <v>32</v>
      </c>
      <c r="I1580" t="s">
        <v>33</v>
      </c>
      <c r="J1580" t="s">
        <v>34</v>
      </c>
      <c r="K1580">
        <v>2</v>
      </c>
      <c r="L1580">
        <v>3400</v>
      </c>
      <c r="M1580">
        <v>0</v>
      </c>
      <c r="N1580">
        <v>6800</v>
      </c>
      <c r="O1580" t="s">
        <v>40</v>
      </c>
      <c r="P1580">
        <v>4</v>
      </c>
      <c r="Q1580" t="s">
        <v>26</v>
      </c>
    </row>
    <row r="1581" spans="1:17" x14ac:dyDescent="0.3">
      <c r="A1581" t="s">
        <v>2723</v>
      </c>
      <c r="B1581" t="s">
        <v>2202</v>
      </c>
      <c r="C1581" t="s">
        <v>68</v>
      </c>
      <c r="D1581" t="s">
        <v>103</v>
      </c>
      <c r="E1581">
        <v>25</v>
      </c>
      <c r="F1581" t="s">
        <v>44</v>
      </c>
      <c r="G1581" t="s">
        <v>100</v>
      </c>
      <c r="H1581" t="s">
        <v>22</v>
      </c>
      <c r="I1581" t="s">
        <v>23</v>
      </c>
      <c r="J1581" t="s">
        <v>24</v>
      </c>
      <c r="K1581" t="s">
        <v>458</v>
      </c>
      <c r="L1581">
        <v>6800</v>
      </c>
      <c r="M1581">
        <v>20</v>
      </c>
      <c r="N1581">
        <v>32640</v>
      </c>
      <c r="O1581" t="s">
        <v>48</v>
      </c>
      <c r="P1581">
        <v>2</v>
      </c>
      <c r="Q1581" t="s">
        <v>41</v>
      </c>
    </row>
    <row r="1582" spans="1:17" x14ac:dyDescent="0.3">
      <c r="A1582" t="s">
        <v>2724</v>
      </c>
      <c r="B1582" t="s">
        <v>1155</v>
      </c>
      <c r="C1582" t="s">
        <v>121</v>
      </c>
      <c r="D1582" t="s">
        <v>39</v>
      </c>
      <c r="E1582">
        <v>22</v>
      </c>
      <c r="F1582" t="s">
        <v>30</v>
      </c>
      <c r="G1582" t="s">
        <v>57</v>
      </c>
      <c r="H1582" t="s">
        <v>32</v>
      </c>
      <c r="I1582" t="s">
        <v>33</v>
      </c>
      <c r="J1582" t="s">
        <v>24</v>
      </c>
      <c r="K1582">
        <v>1</v>
      </c>
      <c r="L1582">
        <v>5300</v>
      </c>
      <c r="M1582">
        <v>5</v>
      </c>
      <c r="N1582">
        <v>5035</v>
      </c>
      <c r="O1582" t="s">
        <v>73</v>
      </c>
      <c r="Q1582" t="s">
        <v>26</v>
      </c>
    </row>
    <row r="1583" spans="1:17" x14ac:dyDescent="0.3">
      <c r="A1583" t="s">
        <v>2725</v>
      </c>
      <c r="B1583" t="s">
        <v>2726</v>
      </c>
      <c r="C1583" t="s">
        <v>29</v>
      </c>
      <c r="E1583">
        <v>22</v>
      </c>
      <c r="F1583" t="s">
        <v>77</v>
      </c>
      <c r="G1583" t="s">
        <v>95</v>
      </c>
      <c r="H1583" t="s">
        <v>22</v>
      </c>
      <c r="I1583" t="s">
        <v>84</v>
      </c>
      <c r="J1583" t="s">
        <v>64</v>
      </c>
      <c r="K1583">
        <v>9</v>
      </c>
      <c r="L1583">
        <v>21300</v>
      </c>
      <c r="M1583">
        <v>25</v>
      </c>
      <c r="N1583">
        <v>143775</v>
      </c>
      <c r="O1583" t="s">
        <v>25</v>
      </c>
      <c r="P1583">
        <v>5</v>
      </c>
      <c r="Q1583" t="s">
        <v>41</v>
      </c>
    </row>
    <row r="1584" spans="1:17" x14ac:dyDescent="0.3">
      <c r="A1584" t="s">
        <v>2727</v>
      </c>
      <c r="B1584" t="s">
        <v>2728</v>
      </c>
      <c r="C1584" t="s">
        <v>121</v>
      </c>
      <c r="D1584" t="s">
        <v>39</v>
      </c>
      <c r="E1584">
        <v>65</v>
      </c>
      <c r="F1584" t="s">
        <v>211</v>
      </c>
      <c r="G1584" t="s">
        <v>100</v>
      </c>
      <c r="H1584" t="s">
        <v>62</v>
      </c>
      <c r="I1584" t="s">
        <v>63</v>
      </c>
      <c r="J1584" t="s">
        <v>72</v>
      </c>
      <c r="K1584">
        <v>7</v>
      </c>
      <c r="L1584">
        <v>14200</v>
      </c>
      <c r="M1584">
        <v>5</v>
      </c>
      <c r="N1584">
        <v>94430</v>
      </c>
      <c r="O1584" t="s">
        <v>105</v>
      </c>
      <c r="P1584">
        <v>5</v>
      </c>
      <c r="Q1584" t="s">
        <v>41</v>
      </c>
    </row>
    <row r="1585" spans="1:17" x14ac:dyDescent="0.3">
      <c r="A1585" t="s">
        <v>2729</v>
      </c>
      <c r="B1585" t="s">
        <v>1649</v>
      </c>
      <c r="C1585" t="s">
        <v>60</v>
      </c>
      <c r="D1585" t="s">
        <v>83</v>
      </c>
      <c r="E1585">
        <v>50</v>
      </c>
      <c r="F1585" t="s">
        <v>44</v>
      </c>
      <c r="G1585" t="s">
        <v>45</v>
      </c>
      <c r="H1585" t="s">
        <v>116</v>
      </c>
      <c r="I1585" t="s">
        <v>84</v>
      </c>
      <c r="J1585" t="s">
        <v>24</v>
      </c>
      <c r="K1585">
        <v>4</v>
      </c>
      <c r="L1585">
        <v>45600</v>
      </c>
      <c r="M1585">
        <v>15</v>
      </c>
      <c r="N1585" t="s">
        <v>2730</v>
      </c>
      <c r="O1585" t="s">
        <v>40</v>
      </c>
      <c r="Q1585" t="s">
        <v>74</v>
      </c>
    </row>
    <row r="1586" spans="1:17" x14ac:dyDescent="0.3">
      <c r="A1586" t="s">
        <v>2731</v>
      </c>
      <c r="B1586" t="s">
        <v>18</v>
      </c>
      <c r="C1586" t="s">
        <v>113</v>
      </c>
      <c r="D1586" t="s">
        <v>83</v>
      </c>
      <c r="E1586">
        <v>40</v>
      </c>
      <c r="F1586" t="s">
        <v>21</v>
      </c>
      <c r="G1586" t="s">
        <v>21</v>
      </c>
      <c r="H1586" t="s">
        <v>46</v>
      </c>
      <c r="I1586" t="s">
        <v>79</v>
      </c>
      <c r="J1586" t="s">
        <v>72</v>
      </c>
      <c r="K1586">
        <v>6</v>
      </c>
      <c r="L1586">
        <v>43500</v>
      </c>
      <c r="M1586">
        <v>15</v>
      </c>
      <c r="N1586">
        <v>221850</v>
      </c>
      <c r="O1586" t="s">
        <v>25</v>
      </c>
      <c r="Q1586" t="s">
        <v>74</v>
      </c>
    </row>
    <row r="1587" spans="1:17" x14ac:dyDescent="0.3">
      <c r="A1587" t="s">
        <v>2732</v>
      </c>
      <c r="B1587" t="s">
        <v>2733</v>
      </c>
      <c r="C1587" t="s">
        <v>60</v>
      </c>
      <c r="D1587" t="s">
        <v>103</v>
      </c>
      <c r="E1587">
        <v>30</v>
      </c>
      <c r="F1587" t="s">
        <v>21</v>
      </c>
      <c r="G1587" t="s">
        <v>21</v>
      </c>
      <c r="H1587" t="s">
        <v>22</v>
      </c>
      <c r="I1587" t="s">
        <v>84</v>
      </c>
      <c r="J1587" t="s">
        <v>72</v>
      </c>
      <c r="K1587">
        <v>8</v>
      </c>
      <c r="L1587">
        <v>28700</v>
      </c>
      <c r="M1587">
        <v>0</v>
      </c>
      <c r="N1587">
        <v>229600</v>
      </c>
      <c r="O1587" t="s">
        <v>105</v>
      </c>
      <c r="P1587">
        <v>5</v>
      </c>
      <c r="Q1587" t="s">
        <v>41</v>
      </c>
    </row>
    <row r="1588" spans="1:17" x14ac:dyDescent="0.3">
      <c r="A1588" t="s">
        <v>2734</v>
      </c>
      <c r="B1588" t="s">
        <v>457</v>
      </c>
      <c r="C1588" t="s">
        <v>38</v>
      </c>
      <c r="E1588">
        <v>31</v>
      </c>
      <c r="F1588" t="s">
        <v>427</v>
      </c>
      <c r="G1588" t="s">
        <v>78</v>
      </c>
      <c r="H1588" t="s">
        <v>32</v>
      </c>
      <c r="I1588" t="s">
        <v>53</v>
      </c>
      <c r="J1588" t="s">
        <v>80</v>
      </c>
      <c r="K1588">
        <v>3</v>
      </c>
      <c r="L1588">
        <v>35700</v>
      </c>
      <c r="M1588">
        <v>5</v>
      </c>
      <c r="N1588">
        <v>101745</v>
      </c>
      <c r="O1588" t="s">
        <v>105</v>
      </c>
      <c r="Q1588" t="s">
        <v>65</v>
      </c>
    </row>
    <row r="1589" spans="1:17" x14ac:dyDescent="0.3">
      <c r="A1589" t="s">
        <v>2735</v>
      </c>
      <c r="B1589" t="s">
        <v>1667</v>
      </c>
      <c r="C1589" t="s">
        <v>113</v>
      </c>
      <c r="D1589" t="s">
        <v>83</v>
      </c>
      <c r="E1589">
        <v>40</v>
      </c>
      <c r="F1589" t="s">
        <v>202</v>
      </c>
      <c r="G1589" t="s">
        <v>52</v>
      </c>
      <c r="H1589" t="s">
        <v>46</v>
      </c>
      <c r="I1589" t="s">
        <v>47</v>
      </c>
      <c r="J1589" t="s">
        <v>89</v>
      </c>
      <c r="K1589">
        <v>10</v>
      </c>
      <c r="L1589">
        <v>6000</v>
      </c>
      <c r="M1589">
        <v>10</v>
      </c>
      <c r="N1589">
        <v>54000</v>
      </c>
      <c r="O1589" t="s">
        <v>73</v>
      </c>
      <c r="P1589">
        <v>2</v>
      </c>
      <c r="Q1589" t="s">
        <v>65</v>
      </c>
    </row>
    <row r="1590" spans="1:17" x14ac:dyDescent="0.3">
      <c r="A1590" t="s">
        <v>2736</v>
      </c>
      <c r="B1590" t="s">
        <v>2737</v>
      </c>
      <c r="C1590" t="s">
        <v>60</v>
      </c>
      <c r="D1590" t="s">
        <v>39</v>
      </c>
      <c r="E1590">
        <v>24</v>
      </c>
      <c r="F1590" t="s">
        <v>21</v>
      </c>
      <c r="G1590" t="s">
        <v>21</v>
      </c>
      <c r="H1590" t="s">
        <v>62</v>
      </c>
      <c r="I1590" t="s">
        <v>140</v>
      </c>
      <c r="J1590" t="s">
        <v>80</v>
      </c>
      <c r="K1590">
        <v>10</v>
      </c>
      <c r="L1590">
        <v>9200</v>
      </c>
      <c r="M1590">
        <v>25</v>
      </c>
      <c r="N1590">
        <v>69000</v>
      </c>
      <c r="O1590" t="s">
        <v>25</v>
      </c>
      <c r="Q1590" t="s">
        <v>74</v>
      </c>
    </row>
    <row r="1591" spans="1:17" x14ac:dyDescent="0.3">
      <c r="A1591" t="s">
        <v>2738</v>
      </c>
      <c r="B1591" t="s">
        <v>746</v>
      </c>
      <c r="C1591" t="s">
        <v>60</v>
      </c>
      <c r="D1591" t="s">
        <v>83</v>
      </c>
      <c r="E1591">
        <v>29</v>
      </c>
      <c r="F1591" t="s">
        <v>21</v>
      </c>
      <c r="G1591" t="s">
        <v>21</v>
      </c>
      <c r="H1591" t="s">
        <v>22</v>
      </c>
      <c r="I1591" t="s">
        <v>23</v>
      </c>
      <c r="J1591" t="s">
        <v>80</v>
      </c>
      <c r="K1591">
        <v>9</v>
      </c>
      <c r="L1591">
        <v>23900</v>
      </c>
      <c r="M1591">
        <v>10</v>
      </c>
      <c r="N1591">
        <v>193590</v>
      </c>
      <c r="O1591" t="s">
        <v>73</v>
      </c>
      <c r="P1591">
        <v>3</v>
      </c>
      <c r="Q1591" t="s">
        <v>26</v>
      </c>
    </row>
    <row r="1592" spans="1:17" x14ac:dyDescent="0.3">
      <c r="A1592" t="s">
        <v>2739</v>
      </c>
      <c r="B1592" t="s">
        <v>2740</v>
      </c>
      <c r="C1592" t="s">
        <v>68</v>
      </c>
      <c r="D1592" t="s">
        <v>83</v>
      </c>
      <c r="E1592">
        <v>33</v>
      </c>
      <c r="F1592" t="s">
        <v>61</v>
      </c>
      <c r="G1592" t="s">
        <v>61</v>
      </c>
      <c r="H1592" t="s">
        <v>32</v>
      </c>
      <c r="I1592" t="s">
        <v>33</v>
      </c>
      <c r="J1592" t="s">
        <v>72</v>
      </c>
      <c r="K1592">
        <v>6</v>
      </c>
      <c r="L1592">
        <v>22700</v>
      </c>
      <c r="M1592">
        <v>25</v>
      </c>
      <c r="N1592">
        <v>102150</v>
      </c>
      <c r="O1592" t="s">
        <v>25</v>
      </c>
      <c r="P1592">
        <v>2</v>
      </c>
      <c r="Q1592" t="s">
        <v>26</v>
      </c>
    </row>
    <row r="1593" spans="1:17" x14ac:dyDescent="0.3">
      <c r="A1593" t="s">
        <v>2741</v>
      </c>
      <c r="B1593" t="s">
        <v>2304</v>
      </c>
      <c r="C1593" t="s">
        <v>68</v>
      </c>
      <c r="D1593" t="s">
        <v>83</v>
      </c>
      <c r="E1593">
        <v>60</v>
      </c>
      <c r="F1593" t="s">
        <v>30</v>
      </c>
      <c r="G1593" t="s">
        <v>31</v>
      </c>
      <c r="H1593" t="s">
        <v>32</v>
      </c>
      <c r="I1593" t="s">
        <v>33</v>
      </c>
      <c r="J1593" t="s">
        <v>72</v>
      </c>
      <c r="K1593">
        <v>3</v>
      </c>
      <c r="L1593">
        <v>4400</v>
      </c>
      <c r="M1593">
        <v>0</v>
      </c>
      <c r="N1593">
        <v>13200</v>
      </c>
      <c r="O1593" t="s">
        <v>35</v>
      </c>
      <c r="P1593">
        <v>3</v>
      </c>
      <c r="Q1593" t="s">
        <v>26</v>
      </c>
    </row>
    <row r="1594" spans="1:17" x14ac:dyDescent="0.3">
      <c r="A1594" t="s">
        <v>2742</v>
      </c>
      <c r="B1594" t="s">
        <v>2743</v>
      </c>
      <c r="C1594" t="s">
        <v>113</v>
      </c>
      <c r="D1594" t="s">
        <v>20</v>
      </c>
      <c r="E1594">
        <v>56</v>
      </c>
      <c r="F1594" t="s">
        <v>30</v>
      </c>
      <c r="G1594" t="s">
        <v>31</v>
      </c>
      <c r="H1594" t="s">
        <v>32</v>
      </c>
      <c r="I1594" t="s">
        <v>53</v>
      </c>
      <c r="J1594" t="s">
        <v>64</v>
      </c>
      <c r="K1594">
        <v>8</v>
      </c>
      <c r="L1594">
        <v>8000</v>
      </c>
      <c r="M1594">
        <v>20</v>
      </c>
      <c r="N1594">
        <v>51200</v>
      </c>
      <c r="O1594" t="s">
        <v>48</v>
      </c>
      <c r="Q1594" t="s">
        <v>26</v>
      </c>
    </row>
    <row r="1595" spans="1:17" x14ac:dyDescent="0.3">
      <c r="A1595" t="s">
        <v>2744</v>
      </c>
      <c r="B1595" t="s">
        <v>2745</v>
      </c>
      <c r="C1595" t="s">
        <v>94</v>
      </c>
      <c r="D1595" t="s">
        <v>39</v>
      </c>
      <c r="E1595">
        <v>39</v>
      </c>
      <c r="F1595" t="s">
        <v>61</v>
      </c>
      <c r="G1595" t="s">
        <v>61</v>
      </c>
      <c r="H1595" t="s">
        <v>32</v>
      </c>
      <c r="I1595" t="s">
        <v>33</v>
      </c>
      <c r="J1595" t="s">
        <v>64</v>
      </c>
      <c r="K1595">
        <v>7</v>
      </c>
      <c r="L1595">
        <v>3900</v>
      </c>
      <c r="M1595">
        <v>25</v>
      </c>
      <c r="N1595">
        <v>20475</v>
      </c>
      <c r="O1595" t="s">
        <v>73</v>
      </c>
      <c r="Q1595" t="s">
        <v>74</v>
      </c>
    </row>
    <row r="1596" spans="1:17" x14ac:dyDescent="0.3">
      <c r="A1596" t="s">
        <v>2746</v>
      </c>
      <c r="B1596" t="s">
        <v>2747</v>
      </c>
      <c r="C1596" t="s">
        <v>71</v>
      </c>
      <c r="D1596" t="s">
        <v>103</v>
      </c>
      <c r="E1596">
        <v>48</v>
      </c>
      <c r="F1596" t="s">
        <v>44</v>
      </c>
      <c r="G1596" t="s">
        <v>45</v>
      </c>
      <c r="H1596" t="s">
        <v>32</v>
      </c>
      <c r="I1596" t="s">
        <v>33</v>
      </c>
      <c r="J1596" t="s">
        <v>89</v>
      </c>
      <c r="K1596">
        <v>5</v>
      </c>
      <c r="L1596">
        <v>48900</v>
      </c>
      <c r="M1596">
        <v>10</v>
      </c>
      <c r="N1596">
        <v>220050</v>
      </c>
      <c r="O1596" t="s">
        <v>48</v>
      </c>
      <c r="Q1596" t="s">
        <v>74</v>
      </c>
    </row>
    <row r="1597" spans="1:17" x14ac:dyDescent="0.3">
      <c r="A1597" t="s">
        <v>2748</v>
      </c>
      <c r="B1597" t="s">
        <v>1379</v>
      </c>
      <c r="C1597" t="s">
        <v>60</v>
      </c>
      <c r="D1597" t="s">
        <v>103</v>
      </c>
      <c r="E1597">
        <v>23</v>
      </c>
      <c r="F1597" t="s">
        <v>21</v>
      </c>
      <c r="G1597" t="s">
        <v>21</v>
      </c>
      <c r="H1597" t="s">
        <v>32</v>
      </c>
      <c r="I1597" t="s">
        <v>33</v>
      </c>
      <c r="J1597" t="s">
        <v>89</v>
      </c>
      <c r="K1597">
        <v>2</v>
      </c>
      <c r="L1597">
        <v>25100</v>
      </c>
      <c r="M1597">
        <v>0</v>
      </c>
      <c r="N1597">
        <v>50200</v>
      </c>
      <c r="O1597" t="s">
        <v>35</v>
      </c>
      <c r="P1597">
        <v>1</v>
      </c>
      <c r="Q1597" t="s">
        <v>74</v>
      </c>
    </row>
    <row r="1598" spans="1:17" x14ac:dyDescent="0.3">
      <c r="A1598" t="s">
        <v>2749</v>
      </c>
      <c r="B1598" t="s">
        <v>2750</v>
      </c>
      <c r="C1598" t="s">
        <v>19</v>
      </c>
      <c r="E1598">
        <v>35</v>
      </c>
      <c r="F1598" t="s">
        <v>77</v>
      </c>
      <c r="G1598" t="s">
        <v>95</v>
      </c>
      <c r="H1598" t="s">
        <v>46</v>
      </c>
      <c r="I1598" t="s">
        <v>79</v>
      </c>
      <c r="J1598" t="s">
        <v>80</v>
      </c>
      <c r="K1598">
        <v>9</v>
      </c>
      <c r="L1598">
        <v>8500</v>
      </c>
      <c r="M1598">
        <v>5</v>
      </c>
      <c r="N1598">
        <v>72675</v>
      </c>
      <c r="O1598" t="s">
        <v>40</v>
      </c>
      <c r="P1598">
        <v>3</v>
      </c>
      <c r="Q1598" t="s">
        <v>74</v>
      </c>
    </row>
    <row r="1599" spans="1:17" x14ac:dyDescent="0.3">
      <c r="A1599" t="s">
        <v>2751</v>
      </c>
      <c r="B1599" t="s">
        <v>2752</v>
      </c>
      <c r="C1599" t="s">
        <v>121</v>
      </c>
      <c r="D1599" t="s">
        <v>20</v>
      </c>
      <c r="E1599">
        <v>42</v>
      </c>
      <c r="F1599" t="s">
        <v>61</v>
      </c>
      <c r="G1599" t="s">
        <v>61</v>
      </c>
      <c r="H1599" t="s">
        <v>62</v>
      </c>
      <c r="I1599" t="s">
        <v>63</v>
      </c>
      <c r="J1599" t="s">
        <v>64</v>
      </c>
      <c r="K1599">
        <v>1</v>
      </c>
      <c r="L1599">
        <v>3400</v>
      </c>
      <c r="M1599">
        <v>20</v>
      </c>
      <c r="N1599">
        <v>2720</v>
      </c>
      <c r="O1599" t="s">
        <v>25</v>
      </c>
      <c r="P1599">
        <v>5</v>
      </c>
      <c r="Q1599" t="s">
        <v>41</v>
      </c>
    </row>
    <row r="1600" spans="1:17" x14ac:dyDescent="0.3">
      <c r="A1600" t="s">
        <v>2753</v>
      </c>
      <c r="B1600" t="s">
        <v>311</v>
      </c>
      <c r="C1600" t="s">
        <v>121</v>
      </c>
      <c r="D1600" t="s">
        <v>39</v>
      </c>
      <c r="E1600">
        <v>48</v>
      </c>
      <c r="F1600" t="s">
        <v>51</v>
      </c>
      <c r="G1600" t="s">
        <v>104</v>
      </c>
      <c r="H1600" t="s">
        <v>62</v>
      </c>
      <c r="I1600" t="s">
        <v>63</v>
      </c>
      <c r="J1600" t="s">
        <v>80</v>
      </c>
      <c r="K1600">
        <v>5</v>
      </c>
      <c r="L1600">
        <v>32700</v>
      </c>
      <c r="M1600">
        <v>20</v>
      </c>
      <c r="N1600">
        <v>130800</v>
      </c>
      <c r="O1600" t="s">
        <v>35</v>
      </c>
      <c r="P1600">
        <v>2</v>
      </c>
      <c r="Q1600" t="s">
        <v>65</v>
      </c>
    </row>
    <row r="1601" spans="1:17" x14ac:dyDescent="0.3">
      <c r="A1601" t="s">
        <v>2754</v>
      </c>
      <c r="B1601" t="s">
        <v>2755</v>
      </c>
      <c r="C1601" t="s">
        <v>71</v>
      </c>
      <c r="D1601" t="s">
        <v>20</v>
      </c>
      <c r="E1601">
        <v>20</v>
      </c>
      <c r="F1601" t="s">
        <v>77</v>
      </c>
      <c r="G1601" t="s">
        <v>95</v>
      </c>
      <c r="H1601" t="s">
        <v>46</v>
      </c>
      <c r="I1601" t="s">
        <v>47</v>
      </c>
      <c r="J1601" t="s">
        <v>89</v>
      </c>
      <c r="K1601">
        <v>1</v>
      </c>
      <c r="L1601">
        <v>19000</v>
      </c>
      <c r="M1601">
        <v>15</v>
      </c>
      <c r="N1601">
        <v>16150</v>
      </c>
      <c r="O1601" t="s">
        <v>105</v>
      </c>
      <c r="P1601">
        <v>1</v>
      </c>
      <c r="Q1601" t="s">
        <v>65</v>
      </c>
    </row>
    <row r="1602" spans="1:17" x14ac:dyDescent="0.3">
      <c r="A1602" t="s">
        <v>2756</v>
      </c>
      <c r="B1602" t="s">
        <v>1183</v>
      </c>
      <c r="C1602" t="s">
        <v>121</v>
      </c>
      <c r="E1602">
        <v>29</v>
      </c>
      <c r="F1602" t="s">
        <v>61</v>
      </c>
      <c r="G1602" t="s">
        <v>61</v>
      </c>
      <c r="H1602" t="s">
        <v>22</v>
      </c>
      <c r="I1602" t="s">
        <v>23</v>
      </c>
      <c r="J1602" t="s">
        <v>64</v>
      </c>
      <c r="K1602">
        <v>7</v>
      </c>
      <c r="L1602">
        <v>39500</v>
      </c>
      <c r="M1602">
        <v>0</v>
      </c>
      <c r="N1602">
        <v>276500</v>
      </c>
      <c r="O1602" t="s">
        <v>105</v>
      </c>
      <c r="Q1602" t="s">
        <v>74</v>
      </c>
    </row>
    <row r="1603" spans="1:17" x14ac:dyDescent="0.3">
      <c r="A1603" t="s">
        <v>2757</v>
      </c>
      <c r="B1603" t="s">
        <v>2196</v>
      </c>
      <c r="C1603" t="s">
        <v>121</v>
      </c>
      <c r="D1603" t="s">
        <v>39</v>
      </c>
      <c r="E1603">
        <v>53</v>
      </c>
      <c r="F1603" t="s">
        <v>77</v>
      </c>
      <c r="G1603" t="s">
        <v>95</v>
      </c>
      <c r="H1603" t="s">
        <v>22</v>
      </c>
      <c r="I1603" t="s">
        <v>84</v>
      </c>
      <c r="J1603" t="s">
        <v>24</v>
      </c>
      <c r="K1603">
        <v>2</v>
      </c>
      <c r="L1603">
        <v>34800</v>
      </c>
      <c r="M1603">
        <v>15</v>
      </c>
      <c r="N1603">
        <v>59160</v>
      </c>
      <c r="O1603" t="s">
        <v>35</v>
      </c>
      <c r="Q1603" t="s">
        <v>65</v>
      </c>
    </row>
    <row r="1604" spans="1:17" x14ac:dyDescent="0.3">
      <c r="A1604" t="s">
        <v>2758</v>
      </c>
      <c r="B1604" t="s">
        <v>2759</v>
      </c>
      <c r="C1604" t="s">
        <v>19</v>
      </c>
      <c r="E1604">
        <v>39</v>
      </c>
      <c r="F1604" t="s">
        <v>30</v>
      </c>
      <c r="G1604" t="s">
        <v>57</v>
      </c>
      <c r="H1604" t="s">
        <v>22</v>
      </c>
      <c r="I1604" t="s">
        <v>23</v>
      </c>
      <c r="J1604" t="s">
        <v>34</v>
      </c>
      <c r="K1604">
        <v>9</v>
      </c>
      <c r="L1604">
        <v>40600</v>
      </c>
      <c r="M1604">
        <v>20</v>
      </c>
      <c r="N1604">
        <v>292320</v>
      </c>
      <c r="O1604" t="s">
        <v>25</v>
      </c>
      <c r="P1604">
        <v>5</v>
      </c>
      <c r="Q1604" t="s">
        <v>26</v>
      </c>
    </row>
    <row r="1605" spans="1:17" x14ac:dyDescent="0.3">
      <c r="A1605" t="s">
        <v>2760</v>
      </c>
      <c r="B1605" t="s">
        <v>1800</v>
      </c>
      <c r="C1605" t="s">
        <v>68</v>
      </c>
      <c r="D1605" t="s">
        <v>83</v>
      </c>
      <c r="E1605">
        <v>21</v>
      </c>
      <c r="F1605" t="s">
        <v>44</v>
      </c>
      <c r="G1605" t="s">
        <v>100</v>
      </c>
      <c r="H1605" t="s">
        <v>62</v>
      </c>
      <c r="I1605" t="s">
        <v>63</v>
      </c>
      <c r="J1605" t="s">
        <v>80</v>
      </c>
      <c r="K1605">
        <v>10</v>
      </c>
      <c r="L1605">
        <v>36500</v>
      </c>
      <c r="M1605">
        <v>5</v>
      </c>
      <c r="N1605">
        <v>346750</v>
      </c>
      <c r="O1605" t="s">
        <v>48</v>
      </c>
      <c r="P1605">
        <v>2</v>
      </c>
      <c r="Q1605" t="s">
        <v>65</v>
      </c>
    </row>
    <row r="1606" spans="1:17" x14ac:dyDescent="0.3">
      <c r="A1606" t="s">
        <v>2761</v>
      </c>
      <c r="B1606" t="s">
        <v>1619</v>
      </c>
      <c r="C1606" t="s">
        <v>121</v>
      </c>
      <c r="D1606" t="s">
        <v>39</v>
      </c>
      <c r="E1606">
        <v>26</v>
      </c>
      <c r="F1606" t="s">
        <v>51</v>
      </c>
      <c r="G1606" t="s">
        <v>52</v>
      </c>
      <c r="H1606" t="s">
        <v>62</v>
      </c>
      <c r="I1606" t="s">
        <v>140</v>
      </c>
      <c r="J1606" t="s">
        <v>72</v>
      </c>
      <c r="K1606">
        <v>5</v>
      </c>
      <c r="L1606">
        <v>15400</v>
      </c>
      <c r="M1606">
        <v>10</v>
      </c>
      <c r="N1606">
        <v>69300</v>
      </c>
      <c r="O1606" t="s">
        <v>85</v>
      </c>
      <c r="Q1606" t="s">
        <v>74</v>
      </c>
    </row>
    <row r="1607" spans="1:17" x14ac:dyDescent="0.3">
      <c r="A1607" t="s">
        <v>2762</v>
      </c>
      <c r="B1607" t="s">
        <v>199</v>
      </c>
      <c r="C1607" t="s">
        <v>121</v>
      </c>
      <c r="D1607" t="s">
        <v>83</v>
      </c>
      <c r="E1607">
        <v>31</v>
      </c>
      <c r="F1607" t="s">
        <v>61</v>
      </c>
      <c r="G1607" t="s">
        <v>61</v>
      </c>
      <c r="H1607" t="s">
        <v>46</v>
      </c>
      <c r="I1607" t="s">
        <v>79</v>
      </c>
      <c r="J1607" t="s">
        <v>34</v>
      </c>
      <c r="K1607">
        <v>3</v>
      </c>
      <c r="L1607">
        <v>2500</v>
      </c>
      <c r="M1607">
        <v>10</v>
      </c>
      <c r="N1607">
        <v>6750</v>
      </c>
      <c r="O1607" t="s">
        <v>48</v>
      </c>
      <c r="Q1607" t="s">
        <v>41</v>
      </c>
    </row>
    <row r="1608" spans="1:17" x14ac:dyDescent="0.3">
      <c r="A1608" t="s">
        <v>2763</v>
      </c>
      <c r="B1608" t="s">
        <v>2764</v>
      </c>
      <c r="C1608" t="s">
        <v>71</v>
      </c>
      <c r="D1608" t="s">
        <v>83</v>
      </c>
      <c r="E1608">
        <v>54</v>
      </c>
      <c r="F1608" t="s">
        <v>21</v>
      </c>
      <c r="G1608" t="s">
        <v>21</v>
      </c>
      <c r="H1608" t="s">
        <v>22</v>
      </c>
      <c r="I1608" t="s">
        <v>84</v>
      </c>
      <c r="J1608" t="s">
        <v>89</v>
      </c>
      <c r="K1608">
        <v>2</v>
      </c>
      <c r="L1608">
        <v>12500</v>
      </c>
      <c r="M1608">
        <v>0</v>
      </c>
      <c r="N1608">
        <v>25000</v>
      </c>
      <c r="O1608" t="s">
        <v>35</v>
      </c>
      <c r="Q1608" t="s">
        <v>41</v>
      </c>
    </row>
    <row r="1609" spans="1:17" x14ac:dyDescent="0.3">
      <c r="A1609" t="s">
        <v>2765</v>
      </c>
      <c r="B1609" t="s">
        <v>981</v>
      </c>
      <c r="C1609" t="s">
        <v>71</v>
      </c>
      <c r="D1609" t="s">
        <v>39</v>
      </c>
      <c r="E1609">
        <v>18</v>
      </c>
      <c r="F1609" t="s">
        <v>21</v>
      </c>
      <c r="G1609" t="s">
        <v>21</v>
      </c>
      <c r="H1609" t="s">
        <v>22</v>
      </c>
      <c r="I1609" t="s">
        <v>23</v>
      </c>
      <c r="J1609" t="s">
        <v>80</v>
      </c>
      <c r="K1609">
        <v>3</v>
      </c>
      <c r="L1609">
        <v>28100</v>
      </c>
      <c r="M1609">
        <v>20</v>
      </c>
      <c r="N1609">
        <v>67440</v>
      </c>
      <c r="O1609" t="s">
        <v>40</v>
      </c>
      <c r="P1609">
        <v>1</v>
      </c>
      <c r="Q1609" t="s">
        <v>41</v>
      </c>
    </row>
    <row r="1610" spans="1:17" x14ac:dyDescent="0.3">
      <c r="A1610" t="s">
        <v>2766</v>
      </c>
      <c r="B1610" t="s">
        <v>522</v>
      </c>
      <c r="C1610" t="s">
        <v>38</v>
      </c>
      <c r="E1610">
        <v>25</v>
      </c>
      <c r="F1610" t="s">
        <v>30</v>
      </c>
      <c r="G1610" t="s">
        <v>31</v>
      </c>
      <c r="H1610" t="s">
        <v>22</v>
      </c>
      <c r="I1610" t="s">
        <v>84</v>
      </c>
      <c r="J1610" t="s">
        <v>34</v>
      </c>
      <c r="K1610">
        <v>9</v>
      </c>
      <c r="L1610">
        <v>10500</v>
      </c>
      <c r="M1610">
        <v>25</v>
      </c>
      <c r="N1610">
        <v>70875</v>
      </c>
      <c r="O1610" t="s">
        <v>48</v>
      </c>
      <c r="Q1610" t="s">
        <v>74</v>
      </c>
    </row>
    <row r="1611" spans="1:17" x14ac:dyDescent="0.3">
      <c r="A1611" t="s">
        <v>2767</v>
      </c>
      <c r="B1611" t="s">
        <v>2768</v>
      </c>
      <c r="C1611" t="s">
        <v>113</v>
      </c>
      <c r="D1611" t="s">
        <v>103</v>
      </c>
      <c r="E1611">
        <v>55</v>
      </c>
      <c r="F1611" t="s">
        <v>30</v>
      </c>
      <c r="G1611" t="s">
        <v>57</v>
      </c>
      <c r="H1611" t="s">
        <v>46</v>
      </c>
      <c r="I1611" t="s">
        <v>79</v>
      </c>
      <c r="J1611" t="s">
        <v>80</v>
      </c>
      <c r="K1611">
        <v>6</v>
      </c>
      <c r="L1611">
        <v>2500</v>
      </c>
      <c r="M1611">
        <v>0</v>
      </c>
      <c r="N1611">
        <v>15000</v>
      </c>
      <c r="O1611" t="s">
        <v>25</v>
      </c>
      <c r="P1611">
        <v>4</v>
      </c>
      <c r="Q1611" t="s">
        <v>41</v>
      </c>
    </row>
    <row r="1612" spans="1:17" x14ac:dyDescent="0.3">
      <c r="A1612" t="s">
        <v>2769</v>
      </c>
      <c r="B1612" t="s">
        <v>1391</v>
      </c>
      <c r="C1612" t="s">
        <v>88</v>
      </c>
      <c r="D1612" t="s">
        <v>83</v>
      </c>
      <c r="E1612">
        <v>43</v>
      </c>
      <c r="F1612" t="s">
        <v>30</v>
      </c>
      <c r="G1612" t="s">
        <v>57</v>
      </c>
      <c r="H1612" t="s">
        <v>22</v>
      </c>
      <c r="I1612" t="s">
        <v>23</v>
      </c>
      <c r="J1612" t="s">
        <v>72</v>
      </c>
      <c r="K1612">
        <v>1</v>
      </c>
      <c r="L1612">
        <v>43400</v>
      </c>
      <c r="M1612">
        <v>20</v>
      </c>
      <c r="N1612">
        <v>34720</v>
      </c>
      <c r="O1612" t="s">
        <v>105</v>
      </c>
      <c r="Q1612" t="s">
        <v>26</v>
      </c>
    </row>
    <row r="1613" spans="1:17" x14ac:dyDescent="0.3">
      <c r="A1613" t="s">
        <v>2770</v>
      </c>
      <c r="B1613" t="s">
        <v>2771</v>
      </c>
      <c r="C1613" t="s">
        <v>94</v>
      </c>
      <c r="D1613" t="s">
        <v>83</v>
      </c>
      <c r="E1613">
        <v>52</v>
      </c>
      <c r="F1613" t="s">
        <v>77</v>
      </c>
      <c r="G1613" t="s">
        <v>78</v>
      </c>
      <c r="H1613" t="s">
        <v>32</v>
      </c>
      <c r="I1613" t="s">
        <v>53</v>
      </c>
      <c r="J1613" t="s">
        <v>72</v>
      </c>
      <c r="K1613">
        <v>5</v>
      </c>
      <c r="L1613">
        <v>4500</v>
      </c>
      <c r="M1613">
        <v>15</v>
      </c>
      <c r="N1613">
        <v>19125</v>
      </c>
      <c r="O1613" t="s">
        <v>105</v>
      </c>
      <c r="P1613">
        <v>5</v>
      </c>
      <c r="Q1613" t="s">
        <v>41</v>
      </c>
    </row>
    <row r="1614" spans="1:17" x14ac:dyDescent="0.3">
      <c r="A1614" t="s">
        <v>2772</v>
      </c>
      <c r="B1614" t="s">
        <v>2773</v>
      </c>
      <c r="C1614" t="s">
        <v>19</v>
      </c>
      <c r="D1614" t="s">
        <v>83</v>
      </c>
      <c r="E1614">
        <v>32</v>
      </c>
      <c r="F1614" t="s">
        <v>21</v>
      </c>
      <c r="G1614" t="s">
        <v>21</v>
      </c>
      <c r="H1614" t="s">
        <v>62</v>
      </c>
      <c r="I1614" t="s">
        <v>140</v>
      </c>
      <c r="J1614" t="s">
        <v>89</v>
      </c>
      <c r="K1614">
        <v>10</v>
      </c>
      <c r="L1614">
        <v>15400</v>
      </c>
      <c r="M1614">
        <v>0</v>
      </c>
      <c r="N1614">
        <v>154000</v>
      </c>
      <c r="O1614" t="s">
        <v>40</v>
      </c>
      <c r="Q1614" t="s">
        <v>26</v>
      </c>
    </row>
    <row r="1615" spans="1:17" x14ac:dyDescent="0.3">
      <c r="A1615" t="s">
        <v>2774</v>
      </c>
      <c r="B1615" t="s">
        <v>590</v>
      </c>
      <c r="C1615" t="s">
        <v>19</v>
      </c>
      <c r="D1615" t="s">
        <v>83</v>
      </c>
      <c r="E1615">
        <v>-3</v>
      </c>
      <c r="F1615" t="s">
        <v>51</v>
      </c>
      <c r="G1615" t="s">
        <v>52</v>
      </c>
      <c r="H1615" t="s">
        <v>46</v>
      </c>
      <c r="I1615" t="s">
        <v>79</v>
      </c>
      <c r="J1615" t="s">
        <v>80</v>
      </c>
      <c r="K1615">
        <v>3</v>
      </c>
      <c r="L1615">
        <v>17100</v>
      </c>
      <c r="M1615">
        <v>10</v>
      </c>
      <c r="N1615">
        <v>46170</v>
      </c>
      <c r="O1615" t="s">
        <v>48</v>
      </c>
      <c r="Q1615" t="s">
        <v>65</v>
      </c>
    </row>
    <row r="1616" spans="1:17" x14ac:dyDescent="0.3">
      <c r="A1616" t="s">
        <v>2775</v>
      </c>
      <c r="B1616" t="s">
        <v>2776</v>
      </c>
      <c r="C1616" t="s">
        <v>29</v>
      </c>
      <c r="D1616" t="s">
        <v>20</v>
      </c>
      <c r="E1616">
        <v>45</v>
      </c>
      <c r="F1616" t="s">
        <v>77</v>
      </c>
      <c r="G1616" t="s">
        <v>78</v>
      </c>
      <c r="H1616" t="s">
        <v>62</v>
      </c>
      <c r="I1616" t="s">
        <v>63</v>
      </c>
      <c r="J1616" t="s">
        <v>89</v>
      </c>
      <c r="K1616">
        <v>4</v>
      </c>
      <c r="L1616">
        <v>10500</v>
      </c>
      <c r="M1616">
        <v>5</v>
      </c>
      <c r="N1616">
        <v>39900</v>
      </c>
      <c r="O1616" t="s">
        <v>73</v>
      </c>
      <c r="P1616">
        <v>5</v>
      </c>
      <c r="Q1616" t="s">
        <v>65</v>
      </c>
    </row>
    <row r="1617" spans="1:17" x14ac:dyDescent="0.3">
      <c r="A1617" t="s">
        <v>2777</v>
      </c>
      <c r="B1617" t="s">
        <v>1335</v>
      </c>
      <c r="C1617" t="s">
        <v>68</v>
      </c>
      <c r="D1617" t="s">
        <v>39</v>
      </c>
      <c r="E1617">
        <v>44</v>
      </c>
      <c r="F1617" t="s">
        <v>44</v>
      </c>
      <c r="G1617" t="s">
        <v>45</v>
      </c>
      <c r="H1617" t="s">
        <v>32</v>
      </c>
      <c r="I1617" t="s">
        <v>53</v>
      </c>
      <c r="J1617" t="s">
        <v>24</v>
      </c>
      <c r="K1617">
        <v>3</v>
      </c>
      <c r="L1617">
        <v>32600</v>
      </c>
      <c r="M1617">
        <v>5</v>
      </c>
      <c r="N1617">
        <v>92910</v>
      </c>
      <c r="O1617" t="s">
        <v>73</v>
      </c>
      <c r="Q1617" t="s">
        <v>74</v>
      </c>
    </row>
    <row r="1618" spans="1:17" x14ac:dyDescent="0.3">
      <c r="A1618" t="s">
        <v>2778</v>
      </c>
      <c r="B1618" t="s">
        <v>2099</v>
      </c>
      <c r="C1618" t="s">
        <v>68</v>
      </c>
      <c r="D1618" t="s">
        <v>39</v>
      </c>
      <c r="E1618">
        <v>64</v>
      </c>
      <c r="F1618" t="s">
        <v>61</v>
      </c>
      <c r="G1618" t="s">
        <v>61</v>
      </c>
      <c r="H1618" t="s">
        <v>22</v>
      </c>
      <c r="I1618" t="s">
        <v>23</v>
      </c>
      <c r="J1618" t="s">
        <v>34</v>
      </c>
      <c r="K1618">
        <v>4</v>
      </c>
      <c r="L1618">
        <v>38700</v>
      </c>
      <c r="M1618">
        <v>0</v>
      </c>
      <c r="N1618">
        <v>154800</v>
      </c>
      <c r="O1618" t="s">
        <v>73</v>
      </c>
      <c r="Q1618" t="s">
        <v>26</v>
      </c>
    </row>
    <row r="1619" spans="1:17" x14ac:dyDescent="0.3">
      <c r="A1619" t="s">
        <v>2779</v>
      </c>
      <c r="B1619" t="s">
        <v>2443</v>
      </c>
      <c r="C1619" t="s">
        <v>19</v>
      </c>
      <c r="D1619" t="s">
        <v>103</v>
      </c>
      <c r="E1619">
        <v>33</v>
      </c>
      <c r="F1619" t="s">
        <v>44</v>
      </c>
      <c r="G1619" t="s">
        <v>45</v>
      </c>
      <c r="H1619" t="s">
        <v>62</v>
      </c>
      <c r="I1619" t="s">
        <v>140</v>
      </c>
      <c r="J1619" t="s">
        <v>34</v>
      </c>
      <c r="K1619">
        <v>3</v>
      </c>
      <c r="L1619">
        <v>10900</v>
      </c>
      <c r="M1619">
        <v>5</v>
      </c>
      <c r="N1619">
        <v>31065</v>
      </c>
      <c r="O1619" t="s">
        <v>73</v>
      </c>
      <c r="P1619">
        <v>1</v>
      </c>
      <c r="Q1619" t="s">
        <v>65</v>
      </c>
    </row>
    <row r="1620" spans="1:17" x14ac:dyDescent="0.3">
      <c r="A1620" t="s">
        <v>2780</v>
      </c>
      <c r="B1620" t="s">
        <v>358</v>
      </c>
      <c r="C1620" t="s">
        <v>68</v>
      </c>
      <c r="D1620" t="s">
        <v>20</v>
      </c>
      <c r="E1620">
        <v>27</v>
      </c>
      <c r="F1620" t="s">
        <v>51</v>
      </c>
      <c r="G1620" t="s">
        <v>52</v>
      </c>
      <c r="H1620" t="s">
        <v>62</v>
      </c>
      <c r="I1620" t="s">
        <v>63</v>
      </c>
      <c r="J1620" t="s">
        <v>34</v>
      </c>
      <c r="K1620">
        <v>6</v>
      </c>
      <c r="L1620">
        <v>18200</v>
      </c>
      <c r="M1620">
        <v>0</v>
      </c>
      <c r="N1620">
        <v>109200</v>
      </c>
      <c r="O1620" t="s">
        <v>73</v>
      </c>
      <c r="Q1620" t="s">
        <v>65</v>
      </c>
    </row>
    <row r="1621" spans="1:17" x14ac:dyDescent="0.3">
      <c r="A1621" t="s">
        <v>2781</v>
      </c>
      <c r="B1621" t="s">
        <v>1836</v>
      </c>
      <c r="C1621" t="s">
        <v>68</v>
      </c>
      <c r="E1621">
        <v>19</v>
      </c>
      <c r="F1621" t="s">
        <v>21</v>
      </c>
      <c r="G1621" t="s">
        <v>21</v>
      </c>
      <c r="H1621" t="s">
        <v>62</v>
      </c>
      <c r="I1621" t="s">
        <v>140</v>
      </c>
      <c r="J1621" t="s">
        <v>72</v>
      </c>
      <c r="K1621">
        <v>9</v>
      </c>
      <c r="L1621">
        <v>33600</v>
      </c>
      <c r="M1621">
        <v>20</v>
      </c>
      <c r="N1621">
        <v>241920</v>
      </c>
      <c r="O1621" t="s">
        <v>35</v>
      </c>
      <c r="Q1621" t="s">
        <v>74</v>
      </c>
    </row>
    <row r="1622" spans="1:17" x14ac:dyDescent="0.3">
      <c r="A1622" t="s">
        <v>2782</v>
      </c>
      <c r="B1622" t="s">
        <v>785</v>
      </c>
      <c r="C1622" t="s">
        <v>88</v>
      </c>
      <c r="D1622" t="s">
        <v>103</v>
      </c>
      <c r="E1622">
        <v>37</v>
      </c>
      <c r="F1622" t="s">
        <v>21</v>
      </c>
      <c r="G1622" t="s">
        <v>21</v>
      </c>
      <c r="H1622" t="s">
        <v>46</v>
      </c>
      <c r="I1622" t="s">
        <v>47</v>
      </c>
      <c r="J1622" t="s">
        <v>34</v>
      </c>
      <c r="K1622">
        <v>5</v>
      </c>
      <c r="L1622">
        <v>17000</v>
      </c>
      <c r="M1622">
        <v>10</v>
      </c>
      <c r="N1622">
        <v>76500</v>
      </c>
      <c r="O1622" t="s">
        <v>25</v>
      </c>
      <c r="P1622">
        <v>2</v>
      </c>
      <c r="Q1622" t="s">
        <v>26</v>
      </c>
    </row>
    <row r="1623" spans="1:17" x14ac:dyDescent="0.3">
      <c r="A1623" t="s">
        <v>2783</v>
      </c>
      <c r="B1623" t="s">
        <v>93</v>
      </c>
      <c r="C1623" t="s">
        <v>38</v>
      </c>
      <c r="D1623" t="s">
        <v>83</v>
      </c>
      <c r="E1623">
        <v>42</v>
      </c>
      <c r="F1623" t="s">
        <v>61</v>
      </c>
      <c r="G1623" t="s">
        <v>61</v>
      </c>
      <c r="H1623" t="s">
        <v>110</v>
      </c>
      <c r="I1623" t="s">
        <v>33</v>
      </c>
      <c r="J1623" t="s">
        <v>80</v>
      </c>
      <c r="K1623" t="s">
        <v>443</v>
      </c>
      <c r="L1623">
        <v>26400</v>
      </c>
      <c r="M1623">
        <v>25</v>
      </c>
      <c r="N1623">
        <v>198000</v>
      </c>
      <c r="O1623" t="s">
        <v>25</v>
      </c>
      <c r="P1623">
        <v>3</v>
      </c>
      <c r="Q1623" t="s">
        <v>26</v>
      </c>
    </row>
    <row r="1624" spans="1:17" x14ac:dyDescent="0.3">
      <c r="A1624" t="s">
        <v>2784</v>
      </c>
      <c r="B1624" t="s">
        <v>2785</v>
      </c>
      <c r="C1624" t="s">
        <v>113</v>
      </c>
      <c r="D1624" t="s">
        <v>103</v>
      </c>
      <c r="E1624">
        <v>26</v>
      </c>
      <c r="F1624" t="s">
        <v>30</v>
      </c>
      <c r="G1624" t="s">
        <v>31</v>
      </c>
      <c r="H1624" t="s">
        <v>22</v>
      </c>
      <c r="I1624" t="s">
        <v>84</v>
      </c>
      <c r="J1624" t="s">
        <v>24</v>
      </c>
      <c r="K1624">
        <v>1</v>
      </c>
      <c r="L1624">
        <v>12800</v>
      </c>
      <c r="M1624">
        <v>25</v>
      </c>
      <c r="N1624">
        <v>9600</v>
      </c>
      <c r="O1624" t="s">
        <v>85</v>
      </c>
      <c r="Q1624" t="s">
        <v>74</v>
      </c>
    </row>
    <row r="1625" spans="1:17" x14ac:dyDescent="0.3">
      <c r="A1625" t="s">
        <v>2786</v>
      </c>
      <c r="B1625" t="s">
        <v>1773</v>
      </c>
      <c r="C1625" t="s">
        <v>94</v>
      </c>
      <c r="D1625" t="s">
        <v>39</v>
      </c>
      <c r="E1625">
        <v>32</v>
      </c>
      <c r="F1625" t="s">
        <v>44</v>
      </c>
      <c r="G1625" t="s">
        <v>100</v>
      </c>
      <c r="H1625" t="s">
        <v>46</v>
      </c>
      <c r="I1625" t="s">
        <v>47</v>
      </c>
      <c r="J1625" t="s">
        <v>80</v>
      </c>
      <c r="K1625">
        <v>9</v>
      </c>
      <c r="L1625">
        <v>47900</v>
      </c>
      <c r="M1625">
        <v>0</v>
      </c>
      <c r="N1625">
        <v>431100</v>
      </c>
      <c r="O1625" t="s">
        <v>85</v>
      </c>
      <c r="P1625">
        <v>2</v>
      </c>
      <c r="Q1625" t="s">
        <v>74</v>
      </c>
    </row>
    <row r="1626" spans="1:17" x14ac:dyDescent="0.3">
      <c r="A1626" t="s">
        <v>2787</v>
      </c>
      <c r="B1626" t="s">
        <v>2300</v>
      </c>
      <c r="C1626" t="s">
        <v>29</v>
      </c>
      <c r="D1626" t="s">
        <v>20</v>
      </c>
      <c r="E1626">
        <v>34</v>
      </c>
      <c r="F1626" t="s">
        <v>30</v>
      </c>
      <c r="G1626" t="s">
        <v>31</v>
      </c>
      <c r="H1626" t="s">
        <v>62</v>
      </c>
      <c r="I1626" t="s">
        <v>140</v>
      </c>
      <c r="J1626" t="s">
        <v>34</v>
      </c>
      <c r="K1626">
        <v>10</v>
      </c>
      <c r="L1626">
        <v>15400</v>
      </c>
      <c r="M1626">
        <v>15</v>
      </c>
      <c r="N1626">
        <v>130900</v>
      </c>
      <c r="O1626" t="s">
        <v>40</v>
      </c>
      <c r="P1626">
        <v>3</v>
      </c>
      <c r="Q1626" t="s">
        <v>26</v>
      </c>
    </row>
    <row r="1627" spans="1:17" x14ac:dyDescent="0.3">
      <c r="A1627" t="s">
        <v>2788</v>
      </c>
      <c r="B1627" t="s">
        <v>1066</v>
      </c>
      <c r="C1627" t="s">
        <v>71</v>
      </c>
      <c r="D1627" t="s">
        <v>20</v>
      </c>
      <c r="E1627">
        <v>42</v>
      </c>
      <c r="F1627" t="s">
        <v>77</v>
      </c>
      <c r="G1627" t="s">
        <v>95</v>
      </c>
      <c r="H1627" t="s">
        <v>32</v>
      </c>
      <c r="I1627" t="s">
        <v>33</v>
      </c>
      <c r="J1627" t="s">
        <v>72</v>
      </c>
      <c r="K1627" t="s">
        <v>863</v>
      </c>
      <c r="L1627">
        <v>8100</v>
      </c>
      <c r="M1627">
        <v>5</v>
      </c>
      <c r="N1627">
        <v>53865</v>
      </c>
      <c r="O1627" t="s">
        <v>48</v>
      </c>
      <c r="P1627">
        <v>3</v>
      </c>
      <c r="Q1627" t="s">
        <v>65</v>
      </c>
    </row>
    <row r="1628" spans="1:17" x14ac:dyDescent="0.3">
      <c r="A1628" t="s">
        <v>2789</v>
      </c>
      <c r="B1628" t="s">
        <v>1532</v>
      </c>
      <c r="C1628" t="s">
        <v>71</v>
      </c>
      <c r="D1628" t="s">
        <v>103</v>
      </c>
      <c r="E1628">
        <v>18</v>
      </c>
      <c r="F1628" t="s">
        <v>61</v>
      </c>
      <c r="G1628" t="s">
        <v>61</v>
      </c>
      <c r="H1628" t="s">
        <v>22</v>
      </c>
      <c r="I1628" t="s">
        <v>84</v>
      </c>
      <c r="J1628" t="s">
        <v>80</v>
      </c>
      <c r="K1628">
        <v>7</v>
      </c>
      <c r="L1628">
        <v>45500</v>
      </c>
      <c r="M1628">
        <v>5</v>
      </c>
      <c r="N1628">
        <v>302575</v>
      </c>
      <c r="O1628" t="s">
        <v>40</v>
      </c>
      <c r="P1628">
        <v>1</v>
      </c>
      <c r="Q1628" t="s">
        <v>26</v>
      </c>
    </row>
    <row r="1629" spans="1:17" x14ac:dyDescent="0.3">
      <c r="A1629" t="s">
        <v>2790</v>
      </c>
      <c r="B1629" t="s">
        <v>2791</v>
      </c>
      <c r="C1629" t="s">
        <v>121</v>
      </c>
      <c r="D1629" t="s">
        <v>20</v>
      </c>
      <c r="E1629">
        <v>31</v>
      </c>
      <c r="F1629" t="s">
        <v>51</v>
      </c>
      <c r="G1629" t="s">
        <v>104</v>
      </c>
      <c r="H1629" t="s">
        <v>22</v>
      </c>
      <c r="I1629" t="s">
        <v>84</v>
      </c>
      <c r="J1629" t="s">
        <v>72</v>
      </c>
      <c r="K1629">
        <v>1</v>
      </c>
      <c r="L1629">
        <v>43300</v>
      </c>
      <c r="M1629">
        <v>5</v>
      </c>
      <c r="N1629">
        <v>41135</v>
      </c>
      <c r="O1629" t="s">
        <v>73</v>
      </c>
      <c r="Q1629" t="s">
        <v>26</v>
      </c>
    </row>
    <row r="1630" spans="1:17" x14ac:dyDescent="0.3">
      <c r="A1630" t="s">
        <v>2792</v>
      </c>
      <c r="B1630" t="s">
        <v>2793</v>
      </c>
      <c r="C1630" t="s">
        <v>71</v>
      </c>
      <c r="D1630" t="s">
        <v>103</v>
      </c>
      <c r="E1630">
        <v>26</v>
      </c>
      <c r="F1630" t="s">
        <v>1193</v>
      </c>
      <c r="G1630" t="s">
        <v>31</v>
      </c>
      <c r="H1630" t="s">
        <v>62</v>
      </c>
      <c r="I1630" t="s">
        <v>140</v>
      </c>
      <c r="J1630" t="s">
        <v>80</v>
      </c>
      <c r="K1630">
        <v>2</v>
      </c>
      <c r="L1630">
        <v>19500</v>
      </c>
      <c r="M1630">
        <v>25</v>
      </c>
      <c r="N1630">
        <v>29250</v>
      </c>
      <c r="O1630" t="s">
        <v>105</v>
      </c>
      <c r="P1630">
        <v>2</v>
      </c>
      <c r="Q1630" t="s">
        <v>74</v>
      </c>
    </row>
    <row r="1631" spans="1:17" x14ac:dyDescent="0.3">
      <c r="A1631" t="s">
        <v>2794</v>
      </c>
      <c r="B1631" t="s">
        <v>1813</v>
      </c>
      <c r="C1631" t="s">
        <v>60</v>
      </c>
      <c r="D1631" t="s">
        <v>83</v>
      </c>
      <c r="E1631">
        <v>37</v>
      </c>
      <c r="F1631" t="s">
        <v>51</v>
      </c>
      <c r="G1631" t="s">
        <v>104</v>
      </c>
      <c r="H1631" t="s">
        <v>32</v>
      </c>
      <c r="I1631" t="s">
        <v>53</v>
      </c>
      <c r="J1631" t="s">
        <v>24</v>
      </c>
      <c r="K1631">
        <v>2</v>
      </c>
      <c r="L1631">
        <v>10600</v>
      </c>
      <c r="M1631">
        <v>15</v>
      </c>
      <c r="N1631">
        <v>18020</v>
      </c>
      <c r="O1631" t="s">
        <v>73</v>
      </c>
      <c r="P1631">
        <v>4</v>
      </c>
      <c r="Q1631" t="s">
        <v>26</v>
      </c>
    </row>
    <row r="1632" spans="1:17" x14ac:dyDescent="0.3">
      <c r="A1632" t="s">
        <v>2795</v>
      </c>
      <c r="B1632" t="s">
        <v>2796</v>
      </c>
      <c r="C1632" t="s">
        <v>60</v>
      </c>
      <c r="D1632" t="s">
        <v>20</v>
      </c>
      <c r="E1632">
        <v>19</v>
      </c>
      <c r="F1632" t="s">
        <v>44</v>
      </c>
      <c r="G1632" t="s">
        <v>100</v>
      </c>
      <c r="H1632" t="s">
        <v>62</v>
      </c>
      <c r="I1632" t="s">
        <v>140</v>
      </c>
      <c r="J1632" t="s">
        <v>80</v>
      </c>
      <c r="K1632">
        <v>8</v>
      </c>
      <c r="L1632">
        <v>48100</v>
      </c>
      <c r="M1632">
        <v>15</v>
      </c>
      <c r="N1632">
        <v>327080</v>
      </c>
      <c r="O1632" t="s">
        <v>25</v>
      </c>
      <c r="Q1632" t="s">
        <v>65</v>
      </c>
    </row>
    <row r="1633" spans="1:17" x14ac:dyDescent="0.3">
      <c r="A1633" t="s">
        <v>2797</v>
      </c>
      <c r="B1633" t="s">
        <v>1308</v>
      </c>
      <c r="C1633" t="s">
        <v>60</v>
      </c>
      <c r="D1633" t="s">
        <v>83</v>
      </c>
      <c r="E1633">
        <v>56</v>
      </c>
      <c r="F1633" t="s">
        <v>21</v>
      </c>
      <c r="G1633" t="s">
        <v>21</v>
      </c>
      <c r="H1633" t="s">
        <v>62</v>
      </c>
      <c r="I1633" t="s">
        <v>140</v>
      </c>
      <c r="J1633" t="s">
        <v>34</v>
      </c>
      <c r="K1633">
        <v>3</v>
      </c>
      <c r="L1633">
        <v>6400</v>
      </c>
      <c r="M1633">
        <v>25</v>
      </c>
      <c r="N1633">
        <v>14400</v>
      </c>
      <c r="O1633" t="s">
        <v>25</v>
      </c>
      <c r="P1633">
        <v>5</v>
      </c>
      <c r="Q1633" t="s">
        <v>65</v>
      </c>
    </row>
    <row r="1634" spans="1:17" x14ac:dyDescent="0.3">
      <c r="A1634" t="s">
        <v>2798</v>
      </c>
      <c r="B1634" t="s">
        <v>2402</v>
      </c>
      <c r="C1634" t="s">
        <v>71</v>
      </c>
      <c r="D1634" t="s">
        <v>103</v>
      </c>
      <c r="E1634">
        <v>44</v>
      </c>
      <c r="F1634" t="s">
        <v>44</v>
      </c>
      <c r="G1634" t="s">
        <v>45</v>
      </c>
      <c r="H1634" t="s">
        <v>62</v>
      </c>
      <c r="I1634" t="s">
        <v>63</v>
      </c>
      <c r="J1634" t="s">
        <v>80</v>
      </c>
      <c r="K1634">
        <v>2</v>
      </c>
      <c r="L1634">
        <v>20800</v>
      </c>
      <c r="M1634">
        <v>15</v>
      </c>
      <c r="N1634">
        <v>35360</v>
      </c>
      <c r="O1634" t="s">
        <v>85</v>
      </c>
      <c r="P1634">
        <v>1</v>
      </c>
      <c r="Q1634" t="s">
        <v>74</v>
      </c>
    </row>
    <row r="1635" spans="1:17" x14ac:dyDescent="0.3">
      <c r="A1635" t="s">
        <v>2799</v>
      </c>
      <c r="B1635" t="s">
        <v>2800</v>
      </c>
      <c r="C1635" t="s">
        <v>113</v>
      </c>
      <c r="E1635">
        <v>31</v>
      </c>
      <c r="F1635" t="s">
        <v>21</v>
      </c>
      <c r="G1635" t="s">
        <v>21</v>
      </c>
      <c r="H1635" t="s">
        <v>32</v>
      </c>
      <c r="I1635" t="s">
        <v>33</v>
      </c>
      <c r="J1635" t="s">
        <v>24</v>
      </c>
      <c r="K1635">
        <v>2</v>
      </c>
      <c r="L1635">
        <v>11500</v>
      </c>
      <c r="M1635">
        <v>10</v>
      </c>
      <c r="N1635">
        <v>20700</v>
      </c>
      <c r="O1635" t="s">
        <v>35</v>
      </c>
      <c r="P1635">
        <v>3</v>
      </c>
      <c r="Q1635" t="s">
        <v>26</v>
      </c>
    </row>
    <row r="1636" spans="1:17" x14ac:dyDescent="0.3">
      <c r="A1636" t="s">
        <v>2801</v>
      </c>
      <c r="B1636" t="s">
        <v>392</v>
      </c>
      <c r="C1636" t="s">
        <v>113</v>
      </c>
      <c r="D1636" t="s">
        <v>39</v>
      </c>
      <c r="E1636">
        <v>28</v>
      </c>
      <c r="F1636" t="s">
        <v>77</v>
      </c>
      <c r="G1636" t="s">
        <v>78</v>
      </c>
      <c r="H1636" t="s">
        <v>46</v>
      </c>
      <c r="I1636" t="s">
        <v>79</v>
      </c>
      <c r="J1636" t="s">
        <v>64</v>
      </c>
      <c r="K1636">
        <v>1</v>
      </c>
      <c r="L1636">
        <v>48400</v>
      </c>
      <c r="M1636">
        <v>20</v>
      </c>
      <c r="N1636">
        <v>38720</v>
      </c>
      <c r="O1636" t="s">
        <v>85</v>
      </c>
      <c r="Q1636" t="s">
        <v>74</v>
      </c>
    </row>
    <row r="1637" spans="1:17" x14ac:dyDescent="0.3">
      <c r="A1637" t="s">
        <v>2802</v>
      </c>
      <c r="B1637" t="s">
        <v>2803</v>
      </c>
      <c r="C1637" t="s">
        <v>38</v>
      </c>
      <c r="E1637">
        <v>38</v>
      </c>
      <c r="F1637" t="s">
        <v>21</v>
      </c>
      <c r="G1637" t="s">
        <v>21</v>
      </c>
      <c r="H1637" t="s">
        <v>62</v>
      </c>
      <c r="I1637" t="s">
        <v>140</v>
      </c>
      <c r="J1637" t="s">
        <v>64</v>
      </c>
      <c r="K1637">
        <v>6</v>
      </c>
      <c r="L1637">
        <v>45700</v>
      </c>
      <c r="M1637">
        <v>25</v>
      </c>
      <c r="N1637">
        <v>205650</v>
      </c>
      <c r="O1637" t="s">
        <v>40</v>
      </c>
      <c r="P1637">
        <v>5</v>
      </c>
      <c r="Q1637" t="s">
        <v>74</v>
      </c>
    </row>
    <row r="1638" spans="1:17" x14ac:dyDescent="0.3">
      <c r="A1638" t="s">
        <v>2804</v>
      </c>
      <c r="B1638" t="s">
        <v>2805</v>
      </c>
      <c r="C1638" t="s">
        <v>19</v>
      </c>
      <c r="D1638" t="s">
        <v>20</v>
      </c>
      <c r="E1638">
        <v>31</v>
      </c>
      <c r="F1638" t="s">
        <v>61</v>
      </c>
      <c r="G1638" t="s">
        <v>61</v>
      </c>
      <c r="H1638" t="s">
        <v>32</v>
      </c>
      <c r="I1638" t="s">
        <v>33</v>
      </c>
      <c r="J1638" t="s">
        <v>64</v>
      </c>
      <c r="K1638">
        <v>6</v>
      </c>
      <c r="L1638">
        <v>39800</v>
      </c>
      <c r="M1638">
        <v>20</v>
      </c>
      <c r="N1638">
        <v>191040</v>
      </c>
      <c r="O1638" t="s">
        <v>85</v>
      </c>
      <c r="P1638">
        <v>3</v>
      </c>
      <c r="Q1638" t="s">
        <v>74</v>
      </c>
    </row>
    <row r="1639" spans="1:17" x14ac:dyDescent="0.3">
      <c r="A1639" t="s">
        <v>2806</v>
      </c>
      <c r="B1639" t="s">
        <v>2807</v>
      </c>
      <c r="C1639" t="s">
        <v>121</v>
      </c>
      <c r="D1639" t="s">
        <v>83</v>
      </c>
      <c r="E1639">
        <v>23</v>
      </c>
      <c r="F1639" t="s">
        <v>61</v>
      </c>
      <c r="G1639" t="s">
        <v>61</v>
      </c>
      <c r="H1639" t="s">
        <v>62</v>
      </c>
      <c r="I1639" t="s">
        <v>140</v>
      </c>
      <c r="J1639" t="s">
        <v>80</v>
      </c>
      <c r="K1639">
        <v>9</v>
      </c>
      <c r="L1639">
        <v>43500</v>
      </c>
      <c r="M1639">
        <v>5</v>
      </c>
      <c r="N1639">
        <v>371925</v>
      </c>
      <c r="O1639" t="s">
        <v>35</v>
      </c>
      <c r="Q1639" t="s">
        <v>41</v>
      </c>
    </row>
    <row r="1640" spans="1:17" x14ac:dyDescent="0.3">
      <c r="A1640" t="s">
        <v>2808</v>
      </c>
      <c r="B1640" t="s">
        <v>2809</v>
      </c>
      <c r="C1640" t="s">
        <v>88</v>
      </c>
      <c r="D1640" t="s">
        <v>39</v>
      </c>
      <c r="E1640">
        <v>47</v>
      </c>
      <c r="F1640" t="s">
        <v>30</v>
      </c>
      <c r="G1640" t="s">
        <v>57</v>
      </c>
      <c r="H1640" t="s">
        <v>62</v>
      </c>
      <c r="I1640" t="s">
        <v>63</v>
      </c>
      <c r="J1640" t="s">
        <v>64</v>
      </c>
      <c r="K1640">
        <v>1</v>
      </c>
      <c r="L1640">
        <v>36400</v>
      </c>
      <c r="M1640">
        <v>15</v>
      </c>
      <c r="N1640">
        <v>30940</v>
      </c>
      <c r="O1640" t="s">
        <v>162</v>
      </c>
      <c r="P1640">
        <v>4</v>
      </c>
      <c r="Q1640" t="s">
        <v>74</v>
      </c>
    </row>
    <row r="1641" spans="1:17" x14ac:dyDescent="0.3">
      <c r="A1641" t="s">
        <v>2810</v>
      </c>
      <c r="B1641" t="s">
        <v>2811</v>
      </c>
      <c r="C1641" t="s">
        <v>38</v>
      </c>
      <c r="D1641" t="s">
        <v>83</v>
      </c>
      <c r="E1641">
        <v>55</v>
      </c>
      <c r="F1641" t="s">
        <v>77</v>
      </c>
      <c r="G1641" t="s">
        <v>78</v>
      </c>
      <c r="H1641" t="s">
        <v>32</v>
      </c>
      <c r="I1641" t="s">
        <v>53</v>
      </c>
      <c r="J1641" t="s">
        <v>64</v>
      </c>
      <c r="K1641">
        <v>2</v>
      </c>
      <c r="L1641">
        <v>20700</v>
      </c>
      <c r="M1641">
        <v>5</v>
      </c>
      <c r="N1641">
        <v>39330</v>
      </c>
      <c r="O1641" t="s">
        <v>73</v>
      </c>
      <c r="Q1641" t="s">
        <v>65</v>
      </c>
    </row>
    <row r="1642" spans="1:17" x14ac:dyDescent="0.3">
      <c r="A1642" t="s">
        <v>2812</v>
      </c>
      <c r="B1642" t="s">
        <v>615</v>
      </c>
      <c r="C1642" t="s">
        <v>19</v>
      </c>
      <c r="D1642" t="s">
        <v>39</v>
      </c>
      <c r="E1642">
        <v>59</v>
      </c>
      <c r="F1642" t="s">
        <v>56</v>
      </c>
      <c r="G1642" t="s">
        <v>31</v>
      </c>
      <c r="H1642" t="s">
        <v>46</v>
      </c>
      <c r="I1642" t="s">
        <v>47</v>
      </c>
      <c r="J1642" t="s">
        <v>80</v>
      </c>
      <c r="K1642" t="s">
        <v>1321</v>
      </c>
      <c r="L1642">
        <v>38300</v>
      </c>
      <c r="M1642">
        <v>0</v>
      </c>
      <c r="N1642">
        <v>114900</v>
      </c>
      <c r="O1642" t="s">
        <v>73</v>
      </c>
      <c r="P1642">
        <v>2</v>
      </c>
      <c r="Q1642" t="s">
        <v>65</v>
      </c>
    </row>
    <row r="1643" spans="1:17" x14ac:dyDescent="0.3">
      <c r="A1643" t="s">
        <v>2813</v>
      </c>
      <c r="B1643" t="s">
        <v>1183</v>
      </c>
      <c r="C1643" t="s">
        <v>94</v>
      </c>
      <c r="D1643" t="s">
        <v>39</v>
      </c>
      <c r="E1643">
        <v>20</v>
      </c>
      <c r="F1643" t="s">
        <v>21</v>
      </c>
      <c r="G1643" t="s">
        <v>21</v>
      </c>
      <c r="H1643" t="s">
        <v>62</v>
      </c>
      <c r="I1643" t="s">
        <v>63</v>
      </c>
      <c r="J1643" t="s">
        <v>72</v>
      </c>
      <c r="K1643">
        <v>6</v>
      </c>
      <c r="L1643">
        <v>25500</v>
      </c>
      <c r="M1643">
        <v>25</v>
      </c>
      <c r="N1643">
        <v>114750</v>
      </c>
      <c r="O1643" t="s">
        <v>40</v>
      </c>
      <c r="P1643">
        <v>5</v>
      </c>
      <c r="Q1643" t="s">
        <v>26</v>
      </c>
    </row>
    <row r="1644" spans="1:17" x14ac:dyDescent="0.3">
      <c r="A1644" t="s">
        <v>2814</v>
      </c>
      <c r="B1644" t="s">
        <v>1855</v>
      </c>
      <c r="C1644" t="s">
        <v>121</v>
      </c>
      <c r="D1644" t="s">
        <v>83</v>
      </c>
      <c r="E1644">
        <v>29</v>
      </c>
      <c r="F1644" t="s">
        <v>61</v>
      </c>
      <c r="G1644" t="s">
        <v>61</v>
      </c>
      <c r="H1644" t="s">
        <v>62</v>
      </c>
      <c r="I1644" t="s">
        <v>140</v>
      </c>
      <c r="J1644" t="s">
        <v>24</v>
      </c>
      <c r="K1644">
        <v>5</v>
      </c>
      <c r="L1644">
        <v>45700</v>
      </c>
      <c r="M1644">
        <v>10</v>
      </c>
      <c r="N1644">
        <v>205650</v>
      </c>
      <c r="O1644" t="s">
        <v>40</v>
      </c>
      <c r="Q1644" t="s">
        <v>74</v>
      </c>
    </row>
    <row r="1645" spans="1:17" x14ac:dyDescent="0.3">
      <c r="A1645" t="s">
        <v>2815</v>
      </c>
      <c r="B1645" t="s">
        <v>782</v>
      </c>
      <c r="C1645" t="s">
        <v>88</v>
      </c>
      <c r="D1645" t="s">
        <v>39</v>
      </c>
      <c r="E1645">
        <v>65</v>
      </c>
      <c r="F1645" t="s">
        <v>77</v>
      </c>
      <c r="G1645" t="s">
        <v>95</v>
      </c>
      <c r="H1645" t="s">
        <v>116</v>
      </c>
      <c r="I1645" t="s">
        <v>23</v>
      </c>
      <c r="J1645" t="s">
        <v>64</v>
      </c>
      <c r="K1645">
        <v>2</v>
      </c>
      <c r="L1645">
        <v>19800</v>
      </c>
      <c r="M1645">
        <v>0</v>
      </c>
      <c r="N1645">
        <v>39600</v>
      </c>
      <c r="O1645" t="s">
        <v>85</v>
      </c>
      <c r="P1645">
        <v>1</v>
      </c>
      <c r="Q1645" t="s">
        <v>41</v>
      </c>
    </row>
    <row r="1646" spans="1:17" x14ac:dyDescent="0.3">
      <c r="A1646" t="s">
        <v>2816</v>
      </c>
      <c r="B1646" t="s">
        <v>2817</v>
      </c>
      <c r="C1646" t="s">
        <v>71</v>
      </c>
      <c r="D1646" t="s">
        <v>39</v>
      </c>
      <c r="E1646">
        <v>39</v>
      </c>
      <c r="F1646" t="s">
        <v>77</v>
      </c>
      <c r="G1646" t="s">
        <v>78</v>
      </c>
      <c r="H1646" t="s">
        <v>62</v>
      </c>
      <c r="I1646" t="s">
        <v>140</v>
      </c>
      <c r="J1646" t="s">
        <v>80</v>
      </c>
      <c r="K1646">
        <v>7</v>
      </c>
      <c r="L1646">
        <v>33500</v>
      </c>
      <c r="M1646">
        <v>5</v>
      </c>
      <c r="N1646">
        <v>222775</v>
      </c>
      <c r="O1646" t="s">
        <v>105</v>
      </c>
      <c r="Q1646" t="s">
        <v>65</v>
      </c>
    </row>
    <row r="1647" spans="1:17" x14ac:dyDescent="0.3">
      <c r="A1647" t="s">
        <v>2818</v>
      </c>
      <c r="B1647" t="s">
        <v>325</v>
      </c>
      <c r="C1647" t="s">
        <v>19</v>
      </c>
      <c r="D1647" t="s">
        <v>103</v>
      </c>
      <c r="E1647">
        <v>48</v>
      </c>
      <c r="F1647" t="s">
        <v>21</v>
      </c>
      <c r="G1647" t="s">
        <v>21</v>
      </c>
      <c r="H1647" t="s">
        <v>22</v>
      </c>
      <c r="I1647" t="s">
        <v>23</v>
      </c>
      <c r="J1647" t="s">
        <v>80</v>
      </c>
      <c r="K1647">
        <v>1</v>
      </c>
      <c r="L1647">
        <v>34900</v>
      </c>
      <c r="M1647">
        <v>10</v>
      </c>
      <c r="N1647">
        <v>31410</v>
      </c>
      <c r="O1647" t="s">
        <v>25</v>
      </c>
      <c r="Q1647" t="s">
        <v>41</v>
      </c>
    </row>
    <row r="1648" spans="1:17" x14ac:dyDescent="0.3">
      <c r="A1648" t="s">
        <v>2819</v>
      </c>
      <c r="B1648" t="s">
        <v>139</v>
      </c>
      <c r="C1648" t="s">
        <v>71</v>
      </c>
      <c r="D1648" t="s">
        <v>39</v>
      </c>
      <c r="E1648">
        <v>36</v>
      </c>
      <c r="F1648" t="s">
        <v>44</v>
      </c>
      <c r="G1648" t="s">
        <v>100</v>
      </c>
      <c r="H1648" t="s">
        <v>46</v>
      </c>
      <c r="I1648" t="s">
        <v>47</v>
      </c>
      <c r="J1648" t="s">
        <v>64</v>
      </c>
      <c r="K1648">
        <v>7</v>
      </c>
      <c r="L1648">
        <v>3200</v>
      </c>
      <c r="M1648">
        <v>0</v>
      </c>
      <c r="N1648">
        <v>22400</v>
      </c>
      <c r="O1648" t="s">
        <v>85</v>
      </c>
      <c r="P1648">
        <v>4</v>
      </c>
      <c r="Q1648" t="s">
        <v>74</v>
      </c>
    </row>
    <row r="1649" spans="1:17" x14ac:dyDescent="0.3">
      <c r="A1649" t="s">
        <v>2820</v>
      </c>
      <c r="B1649" t="s">
        <v>2773</v>
      </c>
      <c r="C1649" t="s">
        <v>38</v>
      </c>
      <c r="E1649">
        <v>56</v>
      </c>
      <c r="F1649" t="s">
        <v>51</v>
      </c>
      <c r="G1649" t="s">
        <v>104</v>
      </c>
      <c r="H1649" t="s">
        <v>116</v>
      </c>
      <c r="I1649" t="s">
        <v>84</v>
      </c>
      <c r="J1649" t="s">
        <v>72</v>
      </c>
      <c r="K1649">
        <v>2</v>
      </c>
      <c r="L1649">
        <v>31100</v>
      </c>
      <c r="M1649">
        <v>5</v>
      </c>
      <c r="N1649">
        <v>59090</v>
      </c>
      <c r="O1649" t="s">
        <v>85</v>
      </c>
      <c r="P1649">
        <v>1</v>
      </c>
      <c r="Q1649" t="s">
        <v>41</v>
      </c>
    </row>
    <row r="1650" spans="1:17" x14ac:dyDescent="0.3">
      <c r="A1650" t="s">
        <v>2821</v>
      </c>
      <c r="B1650" t="s">
        <v>1594</v>
      </c>
      <c r="C1650" t="s">
        <v>88</v>
      </c>
      <c r="D1650" t="s">
        <v>39</v>
      </c>
      <c r="E1650">
        <v>45</v>
      </c>
      <c r="F1650" t="s">
        <v>77</v>
      </c>
      <c r="G1650" t="s">
        <v>95</v>
      </c>
      <c r="H1650" t="s">
        <v>32</v>
      </c>
      <c r="I1650" t="s">
        <v>33</v>
      </c>
      <c r="J1650" t="s">
        <v>72</v>
      </c>
      <c r="K1650">
        <v>10</v>
      </c>
      <c r="L1650">
        <v>3800</v>
      </c>
      <c r="M1650">
        <v>10</v>
      </c>
      <c r="N1650">
        <v>34200</v>
      </c>
      <c r="O1650" t="s">
        <v>85</v>
      </c>
      <c r="P1650">
        <v>1</v>
      </c>
      <c r="Q1650" t="s">
        <v>41</v>
      </c>
    </row>
    <row r="1651" spans="1:17" x14ac:dyDescent="0.3">
      <c r="A1651" t="s">
        <v>2822</v>
      </c>
      <c r="B1651" t="s">
        <v>2166</v>
      </c>
      <c r="C1651" t="s">
        <v>19</v>
      </c>
      <c r="D1651" t="s">
        <v>39</v>
      </c>
      <c r="E1651">
        <v>30</v>
      </c>
      <c r="F1651" t="s">
        <v>21</v>
      </c>
      <c r="G1651" t="s">
        <v>21</v>
      </c>
      <c r="H1651" t="s">
        <v>46</v>
      </c>
      <c r="I1651" t="s">
        <v>79</v>
      </c>
      <c r="J1651" t="s">
        <v>34</v>
      </c>
      <c r="K1651">
        <v>6</v>
      </c>
      <c r="L1651">
        <v>37700</v>
      </c>
      <c r="M1651">
        <v>20</v>
      </c>
      <c r="N1651">
        <v>180960</v>
      </c>
      <c r="O1651" t="s">
        <v>25</v>
      </c>
      <c r="P1651">
        <v>4</v>
      </c>
      <c r="Q1651" t="s">
        <v>65</v>
      </c>
    </row>
    <row r="1652" spans="1:17" x14ac:dyDescent="0.3">
      <c r="A1652" t="s">
        <v>2823</v>
      </c>
      <c r="B1652" t="s">
        <v>2824</v>
      </c>
      <c r="C1652" t="s">
        <v>88</v>
      </c>
      <c r="D1652" t="s">
        <v>103</v>
      </c>
      <c r="E1652">
        <v>65</v>
      </c>
      <c r="F1652" t="s">
        <v>30</v>
      </c>
      <c r="G1652" t="s">
        <v>31</v>
      </c>
      <c r="H1652" t="s">
        <v>62</v>
      </c>
      <c r="I1652" t="s">
        <v>63</v>
      </c>
      <c r="J1652" t="s">
        <v>24</v>
      </c>
      <c r="K1652">
        <v>7</v>
      </c>
      <c r="L1652">
        <v>16300</v>
      </c>
      <c r="M1652">
        <v>25</v>
      </c>
      <c r="N1652">
        <v>85575</v>
      </c>
      <c r="O1652" t="s">
        <v>85</v>
      </c>
      <c r="P1652">
        <v>2</v>
      </c>
      <c r="Q1652" t="s">
        <v>65</v>
      </c>
    </row>
    <row r="1653" spans="1:17" x14ac:dyDescent="0.3">
      <c r="A1653" t="s">
        <v>2825</v>
      </c>
      <c r="B1653" t="s">
        <v>1223</v>
      </c>
      <c r="C1653" t="s">
        <v>121</v>
      </c>
      <c r="E1653">
        <v>22</v>
      </c>
      <c r="F1653" t="s">
        <v>77</v>
      </c>
      <c r="G1653" t="s">
        <v>95</v>
      </c>
      <c r="H1653" t="s">
        <v>22</v>
      </c>
      <c r="I1653" t="s">
        <v>23</v>
      </c>
      <c r="J1653" t="s">
        <v>80</v>
      </c>
      <c r="K1653">
        <v>5</v>
      </c>
      <c r="L1653">
        <v>16600</v>
      </c>
      <c r="M1653">
        <v>10</v>
      </c>
      <c r="N1653">
        <v>74700</v>
      </c>
      <c r="O1653" t="s">
        <v>105</v>
      </c>
      <c r="P1653">
        <v>2</v>
      </c>
      <c r="Q1653" t="s">
        <v>26</v>
      </c>
    </row>
    <row r="1654" spans="1:17" x14ac:dyDescent="0.3">
      <c r="A1654" t="s">
        <v>2826</v>
      </c>
      <c r="B1654" t="s">
        <v>2827</v>
      </c>
      <c r="C1654" t="s">
        <v>68</v>
      </c>
      <c r="D1654" t="s">
        <v>20</v>
      </c>
      <c r="E1654">
        <v>64</v>
      </c>
      <c r="F1654" t="s">
        <v>77</v>
      </c>
      <c r="G1654" t="s">
        <v>95</v>
      </c>
      <c r="H1654" t="s">
        <v>46</v>
      </c>
      <c r="I1654" t="s">
        <v>47</v>
      </c>
      <c r="J1654" t="s">
        <v>72</v>
      </c>
      <c r="K1654">
        <v>2</v>
      </c>
      <c r="L1654">
        <v>9200</v>
      </c>
      <c r="M1654">
        <v>10</v>
      </c>
      <c r="N1654">
        <v>16560</v>
      </c>
      <c r="O1654" t="s">
        <v>105</v>
      </c>
      <c r="P1654">
        <v>5</v>
      </c>
      <c r="Q1654" t="s">
        <v>74</v>
      </c>
    </row>
    <row r="1655" spans="1:17" x14ac:dyDescent="0.3">
      <c r="A1655" t="s">
        <v>2828</v>
      </c>
      <c r="B1655" t="s">
        <v>1124</v>
      </c>
      <c r="C1655" t="s">
        <v>29</v>
      </c>
      <c r="E1655">
        <v>32</v>
      </c>
      <c r="F1655" t="s">
        <v>44</v>
      </c>
      <c r="G1655" t="s">
        <v>100</v>
      </c>
      <c r="H1655" t="s">
        <v>22</v>
      </c>
      <c r="I1655" t="s">
        <v>23</v>
      </c>
      <c r="J1655" t="s">
        <v>34</v>
      </c>
      <c r="K1655">
        <v>4</v>
      </c>
      <c r="L1655">
        <v>41300</v>
      </c>
      <c r="M1655">
        <v>10</v>
      </c>
      <c r="N1655">
        <v>148680</v>
      </c>
      <c r="O1655" t="s">
        <v>40</v>
      </c>
      <c r="P1655">
        <v>1</v>
      </c>
      <c r="Q1655" t="s">
        <v>74</v>
      </c>
    </row>
    <row r="1656" spans="1:17" x14ac:dyDescent="0.3">
      <c r="A1656" t="s">
        <v>2829</v>
      </c>
      <c r="B1656" t="s">
        <v>2402</v>
      </c>
      <c r="C1656" t="s">
        <v>68</v>
      </c>
      <c r="E1656">
        <v>24</v>
      </c>
      <c r="F1656" t="s">
        <v>51</v>
      </c>
      <c r="G1656" t="s">
        <v>104</v>
      </c>
      <c r="H1656" t="s">
        <v>62</v>
      </c>
      <c r="I1656" t="s">
        <v>63</v>
      </c>
      <c r="J1656" t="s">
        <v>80</v>
      </c>
      <c r="K1656">
        <v>3</v>
      </c>
      <c r="L1656">
        <v>12100</v>
      </c>
      <c r="M1656">
        <v>15</v>
      </c>
      <c r="N1656">
        <v>30855</v>
      </c>
      <c r="O1656" t="s">
        <v>40</v>
      </c>
      <c r="P1656">
        <v>1</v>
      </c>
      <c r="Q1656" t="s">
        <v>41</v>
      </c>
    </row>
    <row r="1657" spans="1:17" x14ac:dyDescent="0.3">
      <c r="A1657" t="s">
        <v>2830</v>
      </c>
      <c r="B1657" t="s">
        <v>179</v>
      </c>
      <c r="C1657" t="s">
        <v>38</v>
      </c>
      <c r="D1657" t="s">
        <v>39</v>
      </c>
      <c r="E1657">
        <v>33</v>
      </c>
      <c r="F1657" t="s">
        <v>51</v>
      </c>
      <c r="G1657" t="s">
        <v>104</v>
      </c>
      <c r="H1657" t="s">
        <v>22</v>
      </c>
      <c r="I1657" t="s">
        <v>23</v>
      </c>
      <c r="J1657" t="s">
        <v>64</v>
      </c>
      <c r="K1657">
        <v>3</v>
      </c>
      <c r="L1657">
        <v>8100</v>
      </c>
      <c r="M1657">
        <v>15</v>
      </c>
      <c r="N1657">
        <v>20655</v>
      </c>
      <c r="O1657" t="s">
        <v>25</v>
      </c>
      <c r="P1657">
        <v>3</v>
      </c>
      <c r="Q1657" t="s">
        <v>41</v>
      </c>
    </row>
    <row r="1658" spans="1:17" x14ac:dyDescent="0.3">
      <c r="A1658" t="s">
        <v>2831</v>
      </c>
      <c r="B1658" t="s">
        <v>2832</v>
      </c>
      <c r="C1658" t="s">
        <v>94</v>
      </c>
      <c r="D1658" t="s">
        <v>83</v>
      </c>
      <c r="E1658">
        <v>32</v>
      </c>
      <c r="F1658" t="s">
        <v>21</v>
      </c>
      <c r="G1658" t="s">
        <v>21</v>
      </c>
      <c r="H1658" t="s">
        <v>22</v>
      </c>
      <c r="I1658" t="s">
        <v>84</v>
      </c>
      <c r="J1658" t="s">
        <v>34</v>
      </c>
      <c r="K1658">
        <v>9</v>
      </c>
      <c r="L1658">
        <v>42200</v>
      </c>
      <c r="M1658">
        <v>0</v>
      </c>
      <c r="N1658">
        <v>379800</v>
      </c>
      <c r="O1658" t="s">
        <v>48</v>
      </c>
      <c r="Q1658" t="s">
        <v>41</v>
      </c>
    </row>
    <row r="1659" spans="1:17" x14ac:dyDescent="0.3">
      <c r="A1659" t="s">
        <v>2833</v>
      </c>
      <c r="B1659" t="s">
        <v>522</v>
      </c>
      <c r="C1659" t="s">
        <v>88</v>
      </c>
      <c r="D1659" t="s">
        <v>39</v>
      </c>
      <c r="E1659">
        <v>54</v>
      </c>
      <c r="F1659" t="s">
        <v>30</v>
      </c>
      <c r="G1659" t="s">
        <v>31</v>
      </c>
      <c r="H1659" t="s">
        <v>62</v>
      </c>
      <c r="I1659" t="s">
        <v>63</v>
      </c>
      <c r="J1659" t="s">
        <v>64</v>
      </c>
      <c r="K1659">
        <v>10</v>
      </c>
      <c r="L1659">
        <v>35200</v>
      </c>
      <c r="M1659">
        <v>20</v>
      </c>
      <c r="N1659">
        <v>281600</v>
      </c>
      <c r="O1659" t="s">
        <v>85</v>
      </c>
      <c r="P1659">
        <v>1</v>
      </c>
      <c r="Q1659" t="s">
        <v>74</v>
      </c>
    </row>
    <row r="1660" spans="1:17" x14ac:dyDescent="0.3">
      <c r="A1660" t="s">
        <v>2834</v>
      </c>
      <c r="B1660" t="s">
        <v>985</v>
      </c>
      <c r="C1660" t="s">
        <v>68</v>
      </c>
      <c r="D1660" t="s">
        <v>83</v>
      </c>
      <c r="E1660">
        <v>58</v>
      </c>
      <c r="F1660" t="s">
        <v>61</v>
      </c>
      <c r="G1660" t="s">
        <v>61</v>
      </c>
      <c r="H1660" t="s">
        <v>22</v>
      </c>
      <c r="I1660" t="s">
        <v>84</v>
      </c>
      <c r="J1660" t="s">
        <v>24</v>
      </c>
      <c r="K1660">
        <v>9</v>
      </c>
      <c r="L1660">
        <v>41300</v>
      </c>
      <c r="M1660">
        <v>5</v>
      </c>
      <c r="N1660">
        <v>353115</v>
      </c>
      <c r="O1660" t="s">
        <v>40</v>
      </c>
      <c r="Q1660" t="s">
        <v>65</v>
      </c>
    </row>
    <row r="1661" spans="1:17" x14ac:dyDescent="0.3">
      <c r="A1661" t="s">
        <v>2835</v>
      </c>
      <c r="B1661" t="s">
        <v>193</v>
      </c>
      <c r="C1661" t="s">
        <v>29</v>
      </c>
      <c r="D1661" t="s">
        <v>20</v>
      </c>
      <c r="E1661">
        <v>37</v>
      </c>
      <c r="F1661" t="s">
        <v>21</v>
      </c>
      <c r="G1661" t="s">
        <v>21</v>
      </c>
      <c r="H1661" t="s">
        <v>22</v>
      </c>
      <c r="I1661" t="s">
        <v>84</v>
      </c>
      <c r="J1661" t="s">
        <v>24</v>
      </c>
      <c r="K1661">
        <v>9</v>
      </c>
      <c r="L1661">
        <v>46700</v>
      </c>
      <c r="M1661">
        <v>10</v>
      </c>
      <c r="N1661">
        <v>378270</v>
      </c>
      <c r="O1661" t="s">
        <v>48</v>
      </c>
      <c r="P1661">
        <v>4</v>
      </c>
      <c r="Q1661" t="s">
        <v>41</v>
      </c>
    </row>
    <row r="1662" spans="1:17" x14ac:dyDescent="0.3">
      <c r="A1662" t="s">
        <v>2836</v>
      </c>
      <c r="B1662" t="s">
        <v>2837</v>
      </c>
      <c r="C1662" t="s">
        <v>88</v>
      </c>
      <c r="E1662">
        <v>51</v>
      </c>
      <c r="F1662" t="s">
        <v>30</v>
      </c>
      <c r="G1662" t="s">
        <v>57</v>
      </c>
      <c r="H1662" t="s">
        <v>62</v>
      </c>
      <c r="I1662" t="s">
        <v>140</v>
      </c>
      <c r="J1662" t="s">
        <v>34</v>
      </c>
      <c r="K1662">
        <v>2</v>
      </c>
      <c r="L1662">
        <v>40600</v>
      </c>
      <c r="M1662">
        <v>0</v>
      </c>
      <c r="N1662">
        <v>81200</v>
      </c>
      <c r="O1662" t="s">
        <v>105</v>
      </c>
      <c r="P1662">
        <v>5</v>
      </c>
      <c r="Q1662" t="s">
        <v>65</v>
      </c>
    </row>
    <row r="1663" spans="1:17" x14ac:dyDescent="0.3">
      <c r="A1663" t="s">
        <v>2838</v>
      </c>
      <c r="B1663" t="s">
        <v>125</v>
      </c>
      <c r="C1663" t="s">
        <v>88</v>
      </c>
      <c r="D1663" t="s">
        <v>83</v>
      </c>
      <c r="E1663">
        <v>18</v>
      </c>
      <c r="F1663" t="s">
        <v>30</v>
      </c>
      <c r="G1663" t="s">
        <v>57</v>
      </c>
      <c r="H1663" t="s">
        <v>32</v>
      </c>
      <c r="I1663" t="s">
        <v>53</v>
      </c>
      <c r="J1663" t="s">
        <v>89</v>
      </c>
      <c r="K1663">
        <v>9</v>
      </c>
      <c r="L1663">
        <v>31900</v>
      </c>
      <c r="M1663">
        <v>5</v>
      </c>
      <c r="N1663">
        <v>272745</v>
      </c>
      <c r="O1663" t="s">
        <v>35</v>
      </c>
      <c r="P1663">
        <v>2</v>
      </c>
      <c r="Q1663" t="s">
        <v>65</v>
      </c>
    </row>
    <row r="1664" spans="1:17" x14ac:dyDescent="0.3">
      <c r="A1664" t="s">
        <v>2839</v>
      </c>
      <c r="B1664" t="s">
        <v>2840</v>
      </c>
      <c r="C1664" t="s">
        <v>88</v>
      </c>
      <c r="D1664" t="s">
        <v>103</v>
      </c>
      <c r="E1664">
        <v>55</v>
      </c>
      <c r="F1664" t="s">
        <v>21</v>
      </c>
      <c r="G1664" t="s">
        <v>21</v>
      </c>
      <c r="H1664" t="s">
        <v>46</v>
      </c>
      <c r="I1664" t="s">
        <v>47</v>
      </c>
      <c r="J1664" t="s">
        <v>34</v>
      </c>
      <c r="K1664">
        <v>6</v>
      </c>
      <c r="L1664">
        <v>44500</v>
      </c>
      <c r="M1664">
        <v>25</v>
      </c>
      <c r="N1664">
        <v>200250</v>
      </c>
      <c r="O1664" t="s">
        <v>40</v>
      </c>
      <c r="Q1664" t="s">
        <v>74</v>
      </c>
    </row>
    <row r="1665" spans="1:17" x14ac:dyDescent="0.3">
      <c r="A1665" t="s">
        <v>2841</v>
      </c>
      <c r="B1665" t="s">
        <v>948</v>
      </c>
      <c r="C1665" t="s">
        <v>29</v>
      </c>
      <c r="E1665">
        <v>62</v>
      </c>
      <c r="F1665" t="s">
        <v>51</v>
      </c>
      <c r="G1665" t="s">
        <v>52</v>
      </c>
      <c r="H1665" t="s">
        <v>62</v>
      </c>
      <c r="I1665" t="s">
        <v>140</v>
      </c>
      <c r="J1665" t="s">
        <v>64</v>
      </c>
      <c r="K1665">
        <v>6</v>
      </c>
      <c r="L1665">
        <v>15000</v>
      </c>
      <c r="M1665">
        <v>10</v>
      </c>
      <c r="N1665">
        <v>81000</v>
      </c>
      <c r="O1665" t="s">
        <v>25</v>
      </c>
      <c r="P1665">
        <v>3</v>
      </c>
      <c r="Q1665" t="s">
        <v>26</v>
      </c>
    </row>
    <row r="1666" spans="1:17" x14ac:dyDescent="0.3">
      <c r="A1666" t="s">
        <v>2842</v>
      </c>
      <c r="B1666" t="s">
        <v>2843</v>
      </c>
      <c r="C1666" t="s">
        <v>113</v>
      </c>
      <c r="D1666" t="s">
        <v>20</v>
      </c>
      <c r="E1666">
        <v>55</v>
      </c>
      <c r="F1666" t="s">
        <v>44</v>
      </c>
      <c r="G1666" t="s">
        <v>45</v>
      </c>
      <c r="H1666" t="s">
        <v>62</v>
      </c>
      <c r="I1666" t="s">
        <v>140</v>
      </c>
      <c r="J1666" t="s">
        <v>72</v>
      </c>
      <c r="K1666">
        <v>1</v>
      </c>
      <c r="L1666">
        <v>18600</v>
      </c>
      <c r="M1666">
        <v>10</v>
      </c>
      <c r="N1666">
        <v>16740</v>
      </c>
      <c r="O1666" t="s">
        <v>48</v>
      </c>
      <c r="P1666">
        <v>3</v>
      </c>
      <c r="Q1666" t="s">
        <v>41</v>
      </c>
    </row>
    <row r="1667" spans="1:17" x14ac:dyDescent="0.3">
      <c r="A1667" t="s">
        <v>2844</v>
      </c>
      <c r="B1667" t="s">
        <v>2845</v>
      </c>
      <c r="C1667" t="s">
        <v>60</v>
      </c>
      <c r="D1667" t="s">
        <v>20</v>
      </c>
      <c r="E1667">
        <v>38</v>
      </c>
      <c r="F1667" t="s">
        <v>30</v>
      </c>
      <c r="G1667" t="s">
        <v>31</v>
      </c>
      <c r="H1667" t="s">
        <v>46</v>
      </c>
      <c r="I1667" t="s">
        <v>47</v>
      </c>
      <c r="J1667" t="s">
        <v>89</v>
      </c>
      <c r="K1667">
        <v>7</v>
      </c>
      <c r="L1667">
        <v>30600</v>
      </c>
      <c r="M1667">
        <v>15</v>
      </c>
      <c r="N1667">
        <v>182070</v>
      </c>
      <c r="O1667" t="s">
        <v>25</v>
      </c>
      <c r="Q1667" t="s">
        <v>41</v>
      </c>
    </row>
    <row r="1668" spans="1:17" x14ac:dyDescent="0.3">
      <c r="A1668" t="s">
        <v>2846</v>
      </c>
      <c r="B1668" t="s">
        <v>2750</v>
      </c>
      <c r="C1668" t="s">
        <v>60</v>
      </c>
      <c r="D1668" t="s">
        <v>83</v>
      </c>
      <c r="E1668">
        <v>22</v>
      </c>
      <c r="F1668" t="s">
        <v>461</v>
      </c>
      <c r="G1668" t="s">
        <v>21</v>
      </c>
      <c r="H1668" t="s">
        <v>62</v>
      </c>
      <c r="I1668" t="s">
        <v>140</v>
      </c>
      <c r="J1668" t="s">
        <v>34</v>
      </c>
      <c r="K1668">
        <v>7</v>
      </c>
      <c r="L1668">
        <v>41600</v>
      </c>
      <c r="M1668">
        <v>10</v>
      </c>
      <c r="N1668">
        <v>262080</v>
      </c>
      <c r="O1668" t="s">
        <v>40</v>
      </c>
      <c r="Q1668" t="s">
        <v>26</v>
      </c>
    </row>
    <row r="1669" spans="1:17" x14ac:dyDescent="0.3">
      <c r="A1669" t="s">
        <v>2847</v>
      </c>
      <c r="B1669" t="s">
        <v>797</v>
      </c>
      <c r="C1669" t="s">
        <v>38</v>
      </c>
      <c r="E1669">
        <v>55</v>
      </c>
      <c r="F1669" t="s">
        <v>51</v>
      </c>
      <c r="G1669" t="s">
        <v>52</v>
      </c>
      <c r="H1669" t="s">
        <v>22</v>
      </c>
      <c r="I1669" t="s">
        <v>84</v>
      </c>
      <c r="J1669" t="s">
        <v>34</v>
      </c>
      <c r="K1669">
        <v>9</v>
      </c>
      <c r="L1669">
        <v>32500</v>
      </c>
      <c r="M1669">
        <v>5</v>
      </c>
      <c r="N1669">
        <v>277875</v>
      </c>
      <c r="O1669" t="s">
        <v>48</v>
      </c>
      <c r="P1669">
        <v>3</v>
      </c>
      <c r="Q1669" t="s">
        <v>26</v>
      </c>
    </row>
    <row r="1670" spans="1:17" x14ac:dyDescent="0.3">
      <c r="A1670" t="s">
        <v>2848</v>
      </c>
      <c r="B1670" t="s">
        <v>2849</v>
      </c>
      <c r="C1670" t="s">
        <v>19</v>
      </c>
      <c r="D1670" t="s">
        <v>39</v>
      </c>
      <c r="E1670">
        <v>36</v>
      </c>
      <c r="F1670" t="s">
        <v>61</v>
      </c>
      <c r="G1670" t="s">
        <v>61</v>
      </c>
      <c r="H1670" t="s">
        <v>22</v>
      </c>
      <c r="I1670" t="s">
        <v>84</v>
      </c>
      <c r="J1670" t="s">
        <v>34</v>
      </c>
      <c r="K1670">
        <v>7</v>
      </c>
      <c r="L1670">
        <v>40000</v>
      </c>
      <c r="M1670">
        <v>25</v>
      </c>
      <c r="N1670">
        <v>210000</v>
      </c>
      <c r="O1670" t="s">
        <v>40</v>
      </c>
      <c r="P1670">
        <v>1</v>
      </c>
      <c r="Q1670" t="s">
        <v>41</v>
      </c>
    </row>
    <row r="1671" spans="1:17" x14ac:dyDescent="0.3">
      <c r="A1671" t="s">
        <v>2850</v>
      </c>
      <c r="B1671" t="s">
        <v>2851</v>
      </c>
      <c r="C1671" t="s">
        <v>88</v>
      </c>
      <c r="D1671" t="s">
        <v>20</v>
      </c>
      <c r="E1671">
        <v>50</v>
      </c>
      <c r="F1671" t="s">
        <v>51</v>
      </c>
      <c r="G1671" t="s">
        <v>52</v>
      </c>
      <c r="H1671" t="s">
        <v>62</v>
      </c>
      <c r="I1671" t="s">
        <v>140</v>
      </c>
      <c r="J1671" t="s">
        <v>72</v>
      </c>
      <c r="K1671">
        <v>2</v>
      </c>
      <c r="L1671">
        <v>41100</v>
      </c>
      <c r="M1671">
        <v>10</v>
      </c>
      <c r="N1671">
        <v>73980</v>
      </c>
      <c r="O1671" t="s">
        <v>35</v>
      </c>
      <c r="P1671">
        <v>1</v>
      </c>
      <c r="Q1671" t="s">
        <v>74</v>
      </c>
    </row>
    <row r="1672" spans="1:17" x14ac:dyDescent="0.3">
      <c r="A1672" t="s">
        <v>2852</v>
      </c>
      <c r="B1672" t="s">
        <v>2235</v>
      </c>
      <c r="C1672" t="s">
        <v>60</v>
      </c>
      <c r="D1672" t="s">
        <v>39</v>
      </c>
      <c r="E1672">
        <v>46</v>
      </c>
      <c r="F1672" t="s">
        <v>30</v>
      </c>
      <c r="G1672" t="s">
        <v>57</v>
      </c>
      <c r="H1672" t="s">
        <v>32</v>
      </c>
      <c r="I1672" t="s">
        <v>53</v>
      </c>
      <c r="J1672" t="s">
        <v>89</v>
      </c>
      <c r="K1672">
        <v>8</v>
      </c>
      <c r="L1672">
        <v>13800</v>
      </c>
      <c r="M1672">
        <v>0</v>
      </c>
      <c r="N1672">
        <v>110400</v>
      </c>
      <c r="O1672" t="s">
        <v>73</v>
      </c>
      <c r="Q1672" t="s">
        <v>26</v>
      </c>
    </row>
    <row r="1673" spans="1:17" x14ac:dyDescent="0.3">
      <c r="A1673" t="s">
        <v>2853</v>
      </c>
      <c r="B1673" t="s">
        <v>2854</v>
      </c>
      <c r="C1673" t="s">
        <v>60</v>
      </c>
      <c r="D1673" t="s">
        <v>103</v>
      </c>
      <c r="E1673">
        <v>32</v>
      </c>
      <c r="F1673" t="s">
        <v>30</v>
      </c>
      <c r="G1673" t="s">
        <v>31</v>
      </c>
      <c r="H1673" t="s">
        <v>62</v>
      </c>
      <c r="I1673" t="s">
        <v>63</v>
      </c>
      <c r="J1673" t="s">
        <v>24</v>
      </c>
      <c r="K1673">
        <v>2</v>
      </c>
      <c r="L1673">
        <v>16100</v>
      </c>
      <c r="M1673">
        <v>20</v>
      </c>
      <c r="N1673">
        <v>25760</v>
      </c>
      <c r="O1673" t="s">
        <v>73</v>
      </c>
      <c r="P1673">
        <v>3</v>
      </c>
      <c r="Q1673" t="s">
        <v>26</v>
      </c>
    </row>
    <row r="1674" spans="1:17" x14ac:dyDescent="0.3">
      <c r="A1674" t="s">
        <v>2855</v>
      </c>
      <c r="B1674" t="s">
        <v>2561</v>
      </c>
      <c r="C1674" t="s">
        <v>68</v>
      </c>
      <c r="D1674" t="s">
        <v>20</v>
      </c>
      <c r="E1674">
        <v>41</v>
      </c>
      <c r="F1674" t="s">
        <v>77</v>
      </c>
      <c r="G1674" t="s">
        <v>95</v>
      </c>
      <c r="H1674" t="s">
        <v>62</v>
      </c>
      <c r="I1674" t="s">
        <v>140</v>
      </c>
      <c r="J1674" t="s">
        <v>24</v>
      </c>
      <c r="K1674">
        <v>7</v>
      </c>
      <c r="L1674">
        <v>42900</v>
      </c>
      <c r="M1674">
        <v>15</v>
      </c>
      <c r="N1674">
        <v>255255</v>
      </c>
      <c r="O1674" t="s">
        <v>25</v>
      </c>
      <c r="P1674">
        <v>1</v>
      </c>
      <c r="Q1674" t="s">
        <v>26</v>
      </c>
    </row>
    <row r="1675" spans="1:17" x14ac:dyDescent="0.3">
      <c r="A1675" t="s">
        <v>2856</v>
      </c>
      <c r="B1675" t="s">
        <v>2773</v>
      </c>
      <c r="C1675" t="s">
        <v>19</v>
      </c>
      <c r="D1675" t="s">
        <v>20</v>
      </c>
      <c r="E1675">
        <v>28</v>
      </c>
      <c r="F1675" t="s">
        <v>51</v>
      </c>
      <c r="G1675" t="s">
        <v>104</v>
      </c>
      <c r="H1675" t="s">
        <v>22</v>
      </c>
      <c r="I1675" t="s">
        <v>84</v>
      </c>
      <c r="J1675" t="s">
        <v>24</v>
      </c>
      <c r="K1675">
        <v>2</v>
      </c>
      <c r="L1675">
        <v>19000</v>
      </c>
      <c r="M1675">
        <v>20</v>
      </c>
      <c r="N1675">
        <v>30400</v>
      </c>
      <c r="O1675" t="s">
        <v>105</v>
      </c>
      <c r="Q1675" t="s">
        <v>26</v>
      </c>
    </row>
    <row r="1676" spans="1:17" x14ac:dyDescent="0.3">
      <c r="A1676" t="s">
        <v>2857</v>
      </c>
      <c r="B1676" t="s">
        <v>1622</v>
      </c>
      <c r="C1676" t="s">
        <v>71</v>
      </c>
      <c r="D1676" t="s">
        <v>103</v>
      </c>
      <c r="E1676">
        <v>53</v>
      </c>
      <c r="F1676" t="s">
        <v>30</v>
      </c>
      <c r="G1676" t="s">
        <v>31</v>
      </c>
      <c r="H1676" t="s">
        <v>62</v>
      </c>
      <c r="I1676" t="s">
        <v>140</v>
      </c>
      <c r="J1676" t="s">
        <v>89</v>
      </c>
      <c r="K1676">
        <v>9</v>
      </c>
      <c r="L1676">
        <v>6600</v>
      </c>
      <c r="M1676">
        <v>5</v>
      </c>
      <c r="N1676">
        <v>56430</v>
      </c>
      <c r="O1676" t="s">
        <v>105</v>
      </c>
      <c r="Q1676" t="s">
        <v>41</v>
      </c>
    </row>
    <row r="1677" spans="1:17" x14ac:dyDescent="0.3">
      <c r="A1677" t="s">
        <v>2858</v>
      </c>
      <c r="B1677" t="s">
        <v>2859</v>
      </c>
      <c r="C1677" t="s">
        <v>19</v>
      </c>
      <c r="D1677" t="s">
        <v>39</v>
      </c>
      <c r="E1677">
        <v>53</v>
      </c>
      <c r="F1677" t="s">
        <v>44</v>
      </c>
      <c r="G1677" t="s">
        <v>100</v>
      </c>
      <c r="H1677" t="s">
        <v>32</v>
      </c>
      <c r="I1677" t="s">
        <v>53</v>
      </c>
      <c r="J1677" t="s">
        <v>72</v>
      </c>
      <c r="K1677">
        <v>8</v>
      </c>
      <c r="L1677">
        <v>12800</v>
      </c>
      <c r="M1677">
        <v>20</v>
      </c>
      <c r="N1677">
        <v>81920</v>
      </c>
      <c r="O1677" t="s">
        <v>25</v>
      </c>
      <c r="Q1677" t="s">
        <v>65</v>
      </c>
    </row>
    <row r="1678" spans="1:17" x14ac:dyDescent="0.3">
      <c r="A1678" t="s">
        <v>2860</v>
      </c>
      <c r="B1678" t="s">
        <v>509</v>
      </c>
      <c r="C1678" t="s">
        <v>38</v>
      </c>
      <c r="E1678">
        <v>28</v>
      </c>
      <c r="F1678" t="s">
        <v>77</v>
      </c>
      <c r="G1678" t="s">
        <v>78</v>
      </c>
      <c r="H1678" t="s">
        <v>32</v>
      </c>
      <c r="I1678" t="s">
        <v>33</v>
      </c>
      <c r="J1678" t="s">
        <v>72</v>
      </c>
      <c r="K1678">
        <v>6</v>
      </c>
      <c r="L1678">
        <v>42800</v>
      </c>
      <c r="M1678">
        <v>0</v>
      </c>
      <c r="N1678">
        <v>256800</v>
      </c>
      <c r="O1678" t="s">
        <v>25</v>
      </c>
      <c r="P1678">
        <v>5</v>
      </c>
      <c r="Q1678" t="s">
        <v>41</v>
      </c>
    </row>
    <row r="1679" spans="1:17" x14ac:dyDescent="0.3">
      <c r="A1679" t="s">
        <v>2861</v>
      </c>
      <c r="B1679" t="s">
        <v>2862</v>
      </c>
      <c r="C1679" t="s">
        <v>38</v>
      </c>
      <c r="D1679" t="s">
        <v>83</v>
      </c>
      <c r="E1679">
        <v>52</v>
      </c>
      <c r="F1679" t="s">
        <v>30</v>
      </c>
      <c r="G1679" t="s">
        <v>31</v>
      </c>
      <c r="H1679" t="s">
        <v>32</v>
      </c>
      <c r="I1679" t="s">
        <v>53</v>
      </c>
      <c r="J1679" t="s">
        <v>72</v>
      </c>
      <c r="K1679">
        <v>6</v>
      </c>
      <c r="L1679">
        <v>27700</v>
      </c>
      <c r="M1679">
        <v>25</v>
      </c>
      <c r="N1679">
        <v>124650</v>
      </c>
      <c r="O1679" t="s">
        <v>48</v>
      </c>
      <c r="P1679">
        <v>3</v>
      </c>
      <c r="Q1679" t="s">
        <v>26</v>
      </c>
    </row>
    <row r="1680" spans="1:17" x14ac:dyDescent="0.3">
      <c r="A1680" t="s">
        <v>2863</v>
      </c>
      <c r="B1680" t="s">
        <v>2864</v>
      </c>
      <c r="C1680" t="s">
        <v>94</v>
      </c>
      <c r="D1680" t="s">
        <v>20</v>
      </c>
      <c r="E1680">
        <v>20</v>
      </c>
      <c r="F1680" t="s">
        <v>44</v>
      </c>
      <c r="G1680" t="s">
        <v>100</v>
      </c>
      <c r="H1680" t="s">
        <v>431</v>
      </c>
      <c r="I1680" t="s">
        <v>79</v>
      </c>
      <c r="J1680" t="s">
        <v>72</v>
      </c>
      <c r="K1680">
        <v>4</v>
      </c>
      <c r="L1680">
        <v>2700</v>
      </c>
      <c r="M1680">
        <v>15</v>
      </c>
      <c r="N1680">
        <v>9180</v>
      </c>
      <c r="O1680" t="s">
        <v>105</v>
      </c>
      <c r="Q1680" t="s">
        <v>65</v>
      </c>
    </row>
    <row r="1681" spans="1:17" x14ac:dyDescent="0.3">
      <c r="A1681" t="s">
        <v>2865</v>
      </c>
      <c r="B1681" t="s">
        <v>2866</v>
      </c>
      <c r="C1681" t="s">
        <v>38</v>
      </c>
      <c r="D1681" t="s">
        <v>83</v>
      </c>
      <c r="E1681">
        <v>38</v>
      </c>
      <c r="F1681" t="s">
        <v>21</v>
      </c>
      <c r="G1681" t="s">
        <v>21</v>
      </c>
      <c r="H1681" t="s">
        <v>46</v>
      </c>
      <c r="I1681" t="s">
        <v>79</v>
      </c>
      <c r="J1681" t="s">
        <v>64</v>
      </c>
      <c r="K1681">
        <v>4</v>
      </c>
      <c r="L1681">
        <v>34300</v>
      </c>
      <c r="M1681">
        <v>0</v>
      </c>
      <c r="N1681">
        <v>137200</v>
      </c>
      <c r="O1681" t="s">
        <v>85</v>
      </c>
      <c r="Q1681" t="s">
        <v>65</v>
      </c>
    </row>
    <row r="1682" spans="1:17" x14ac:dyDescent="0.3">
      <c r="A1682" t="s">
        <v>2867</v>
      </c>
      <c r="B1682" t="s">
        <v>513</v>
      </c>
      <c r="C1682" t="s">
        <v>29</v>
      </c>
      <c r="D1682" t="s">
        <v>20</v>
      </c>
      <c r="E1682">
        <v>56</v>
      </c>
      <c r="F1682" t="s">
        <v>21</v>
      </c>
      <c r="G1682" t="s">
        <v>21</v>
      </c>
      <c r="H1682" t="s">
        <v>32</v>
      </c>
      <c r="I1682" t="s">
        <v>33</v>
      </c>
      <c r="J1682" t="s">
        <v>34</v>
      </c>
      <c r="K1682">
        <v>9</v>
      </c>
      <c r="L1682">
        <v>22900</v>
      </c>
      <c r="M1682">
        <v>20</v>
      </c>
      <c r="N1682">
        <v>164880</v>
      </c>
      <c r="O1682" t="s">
        <v>25</v>
      </c>
      <c r="P1682">
        <v>1</v>
      </c>
      <c r="Q1682" t="s">
        <v>65</v>
      </c>
    </row>
    <row r="1683" spans="1:17" x14ac:dyDescent="0.3">
      <c r="A1683" t="s">
        <v>2868</v>
      </c>
      <c r="B1683" t="s">
        <v>534</v>
      </c>
      <c r="C1683" t="s">
        <v>71</v>
      </c>
      <c r="D1683" t="s">
        <v>83</v>
      </c>
      <c r="E1683">
        <v>59</v>
      </c>
      <c r="F1683" t="s">
        <v>503</v>
      </c>
      <c r="G1683" t="s">
        <v>57</v>
      </c>
      <c r="H1683" t="s">
        <v>32</v>
      </c>
      <c r="I1683" t="s">
        <v>53</v>
      </c>
      <c r="J1683" t="s">
        <v>34</v>
      </c>
      <c r="K1683">
        <v>9</v>
      </c>
      <c r="L1683">
        <v>13700</v>
      </c>
      <c r="M1683">
        <v>25</v>
      </c>
      <c r="N1683">
        <v>92475</v>
      </c>
      <c r="O1683" t="s">
        <v>25</v>
      </c>
      <c r="Q1683" t="s">
        <v>41</v>
      </c>
    </row>
    <row r="1684" spans="1:17" x14ac:dyDescent="0.3">
      <c r="A1684" t="s">
        <v>2869</v>
      </c>
      <c r="B1684" t="s">
        <v>2132</v>
      </c>
      <c r="C1684" t="s">
        <v>88</v>
      </c>
      <c r="D1684" t="s">
        <v>20</v>
      </c>
      <c r="E1684">
        <v>37</v>
      </c>
      <c r="F1684" t="s">
        <v>21</v>
      </c>
      <c r="G1684" t="s">
        <v>21</v>
      </c>
      <c r="H1684" t="s">
        <v>32</v>
      </c>
      <c r="I1684" t="s">
        <v>53</v>
      </c>
      <c r="J1684" t="s">
        <v>34</v>
      </c>
      <c r="K1684">
        <v>3</v>
      </c>
      <c r="L1684">
        <v>28600</v>
      </c>
      <c r="M1684">
        <v>0</v>
      </c>
      <c r="N1684">
        <v>85800</v>
      </c>
      <c r="O1684" t="s">
        <v>35</v>
      </c>
      <c r="P1684">
        <v>3</v>
      </c>
      <c r="Q1684" t="s">
        <v>41</v>
      </c>
    </row>
    <row r="1685" spans="1:17" x14ac:dyDescent="0.3">
      <c r="A1685" t="s">
        <v>2870</v>
      </c>
      <c r="B1685" t="s">
        <v>2871</v>
      </c>
      <c r="C1685" t="s">
        <v>60</v>
      </c>
      <c r="D1685" t="s">
        <v>20</v>
      </c>
      <c r="E1685">
        <v>31</v>
      </c>
      <c r="F1685" t="s">
        <v>44</v>
      </c>
      <c r="G1685" t="s">
        <v>45</v>
      </c>
      <c r="H1685" t="s">
        <v>46</v>
      </c>
      <c r="I1685" t="s">
        <v>47</v>
      </c>
      <c r="J1685" t="s">
        <v>72</v>
      </c>
      <c r="K1685">
        <v>9</v>
      </c>
      <c r="L1685">
        <v>35100</v>
      </c>
      <c r="M1685">
        <v>10</v>
      </c>
      <c r="N1685">
        <v>284310</v>
      </c>
      <c r="O1685" t="s">
        <v>73</v>
      </c>
      <c r="P1685">
        <v>1</v>
      </c>
      <c r="Q1685" t="s">
        <v>65</v>
      </c>
    </row>
    <row r="1686" spans="1:17" x14ac:dyDescent="0.3">
      <c r="A1686" t="s">
        <v>2872</v>
      </c>
      <c r="B1686" t="s">
        <v>2873</v>
      </c>
      <c r="C1686" t="s">
        <v>68</v>
      </c>
      <c r="D1686" t="s">
        <v>39</v>
      </c>
      <c r="E1686">
        <v>46</v>
      </c>
      <c r="F1686" t="s">
        <v>277</v>
      </c>
      <c r="G1686" t="s">
        <v>45</v>
      </c>
      <c r="H1686" t="s">
        <v>46</v>
      </c>
      <c r="I1686" t="s">
        <v>47</v>
      </c>
      <c r="J1686" t="s">
        <v>72</v>
      </c>
      <c r="K1686">
        <v>1</v>
      </c>
      <c r="L1686">
        <v>49600</v>
      </c>
      <c r="M1686">
        <v>0</v>
      </c>
      <c r="N1686">
        <v>49600</v>
      </c>
      <c r="O1686" t="s">
        <v>85</v>
      </c>
      <c r="Q1686" t="s">
        <v>65</v>
      </c>
    </row>
    <row r="1687" spans="1:17" x14ac:dyDescent="0.3">
      <c r="A1687" t="s">
        <v>2874</v>
      </c>
      <c r="B1687" t="s">
        <v>2875</v>
      </c>
      <c r="C1687" t="s">
        <v>88</v>
      </c>
      <c r="D1687" t="s">
        <v>103</v>
      </c>
      <c r="E1687">
        <v>47</v>
      </c>
      <c r="F1687" t="s">
        <v>21</v>
      </c>
      <c r="G1687" t="s">
        <v>21</v>
      </c>
      <c r="H1687" t="s">
        <v>62</v>
      </c>
      <c r="I1687" t="s">
        <v>63</v>
      </c>
      <c r="J1687" t="s">
        <v>64</v>
      </c>
      <c r="K1687">
        <v>7</v>
      </c>
      <c r="L1687">
        <v>46100</v>
      </c>
      <c r="M1687">
        <v>10</v>
      </c>
      <c r="N1687">
        <v>290430</v>
      </c>
      <c r="O1687" t="s">
        <v>85</v>
      </c>
      <c r="P1687">
        <v>4</v>
      </c>
      <c r="Q1687" t="s">
        <v>41</v>
      </c>
    </row>
    <row r="1688" spans="1:17" x14ac:dyDescent="0.3">
      <c r="A1688" t="s">
        <v>2876</v>
      </c>
      <c r="B1688" t="s">
        <v>799</v>
      </c>
      <c r="C1688" t="s">
        <v>113</v>
      </c>
      <c r="E1688">
        <v>30</v>
      </c>
      <c r="F1688" t="s">
        <v>77</v>
      </c>
      <c r="G1688" t="s">
        <v>78</v>
      </c>
      <c r="H1688" t="s">
        <v>46</v>
      </c>
      <c r="I1688" t="s">
        <v>79</v>
      </c>
      <c r="J1688" t="s">
        <v>34</v>
      </c>
      <c r="K1688">
        <v>5</v>
      </c>
      <c r="L1688">
        <v>6400</v>
      </c>
      <c r="M1688">
        <v>0</v>
      </c>
      <c r="N1688">
        <v>32000</v>
      </c>
      <c r="O1688" t="s">
        <v>35</v>
      </c>
      <c r="P1688">
        <v>1</v>
      </c>
      <c r="Q1688" t="s">
        <v>74</v>
      </c>
    </row>
    <row r="1689" spans="1:17" x14ac:dyDescent="0.3">
      <c r="A1689" t="s">
        <v>2877</v>
      </c>
      <c r="B1689" t="s">
        <v>358</v>
      </c>
      <c r="C1689" t="s">
        <v>19</v>
      </c>
      <c r="D1689" t="s">
        <v>20</v>
      </c>
      <c r="E1689">
        <v>-3</v>
      </c>
      <c r="F1689" t="s">
        <v>77</v>
      </c>
      <c r="G1689" t="s">
        <v>78</v>
      </c>
      <c r="H1689" t="s">
        <v>32</v>
      </c>
      <c r="I1689" t="s">
        <v>33</v>
      </c>
      <c r="J1689" t="s">
        <v>64</v>
      </c>
      <c r="K1689">
        <v>4</v>
      </c>
      <c r="L1689">
        <v>49000</v>
      </c>
      <c r="M1689">
        <v>10</v>
      </c>
      <c r="N1689">
        <v>176400</v>
      </c>
      <c r="O1689" t="s">
        <v>48</v>
      </c>
      <c r="P1689">
        <v>5</v>
      </c>
      <c r="Q1689" t="s">
        <v>65</v>
      </c>
    </row>
    <row r="1690" spans="1:17" x14ac:dyDescent="0.3">
      <c r="A1690" t="s">
        <v>2878</v>
      </c>
      <c r="B1690" t="s">
        <v>2879</v>
      </c>
      <c r="C1690" t="s">
        <v>68</v>
      </c>
      <c r="D1690" t="s">
        <v>20</v>
      </c>
      <c r="E1690">
        <v>50</v>
      </c>
      <c r="F1690" t="s">
        <v>21</v>
      </c>
      <c r="G1690" t="s">
        <v>21</v>
      </c>
      <c r="H1690" t="s">
        <v>62</v>
      </c>
      <c r="I1690" t="s">
        <v>63</v>
      </c>
      <c r="J1690" t="s">
        <v>34</v>
      </c>
      <c r="K1690">
        <v>7</v>
      </c>
      <c r="L1690">
        <v>25800</v>
      </c>
      <c r="M1690">
        <v>20</v>
      </c>
      <c r="N1690">
        <v>144480</v>
      </c>
      <c r="O1690" t="s">
        <v>40</v>
      </c>
      <c r="P1690">
        <v>1</v>
      </c>
      <c r="Q1690" t="s">
        <v>26</v>
      </c>
    </row>
    <row r="1691" spans="1:17" x14ac:dyDescent="0.3">
      <c r="A1691" t="s">
        <v>2880</v>
      </c>
      <c r="B1691" t="s">
        <v>424</v>
      </c>
      <c r="C1691" t="s">
        <v>121</v>
      </c>
      <c r="D1691" t="s">
        <v>39</v>
      </c>
      <c r="E1691">
        <v>25</v>
      </c>
      <c r="F1691" t="s">
        <v>30</v>
      </c>
      <c r="G1691" t="s">
        <v>31</v>
      </c>
      <c r="H1691" t="s">
        <v>62</v>
      </c>
      <c r="I1691" t="s">
        <v>140</v>
      </c>
      <c r="J1691" t="s">
        <v>89</v>
      </c>
      <c r="K1691">
        <v>8</v>
      </c>
      <c r="L1691">
        <v>34300</v>
      </c>
      <c r="M1691">
        <v>25</v>
      </c>
      <c r="N1691">
        <v>205800</v>
      </c>
      <c r="O1691" t="s">
        <v>25</v>
      </c>
      <c r="P1691">
        <v>4</v>
      </c>
      <c r="Q1691" t="s">
        <v>26</v>
      </c>
    </row>
    <row r="1692" spans="1:17" x14ac:dyDescent="0.3">
      <c r="A1692" t="s">
        <v>2881</v>
      </c>
      <c r="B1692" t="s">
        <v>1639</v>
      </c>
      <c r="C1692" t="s">
        <v>38</v>
      </c>
      <c r="D1692" t="s">
        <v>83</v>
      </c>
      <c r="E1692">
        <v>59</v>
      </c>
      <c r="F1692" t="s">
        <v>61</v>
      </c>
      <c r="G1692" t="s">
        <v>61</v>
      </c>
      <c r="H1692" t="s">
        <v>62</v>
      </c>
      <c r="I1692" t="s">
        <v>63</v>
      </c>
      <c r="J1692" t="s">
        <v>24</v>
      </c>
      <c r="K1692">
        <v>5</v>
      </c>
      <c r="L1692">
        <v>35700</v>
      </c>
      <c r="M1692">
        <v>15</v>
      </c>
      <c r="N1692">
        <v>151725</v>
      </c>
      <c r="O1692" t="s">
        <v>35</v>
      </c>
      <c r="Q1692" t="s">
        <v>74</v>
      </c>
    </row>
    <row r="1693" spans="1:17" x14ac:dyDescent="0.3">
      <c r="A1693" t="s">
        <v>2882</v>
      </c>
      <c r="B1693" t="s">
        <v>1916</v>
      </c>
      <c r="C1693" t="s">
        <v>94</v>
      </c>
      <c r="D1693" t="s">
        <v>39</v>
      </c>
      <c r="E1693">
        <v>18</v>
      </c>
      <c r="F1693" t="s">
        <v>30</v>
      </c>
      <c r="G1693" t="s">
        <v>31</v>
      </c>
      <c r="H1693" t="s">
        <v>62</v>
      </c>
      <c r="I1693" t="s">
        <v>63</v>
      </c>
      <c r="J1693" t="s">
        <v>34</v>
      </c>
      <c r="K1693">
        <v>7</v>
      </c>
      <c r="L1693">
        <v>22900</v>
      </c>
      <c r="M1693">
        <v>5</v>
      </c>
      <c r="N1693">
        <v>152285</v>
      </c>
      <c r="O1693" t="s">
        <v>40</v>
      </c>
      <c r="Q1693" t="s">
        <v>74</v>
      </c>
    </row>
    <row r="1694" spans="1:17" x14ac:dyDescent="0.3">
      <c r="A1694" t="s">
        <v>2883</v>
      </c>
      <c r="B1694" t="s">
        <v>1862</v>
      </c>
      <c r="C1694" t="s">
        <v>121</v>
      </c>
      <c r="D1694" t="s">
        <v>39</v>
      </c>
      <c r="E1694">
        <v>48</v>
      </c>
      <c r="F1694" t="s">
        <v>61</v>
      </c>
      <c r="G1694" t="s">
        <v>61</v>
      </c>
      <c r="H1694" t="s">
        <v>32</v>
      </c>
      <c r="I1694" t="s">
        <v>33</v>
      </c>
      <c r="J1694" t="s">
        <v>34</v>
      </c>
      <c r="K1694">
        <v>8</v>
      </c>
      <c r="L1694">
        <v>46600</v>
      </c>
      <c r="M1694">
        <v>5</v>
      </c>
      <c r="N1694">
        <v>354160</v>
      </c>
      <c r="O1694" t="s">
        <v>40</v>
      </c>
      <c r="P1694">
        <v>4</v>
      </c>
      <c r="Q1694" t="s">
        <v>74</v>
      </c>
    </row>
    <row r="1695" spans="1:17" x14ac:dyDescent="0.3">
      <c r="A1695" t="s">
        <v>2884</v>
      </c>
      <c r="B1695" t="s">
        <v>1776</v>
      </c>
      <c r="C1695" t="s">
        <v>19</v>
      </c>
      <c r="D1695" t="s">
        <v>103</v>
      </c>
      <c r="E1695">
        <v>45</v>
      </c>
      <c r="F1695" t="s">
        <v>30</v>
      </c>
      <c r="G1695" t="s">
        <v>57</v>
      </c>
      <c r="H1695" t="s">
        <v>62</v>
      </c>
      <c r="I1695" t="s">
        <v>63</v>
      </c>
      <c r="J1695" t="s">
        <v>72</v>
      </c>
      <c r="K1695">
        <v>1</v>
      </c>
      <c r="L1695">
        <v>41300</v>
      </c>
      <c r="M1695">
        <v>5</v>
      </c>
      <c r="N1695" t="s">
        <v>2885</v>
      </c>
      <c r="O1695" t="s">
        <v>48</v>
      </c>
      <c r="P1695">
        <v>1</v>
      </c>
      <c r="Q1695" t="s">
        <v>65</v>
      </c>
    </row>
    <row r="1696" spans="1:17" x14ac:dyDescent="0.3">
      <c r="A1696" t="s">
        <v>2886</v>
      </c>
      <c r="B1696" t="s">
        <v>496</v>
      </c>
      <c r="C1696" t="s">
        <v>71</v>
      </c>
      <c r="E1696">
        <v>48</v>
      </c>
      <c r="F1696" t="s">
        <v>21</v>
      </c>
      <c r="G1696" t="s">
        <v>21</v>
      </c>
      <c r="H1696" t="s">
        <v>46</v>
      </c>
      <c r="I1696" t="s">
        <v>47</v>
      </c>
      <c r="J1696" t="s">
        <v>89</v>
      </c>
      <c r="K1696">
        <v>7</v>
      </c>
      <c r="L1696">
        <v>5700</v>
      </c>
      <c r="M1696">
        <v>15</v>
      </c>
      <c r="N1696">
        <v>33915</v>
      </c>
      <c r="O1696" t="s">
        <v>25</v>
      </c>
      <c r="P1696">
        <v>4</v>
      </c>
      <c r="Q1696" t="s">
        <v>65</v>
      </c>
    </row>
    <row r="1697" spans="1:17" x14ac:dyDescent="0.3">
      <c r="A1697" t="s">
        <v>2887</v>
      </c>
      <c r="B1697" t="s">
        <v>1460</v>
      </c>
      <c r="C1697" t="s">
        <v>88</v>
      </c>
      <c r="E1697">
        <v>63</v>
      </c>
      <c r="F1697" t="s">
        <v>77</v>
      </c>
      <c r="G1697" t="s">
        <v>95</v>
      </c>
      <c r="H1697" t="s">
        <v>32</v>
      </c>
      <c r="I1697" t="s">
        <v>53</v>
      </c>
      <c r="J1697" t="s">
        <v>80</v>
      </c>
      <c r="K1697">
        <v>1</v>
      </c>
      <c r="L1697">
        <v>24600</v>
      </c>
      <c r="M1697">
        <v>0</v>
      </c>
      <c r="N1697">
        <v>24600</v>
      </c>
      <c r="O1697" t="s">
        <v>40</v>
      </c>
      <c r="P1697">
        <v>4</v>
      </c>
      <c r="Q1697" t="s">
        <v>65</v>
      </c>
    </row>
    <row r="1698" spans="1:17" x14ac:dyDescent="0.3">
      <c r="A1698" t="s">
        <v>2888</v>
      </c>
      <c r="B1698" t="s">
        <v>737</v>
      </c>
      <c r="C1698" t="s">
        <v>121</v>
      </c>
      <c r="D1698" t="s">
        <v>20</v>
      </c>
      <c r="E1698">
        <v>27</v>
      </c>
      <c r="F1698" t="s">
        <v>30</v>
      </c>
      <c r="G1698" t="s">
        <v>57</v>
      </c>
      <c r="H1698" t="s">
        <v>32</v>
      </c>
      <c r="I1698" t="s">
        <v>33</v>
      </c>
      <c r="J1698" t="s">
        <v>72</v>
      </c>
      <c r="K1698">
        <v>1</v>
      </c>
      <c r="L1698">
        <v>17600</v>
      </c>
      <c r="M1698">
        <v>15</v>
      </c>
      <c r="N1698">
        <v>14960</v>
      </c>
      <c r="O1698" t="s">
        <v>48</v>
      </c>
      <c r="P1698">
        <v>1</v>
      </c>
      <c r="Q1698" t="s">
        <v>65</v>
      </c>
    </row>
    <row r="1699" spans="1:17" x14ac:dyDescent="0.3">
      <c r="A1699" t="s">
        <v>2889</v>
      </c>
      <c r="B1699" t="s">
        <v>2890</v>
      </c>
      <c r="C1699" t="s">
        <v>94</v>
      </c>
      <c r="E1699">
        <v>37</v>
      </c>
      <c r="F1699" t="s">
        <v>61</v>
      </c>
      <c r="G1699" t="s">
        <v>61</v>
      </c>
      <c r="H1699" t="s">
        <v>32</v>
      </c>
      <c r="I1699" t="s">
        <v>53</v>
      </c>
      <c r="J1699" t="s">
        <v>80</v>
      </c>
      <c r="K1699">
        <v>7</v>
      </c>
      <c r="L1699">
        <v>37400</v>
      </c>
      <c r="M1699">
        <v>5</v>
      </c>
      <c r="N1699">
        <v>248710</v>
      </c>
      <c r="O1699" t="s">
        <v>105</v>
      </c>
      <c r="P1699">
        <v>3</v>
      </c>
      <c r="Q1699" t="s">
        <v>41</v>
      </c>
    </row>
    <row r="1700" spans="1:17" x14ac:dyDescent="0.3">
      <c r="A1700" t="s">
        <v>2891</v>
      </c>
      <c r="B1700" t="s">
        <v>2892</v>
      </c>
      <c r="C1700" t="s">
        <v>68</v>
      </c>
      <c r="D1700" t="s">
        <v>83</v>
      </c>
      <c r="E1700">
        <v>40</v>
      </c>
      <c r="F1700" t="s">
        <v>61</v>
      </c>
      <c r="G1700" t="s">
        <v>61</v>
      </c>
      <c r="H1700" t="s">
        <v>46</v>
      </c>
      <c r="I1700" t="s">
        <v>79</v>
      </c>
      <c r="J1700" t="s">
        <v>89</v>
      </c>
      <c r="K1700">
        <v>3</v>
      </c>
      <c r="L1700">
        <v>13700</v>
      </c>
      <c r="M1700">
        <v>5</v>
      </c>
      <c r="N1700">
        <v>39045</v>
      </c>
      <c r="O1700" t="s">
        <v>25</v>
      </c>
      <c r="P1700">
        <v>5</v>
      </c>
      <c r="Q1700" t="s">
        <v>41</v>
      </c>
    </row>
    <row r="1701" spans="1:17" x14ac:dyDescent="0.3">
      <c r="A1701" t="s">
        <v>2893</v>
      </c>
      <c r="B1701" t="s">
        <v>2894</v>
      </c>
      <c r="C1701" t="s">
        <v>121</v>
      </c>
      <c r="D1701" t="s">
        <v>83</v>
      </c>
      <c r="E1701">
        <v>47</v>
      </c>
      <c r="F1701" t="s">
        <v>21</v>
      </c>
      <c r="G1701" t="s">
        <v>21</v>
      </c>
      <c r="H1701" t="s">
        <v>46</v>
      </c>
      <c r="I1701" t="s">
        <v>47</v>
      </c>
      <c r="J1701" t="s">
        <v>80</v>
      </c>
      <c r="K1701">
        <v>5</v>
      </c>
      <c r="L1701">
        <v>16400</v>
      </c>
      <c r="M1701">
        <v>0</v>
      </c>
      <c r="N1701">
        <v>82000</v>
      </c>
      <c r="O1701" t="s">
        <v>25</v>
      </c>
      <c r="Q1701" t="s">
        <v>26</v>
      </c>
    </row>
    <row r="1702" spans="1:17" x14ac:dyDescent="0.3">
      <c r="A1702" t="s">
        <v>2895</v>
      </c>
      <c r="B1702" t="s">
        <v>2896</v>
      </c>
      <c r="C1702" t="s">
        <v>60</v>
      </c>
      <c r="D1702" t="s">
        <v>20</v>
      </c>
      <c r="E1702">
        <v>37</v>
      </c>
      <c r="F1702" t="s">
        <v>44</v>
      </c>
      <c r="G1702" t="s">
        <v>100</v>
      </c>
      <c r="H1702" t="s">
        <v>46</v>
      </c>
      <c r="I1702" t="s">
        <v>79</v>
      </c>
      <c r="J1702" t="s">
        <v>34</v>
      </c>
      <c r="K1702">
        <v>5</v>
      </c>
      <c r="L1702">
        <v>40100</v>
      </c>
      <c r="M1702">
        <v>20</v>
      </c>
      <c r="N1702">
        <v>160400</v>
      </c>
      <c r="O1702" t="s">
        <v>48</v>
      </c>
      <c r="P1702">
        <v>1</v>
      </c>
      <c r="Q1702" t="s">
        <v>41</v>
      </c>
    </row>
    <row r="1703" spans="1:17" x14ac:dyDescent="0.3">
      <c r="A1703" t="s">
        <v>2897</v>
      </c>
      <c r="B1703" t="s">
        <v>944</v>
      </c>
      <c r="C1703" t="s">
        <v>94</v>
      </c>
      <c r="D1703" t="s">
        <v>103</v>
      </c>
      <c r="E1703">
        <v>35</v>
      </c>
      <c r="F1703" t="s">
        <v>44</v>
      </c>
      <c r="G1703" t="s">
        <v>100</v>
      </c>
      <c r="H1703" t="s">
        <v>22</v>
      </c>
      <c r="I1703" t="s">
        <v>23</v>
      </c>
      <c r="J1703" t="s">
        <v>64</v>
      </c>
      <c r="K1703">
        <v>6</v>
      </c>
      <c r="L1703">
        <v>27900</v>
      </c>
      <c r="M1703">
        <v>20</v>
      </c>
      <c r="N1703">
        <v>133920</v>
      </c>
      <c r="O1703" t="s">
        <v>105</v>
      </c>
      <c r="P1703">
        <v>5</v>
      </c>
      <c r="Q1703" t="s">
        <v>41</v>
      </c>
    </row>
    <row r="1704" spans="1:17" x14ac:dyDescent="0.3">
      <c r="A1704" t="s">
        <v>2898</v>
      </c>
      <c r="B1704" t="s">
        <v>2899</v>
      </c>
      <c r="C1704" t="s">
        <v>60</v>
      </c>
      <c r="D1704" t="s">
        <v>83</v>
      </c>
      <c r="E1704">
        <v>24</v>
      </c>
      <c r="F1704" t="s">
        <v>21</v>
      </c>
      <c r="G1704" t="s">
        <v>21</v>
      </c>
      <c r="H1704" t="s">
        <v>62</v>
      </c>
      <c r="I1704" t="s">
        <v>140</v>
      </c>
      <c r="J1704" t="s">
        <v>80</v>
      </c>
      <c r="K1704">
        <v>4</v>
      </c>
      <c r="L1704">
        <v>41600</v>
      </c>
      <c r="M1704">
        <v>10</v>
      </c>
      <c r="N1704">
        <v>149760</v>
      </c>
      <c r="O1704" t="s">
        <v>35</v>
      </c>
      <c r="Q1704" t="s">
        <v>26</v>
      </c>
    </row>
    <row r="1705" spans="1:17" x14ac:dyDescent="0.3">
      <c r="A1705" t="s">
        <v>2900</v>
      </c>
      <c r="B1705" t="s">
        <v>2901</v>
      </c>
      <c r="C1705" t="s">
        <v>60</v>
      </c>
      <c r="D1705" t="s">
        <v>39</v>
      </c>
      <c r="E1705">
        <v>54</v>
      </c>
      <c r="F1705" t="s">
        <v>44</v>
      </c>
      <c r="G1705" t="s">
        <v>100</v>
      </c>
      <c r="H1705" t="s">
        <v>32</v>
      </c>
      <c r="I1705" t="s">
        <v>33</v>
      </c>
      <c r="J1705" t="s">
        <v>34</v>
      </c>
      <c r="K1705" t="s">
        <v>1072</v>
      </c>
      <c r="L1705">
        <v>28700</v>
      </c>
      <c r="M1705">
        <v>0</v>
      </c>
      <c r="N1705">
        <v>229600</v>
      </c>
      <c r="O1705" t="s">
        <v>48</v>
      </c>
      <c r="Q1705" t="s">
        <v>65</v>
      </c>
    </row>
    <row r="1706" spans="1:17" x14ac:dyDescent="0.3">
      <c r="A1706" t="s">
        <v>2902</v>
      </c>
      <c r="B1706" t="s">
        <v>2903</v>
      </c>
      <c r="C1706" t="s">
        <v>38</v>
      </c>
      <c r="D1706" t="s">
        <v>83</v>
      </c>
      <c r="E1706">
        <v>59</v>
      </c>
      <c r="F1706" t="s">
        <v>77</v>
      </c>
      <c r="G1706" t="s">
        <v>95</v>
      </c>
      <c r="H1706" t="s">
        <v>46</v>
      </c>
      <c r="I1706" t="s">
        <v>47</v>
      </c>
      <c r="J1706" t="s">
        <v>24</v>
      </c>
      <c r="K1706">
        <v>7</v>
      </c>
      <c r="L1706">
        <v>5900</v>
      </c>
      <c r="M1706">
        <v>10</v>
      </c>
      <c r="N1706">
        <v>37170</v>
      </c>
      <c r="O1706" t="s">
        <v>25</v>
      </c>
      <c r="P1706">
        <v>2</v>
      </c>
      <c r="Q1706" t="s">
        <v>26</v>
      </c>
    </row>
    <row r="1707" spans="1:17" x14ac:dyDescent="0.3">
      <c r="A1707" t="s">
        <v>2904</v>
      </c>
      <c r="B1707" t="s">
        <v>916</v>
      </c>
      <c r="C1707" t="s">
        <v>88</v>
      </c>
      <c r="E1707">
        <v>48</v>
      </c>
      <c r="F1707" t="s">
        <v>44</v>
      </c>
      <c r="G1707" t="s">
        <v>100</v>
      </c>
      <c r="H1707" t="s">
        <v>32</v>
      </c>
      <c r="I1707" t="s">
        <v>33</v>
      </c>
      <c r="J1707" t="s">
        <v>89</v>
      </c>
      <c r="K1707">
        <v>8</v>
      </c>
      <c r="L1707">
        <v>45800</v>
      </c>
      <c r="M1707">
        <v>0</v>
      </c>
      <c r="N1707">
        <v>366400</v>
      </c>
      <c r="O1707" t="s">
        <v>25</v>
      </c>
      <c r="P1707">
        <v>3</v>
      </c>
      <c r="Q1707" t="s">
        <v>74</v>
      </c>
    </row>
    <row r="1708" spans="1:17" x14ac:dyDescent="0.3">
      <c r="A1708" t="s">
        <v>2905</v>
      </c>
      <c r="B1708" t="s">
        <v>496</v>
      </c>
      <c r="C1708" t="s">
        <v>38</v>
      </c>
      <c r="E1708">
        <v>20</v>
      </c>
      <c r="F1708" t="s">
        <v>21</v>
      </c>
      <c r="G1708" t="s">
        <v>21</v>
      </c>
      <c r="H1708" t="s">
        <v>32</v>
      </c>
      <c r="I1708" t="s">
        <v>53</v>
      </c>
      <c r="J1708" t="s">
        <v>24</v>
      </c>
      <c r="K1708">
        <v>4</v>
      </c>
      <c r="L1708">
        <v>30800</v>
      </c>
      <c r="M1708">
        <v>20</v>
      </c>
      <c r="N1708">
        <v>98560</v>
      </c>
      <c r="O1708" t="s">
        <v>35</v>
      </c>
      <c r="P1708">
        <v>4</v>
      </c>
      <c r="Q1708" t="s">
        <v>65</v>
      </c>
    </row>
    <row r="1709" spans="1:17" x14ac:dyDescent="0.3">
      <c r="A1709" t="s">
        <v>2906</v>
      </c>
      <c r="B1709" t="s">
        <v>1606</v>
      </c>
      <c r="C1709" t="s">
        <v>19</v>
      </c>
      <c r="D1709" t="s">
        <v>20</v>
      </c>
      <c r="E1709">
        <v>37</v>
      </c>
      <c r="F1709" t="s">
        <v>61</v>
      </c>
      <c r="G1709" t="s">
        <v>61</v>
      </c>
      <c r="H1709" t="s">
        <v>62</v>
      </c>
      <c r="I1709" t="s">
        <v>140</v>
      </c>
      <c r="J1709" t="s">
        <v>64</v>
      </c>
      <c r="K1709">
        <v>6</v>
      </c>
      <c r="L1709">
        <v>15800</v>
      </c>
      <c r="M1709">
        <v>10</v>
      </c>
      <c r="N1709">
        <v>85320</v>
      </c>
      <c r="O1709" t="s">
        <v>40</v>
      </c>
      <c r="P1709">
        <v>5</v>
      </c>
      <c r="Q1709" t="s">
        <v>41</v>
      </c>
    </row>
    <row r="1710" spans="1:17" x14ac:dyDescent="0.3">
      <c r="A1710" t="s">
        <v>2907</v>
      </c>
      <c r="B1710" t="s">
        <v>2393</v>
      </c>
      <c r="C1710" t="s">
        <v>68</v>
      </c>
      <c r="D1710" t="s">
        <v>83</v>
      </c>
      <c r="E1710">
        <v>31</v>
      </c>
      <c r="F1710" t="s">
        <v>51</v>
      </c>
      <c r="G1710" t="s">
        <v>52</v>
      </c>
      <c r="H1710" t="s">
        <v>22</v>
      </c>
      <c r="I1710" t="s">
        <v>23</v>
      </c>
      <c r="J1710" t="s">
        <v>89</v>
      </c>
      <c r="K1710">
        <v>10</v>
      </c>
      <c r="L1710">
        <v>18400</v>
      </c>
      <c r="M1710">
        <v>20</v>
      </c>
      <c r="N1710">
        <v>147200</v>
      </c>
      <c r="O1710" t="s">
        <v>48</v>
      </c>
      <c r="P1710">
        <v>5</v>
      </c>
      <c r="Q1710" t="s">
        <v>26</v>
      </c>
    </row>
    <row r="1711" spans="1:17" x14ac:dyDescent="0.3">
      <c r="A1711" t="s">
        <v>2908</v>
      </c>
      <c r="B1711" t="s">
        <v>1165</v>
      </c>
      <c r="C1711" t="s">
        <v>38</v>
      </c>
      <c r="D1711" t="s">
        <v>39</v>
      </c>
      <c r="E1711">
        <v>43</v>
      </c>
      <c r="F1711" t="s">
        <v>61</v>
      </c>
      <c r="G1711" t="s">
        <v>61</v>
      </c>
      <c r="H1711" t="s">
        <v>32</v>
      </c>
      <c r="I1711" t="s">
        <v>53</v>
      </c>
      <c r="J1711" t="s">
        <v>89</v>
      </c>
      <c r="K1711" t="s">
        <v>1321</v>
      </c>
      <c r="L1711">
        <v>5500</v>
      </c>
      <c r="M1711">
        <v>25</v>
      </c>
      <c r="N1711">
        <v>12375</v>
      </c>
      <c r="O1711" t="s">
        <v>35</v>
      </c>
      <c r="P1711">
        <v>3</v>
      </c>
      <c r="Q1711" t="s">
        <v>41</v>
      </c>
    </row>
    <row r="1712" spans="1:17" x14ac:dyDescent="0.3">
      <c r="A1712" t="s">
        <v>2909</v>
      </c>
      <c r="B1712" t="s">
        <v>2910</v>
      </c>
      <c r="C1712" t="s">
        <v>121</v>
      </c>
      <c r="D1712" t="s">
        <v>83</v>
      </c>
      <c r="E1712">
        <v>58</v>
      </c>
      <c r="F1712" t="s">
        <v>30</v>
      </c>
      <c r="G1712" t="s">
        <v>31</v>
      </c>
      <c r="H1712" t="s">
        <v>62</v>
      </c>
      <c r="I1712" t="s">
        <v>63</v>
      </c>
      <c r="J1712" t="s">
        <v>89</v>
      </c>
      <c r="K1712">
        <v>6</v>
      </c>
      <c r="L1712">
        <v>42700</v>
      </c>
      <c r="M1712">
        <v>20</v>
      </c>
      <c r="N1712">
        <v>204960</v>
      </c>
      <c r="O1712" t="s">
        <v>85</v>
      </c>
      <c r="P1712">
        <v>3</v>
      </c>
      <c r="Q1712" t="s">
        <v>65</v>
      </c>
    </row>
    <row r="1713" spans="1:17" x14ac:dyDescent="0.3">
      <c r="A1713" t="s">
        <v>2911</v>
      </c>
      <c r="B1713" t="s">
        <v>2912</v>
      </c>
      <c r="C1713" t="s">
        <v>68</v>
      </c>
      <c r="D1713" t="s">
        <v>20</v>
      </c>
      <c r="E1713">
        <v>65</v>
      </c>
      <c r="F1713" t="s">
        <v>61</v>
      </c>
      <c r="G1713" t="s">
        <v>61</v>
      </c>
      <c r="H1713" t="s">
        <v>62</v>
      </c>
      <c r="I1713" t="s">
        <v>63</v>
      </c>
      <c r="J1713" t="s">
        <v>72</v>
      </c>
      <c r="K1713">
        <v>6</v>
      </c>
      <c r="L1713">
        <v>46300</v>
      </c>
      <c r="M1713">
        <v>10</v>
      </c>
      <c r="N1713">
        <v>250020</v>
      </c>
      <c r="O1713" t="s">
        <v>40</v>
      </c>
      <c r="P1713">
        <v>3</v>
      </c>
      <c r="Q1713" t="s">
        <v>65</v>
      </c>
    </row>
    <row r="1714" spans="1:17" x14ac:dyDescent="0.3">
      <c r="A1714" t="s">
        <v>2913</v>
      </c>
      <c r="B1714" t="s">
        <v>2892</v>
      </c>
      <c r="C1714" t="s">
        <v>71</v>
      </c>
      <c r="D1714" t="s">
        <v>39</v>
      </c>
      <c r="E1714">
        <v>20</v>
      </c>
      <c r="F1714" t="s">
        <v>44</v>
      </c>
      <c r="G1714" t="s">
        <v>100</v>
      </c>
      <c r="H1714" t="s">
        <v>22</v>
      </c>
      <c r="I1714" t="s">
        <v>84</v>
      </c>
      <c r="J1714" t="s">
        <v>34</v>
      </c>
      <c r="K1714" t="s">
        <v>173</v>
      </c>
      <c r="L1714">
        <v>7200</v>
      </c>
      <c r="M1714">
        <v>25</v>
      </c>
      <c r="N1714">
        <v>10800</v>
      </c>
      <c r="O1714" t="s">
        <v>40</v>
      </c>
      <c r="Q1714" t="s">
        <v>26</v>
      </c>
    </row>
    <row r="1715" spans="1:17" x14ac:dyDescent="0.3">
      <c r="A1715" t="s">
        <v>2914</v>
      </c>
      <c r="B1715" t="s">
        <v>656</v>
      </c>
      <c r="C1715" t="s">
        <v>94</v>
      </c>
      <c r="D1715" t="s">
        <v>83</v>
      </c>
      <c r="E1715">
        <v>46</v>
      </c>
      <c r="F1715" t="s">
        <v>30</v>
      </c>
      <c r="G1715" t="s">
        <v>31</v>
      </c>
      <c r="H1715" t="s">
        <v>46</v>
      </c>
      <c r="I1715" t="s">
        <v>79</v>
      </c>
      <c r="J1715" t="s">
        <v>72</v>
      </c>
      <c r="K1715">
        <v>10</v>
      </c>
      <c r="L1715">
        <v>28400</v>
      </c>
      <c r="M1715">
        <v>15</v>
      </c>
      <c r="N1715">
        <v>241400</v>
      </c>
      <c r="O1715" t="s">
        <v>48</v>
      </c>
      <c r="P1715">
        <v>5</v>
      </c>
      <c r="Q1715" t="s">
        <v>74</v>
      </c>
    </row>
    <row r="1716" spans="1:17" x14ac:dyDescent="0.3">
      <c r="A1716" t="s">
        <v>2915</v>
      </c>
      <c r="B1716" t="s">
        <v>1400</v>
      </c>
      <c r="C1716" t="s">
        <v>94</v>
      </c>
      <c r="D1716" t="s">
        <v>83</v>
      </c>
      <c r="E1716">
        <v>55</v>
      </c>
      <c r="F1716" t="s">
        <v>21</v>
      </c>
      <c r="G1716" t="s">
        <v>21</v>
      </c>
      <c r="H1716" t="s">
        <v>22</v>
      </c>
      <c r="I1716" t="s">
        <v>84</v>
      </c>
      <c r="J1716" t="s">
        <v>34</v>
      </c>
      <c r="K1716">
        <v>1</v>
      </c>
      <c r="L1716">
        <v>18200</v>
      </c>
      <c r="M1716">
        <v>15</v>
      </c>
      <c r="N1716">
        <v>15470</v>
      </c>
      <c r="O1716" t="s">
        <v>48</v>
      </c>
      <c r="P1716">
        <v>2</v>
      </c>
      <c r="Q1716" t="s">
        <v>74</v>
      </c>
    </row>
    <row r="1717" spans="1:17" x14ac:dyDescent="0.3">
      <c r="A1717" t="s">
        <v>2916</v>
      </c>
      <c r="B1717" t="s">
        <v>2917</v>
      </c>
      <c r="C1717" t="s">
        <v>19</v>
      </c>
      <c r="D1717" t="s">
        <v>103</v>
      </c>
      <c r="E1717">
        <v>36</v>
      </c>
      <c r="F1717" t="s">
        <v>61</v>
      </c>
      <c r="G1717" t="s">
        <v>61</v>
      </c>
      <c r="H1717" t="s">
        <v>431</v>
      </c>
      <c r="I1717" t="s">
        <v>47</v>
      </c>
      <c r="J1717" t="s">
        <v>34</v>
      </c>
      <c r="K1717">
        <v>1</v>
      </c>
      <c r="L1717">
        <v>30100</v>
      </c>
      <c r="M1717">
        <v>5</v>
      </c>
      <c r="N1717">
        <v>28595</v>
      </c>
      <c r="O1717" t="s">
        <v>85</v>
      </c>
      <c r="P1717">
        <v>1</v>
      </c>
      <c r="Q1717" t="s">
        <v>65</v>
      </c>
    </row>
    <row r="1718" spans="1:17" x14ac:dyDescent="0.3">
      <c r="A1718" t="s">
        <v>2918</v>
      </c>
      <c r="B1718" t="s">
        <v>520</v>
      </c>
      <c r="C1718" t="s">
        <v>94</v>
      </c>
      <c r="D1718" t="s">
        <v>83</v>
      </c>
      <c r="E1718">
        <v>44</v>
      </c>
      <c r="F1718" t="s">
        <v>61</v>
      </c>
      <c r="G1718" t="s">
        <v>61</v>
      </c>
      <c r="H1718" t="s">
        <v>32</v>
      </c>
      <c r="I1718" t="s">
        <v>53</v>
      </c>
      <c r="J1718" t="s">
        <v>34</v>
      </c>
      <c r="K1718">
        <v>9</v>
      </c>
      <c r="L1718">
        <v>21000</v>
      </c>
      <c r="M1718">
        <v>5</v>
      </c>
      <c r="N1718">
        <v>179550</v>
      </c>
      <c r="O1718" t="s">
        <v>48</v>
      </c>
      <c r="P1718">
        <v>2</v>
      </c>
      <c r="Q1718" t="s">
        <v>41</v>
      </c>
    </row>
    <row r="1719" spans="1:17" x14ac:dyDescent="0.3">
      <c r="A1719" t="s">
        <v>2919</v>
      </c>
      <c r="B1719" t="s">
        <v>778</v>
      </c>
      <c r="C1719" t="s">
        <v>113</v>
      </c>
      <c r="E1719">
        <v>43</v>
      </c>
      <c r="F1719" t="s">
        <v>44</v>
      </c>
      <c r="G1719" t="s">
        <v>100</v>
      </c>
      <c r="H1719" t="s">
        <v>32</v>
      </c>
      <c r="I1719" t="s">
        <v>53</v>
      </c>
      <c r="J1719" t="s">
        <v>34</v>
      </c>
      <c r="K1719">
        <v>9</v>
      </c>
      <c r="L1719">
        <v>25000</v>
      </c>
      <c r="M1719">
        <v>25</v>
      </c>
      <c r="N1719">
        <v>168750</v>
      </c>
      <c r="O1719" t="s">
        <v>85</v>
      </c>
      <c r="P1719">
        <v>4</v>
      </c>
      <c r="Q1719" t="s">
        <v>74</v>
      </c>
    </row>
    <row r="1720" spans="1:17" x14ac:dyDescent="0.3">
      <c r="A1720" t="s">
        <v>2920</v>
      </c>
      <c r="B1720" t="s">
        <v>2785</v>
      </c>
      <c r="C1720" t="s">
        <v>121</v>
      </c>
      <c r="D1720" t="s">
        <v>103</v>
      </c>
      <c r="E1720">
        <v>58</v>
      </c>
      <c r="F1720" t="s">
        <v>44</v>
      </c>
      <c r="G1720" t="s">
        <v>100</v>
      </c>
      <c r="H1720" t="s">
        <v>46</v>
      </c>
      <c r="I1720" t="s">
        <v>79</v>
      </c>
      <c r="J1720" t="s">
        <v>64</v>
      </c>
      <c r="K1720">
        <v>4</v>
      </c>
      <c r="L1720">
        <v>41200</v>
      </c>
      <c r="M1720">
        <v>25</v>
      </c>
      <c r="N1720">
        <v>123600</v>
      </c>
      <c r="O1720" t="s">
        <v>162</v>
      </c>
      <c r="P1720">
        <v>1</v>
      </c>
      <c r="Q1720" t="s">
        <v>41</v>
      </c>
    </row>
    <row r="1721" spans="1:17" x14ac:dyDescent="0.3">
      <c r="A1721" t="s">
        <v>2921</v>
      </c>
      <c r="B1721" t="s">
        <v>1653</v>
      </c>
      <c r="C1721" t="s">
        <v>19</v>
      </c>
      <c r="D1721" t="s">
        <v>83</v>
      </c>
      <c r="E1721">
        <v>39</v>
      </c>
      <c r="F1721" t="s">
        <v>77</v>
      </c>
      <c r="G1721" t="s">
        <v>78</v>
      </c>
      <c r="H1721" t="s">
        <v>46</v>
      </c>
      <c r="I1721" t="s">
        <v>47</v>
      </c>
      <c r="J1721" t="s">
        <v>72</v>
      </c>
      <c r="K1721">
        <v>5</v>
      </c>
      <c r="L1721">
        <v>42800</v>
      </c>
      <c r="M1721">
        <v>5</v>
      </c>
      <c r="N1721">
        <v>203300</v>
      </c>
      <c r="O1721" t="s">
        <v>25</v>
      </c>
      <c r="P1721">
        <v>4</v>
      </c>
      <c r="Q1721" t="s">
        <v>26</v>
      </c>
    </row>
    <row r="1722" spans="1:17" x14ac:dyDescent="0.3">
      <c r="A1722" t="s">
        <v>2922</v>
      </c>
      <c r="B1722" t="s">
        <v>2745</v>
      </c>
      <c r="C1722" t="s">
        <v>19</v>
      </c>
      <c r="E1722">
        <v>34</v>
      </c>
      <c r="F1722" t="s">
        <v>21</v>
      </c>
      <c r="G1722" t="s">
        <v>21</v>
      </c>
      <c r="H1722" t="s">
        <v>22</v>
      </c>
      <c r="I1722" t="s">
        <v>84</v>
      </c>
      <c r="J1722" t="s">
        <v>89</v>
      </c>
      <c r="K1722">
        <v>4</v>
      </c>
      <c r="L1722">
        <v>7900</v>
      </c>
      <c r="M1722">
        <v>0</v>
      </c>
      <c r="N1722">
        <v>31600</v>
      </c>
      <c r="O1722" t="s">
        <v>73</v>
      </c>
      <c r="Q1722" t="s">
        <v>65</v>
      </c>
    </row>
    <row r="1723" spans="1:17" x14ac:dyDescent="0.3">
      <c r="A1723" t="s">
        <v>2923</v>
      </c>
      <c r="B1723" t="s">
        <v>2924</v>
      </c>
      <c r="C1723" t="s">
        <v>29</v>
      </c>
      <c r="E1723">
        <v>35</v>
      </c>
      <c r="F1723" t="s">
        <v>21</v>
      </c>
      <c r="G1723" t="s">
        <v>21</v>
      </c>
      <c r="H1723" t="s">
        <v>62</v>
      </c>
      <c r="I1723" t="s">
        <v>140</v>
      </c>
      <c r="J1723" t="s">
        <v>80</v>
      </c>
      <c r="K1723">
        <v>7</v>
      </c>
      <c r="L1723">
        <v>41200</v>
      </c>
      <c r="M1723">
        <v>20</v>
      </c>
      <c r="N1723">
        <v>230720</v>
      </c>
      <c r="O1723" t="s">
        <v>35</v>
      </c>
      <c r="P1723">
        <v>5</v>
      </c>
      <c r="Q1723" t="s">
        <v>26</v>
      </c>
    </row>
    <row r="1724" spans="1:17" x14ac:dyDescent="0.3">
      <c r="A1724" t="s">
        <v>2925</v>
      </c>
      <c r="B1724" t="s">
        <v>2926</v>
      </c>
      <c r="C1724" t="s">
        <v>38</v>
      </c>
      <c r="D1724" t="s">
        <v>20</v>
      </c>
      <c r="E1724">
        <v>19</v>
      </c>
      <c r="F1724" t="s">
        <v>51</v>
      </c>
      <c r="G1724" t="s">
        <v>52</v>
      </c>
      <c r="H1724" t="s">
        <v>32</v>
      </c>
      <c r="I1724" t="s">
        <v>53</v>
      </c>
      <c r="J1724" t="s">
        <v>80</v>
      </c>
      <c r="K1724" t="s">
        <v>165</v>
      </c>
      <c r="L1724">
        <v>20500</v>
      </c>
      <c r="M1724">
        <v>25</v>
      </c>
      <c r="N1724">
        <v>15375</v>
      </c>
      <c r="O1724" t="s">
        <v>25</v>
      </c>
      <c r="Q1724" t="s">
        <v>74</v>
      </c>
    </row>
    <row r="1725" spans="1:17" x14ac:dyDescent="0.3">
      <c r="A1725" t="s">
        <v>2927</v>
      </c>
      <c r="B1725" t="s">
        <v>2928</v>
      </c>
      <c r="C1725" t="s">
        <v>121</v>
      </c>
      <c r="E1725">
        <v>26</v>
      </c>
      <c r="F1725" t="s">
        <v>30</v>
      </c>
      <c r="G1725" t="s">
        <v>57</v>
      </c>
      <c r="H1725" t="s">
        <v>32</v>
      </c>
      <c r="I1725" t="s">
        <v>33</v>
      </c>
      <c r="J1725" t="s">
        <v>72</v>
      </c>
      <c r="K1725">
        <v>5</v>
      </c>
      <c r="L1725">
        <v>30400</v>
      </c>
      <c r="M1725">
        <v>5</v>
      </c>
      <c r="N1725">
        <v>144400</v>
      </c>
      <c r="O1725" t="s">
        <v>25</v>
      </c>
      <c r="P1725">
        <v>5</v>
      </c>
      <c r="Q1725" t="s">
        <v>74</v>
      </c>
    </row>
    <row r="1726" spans="1:17" x14ac:dyDescent="0.3">
      <c r="A1726" t="s">
        <v>2929</v>
      </c>
      <c r="B1726" t="s">
        <v>2930</v>
      </c>
      <c r="C1726" t="s">
        <v>38</v>
      </c>
      <c r="D1726" t="s">
        <v>103</v>
      </c>
      <c r="E1726">
        <v>58</v>
      </c>
      <c r="F1726" t="s">
        <v>30</v>
      </c>
      <c r="G1726" t="s">
        <v>31</v>
      </c>
      <c r="H1726" t="s">
        <v>32</v>
      </c>
      <c r="I1726" t="s">
        <v>33</v>
      </c>
      <c r="J1726" t="s">
        <v>80</v>
      </c>
      <c r="K1726">
        <v>8</v>
      </c>
      <c r="L1726">
        <v>18300</v>
      </c>
      <c r="M1726">
        <v>20</v>
      </c>
      <c r="N1726">
        <v>117120</v>
      </c>
      <c r="O1726" t="s">
        <v>73</v>
      </c>
      <c r="Q1726" t="s">
        <v>74</v>
      </c>
    </row>
    <row r="1727" spans="1:17" x14ac:dyDescent="0.3">
      <c r="A1727" t="s">
        <v>2931</v>
      </c>
      <c r="B1727" t="s">
        <v>2686</v>
      </c>
      <c r="C1727" t="s">
        <v>29</v>
      </c>
      <c r="D1727" t="s">
        <v>39</v>
      </c>
      <c r="E1727">
        <v>47</v>
      </c>
      <c r="F1727" t="s">
        <v>77</v>
      </c>
      <c r="G1727" t="s">
        <v>95</v>
      </c>
      <c r="H1727" t="s">
        <v>46</v>
      </c>
      <c r="I1727" t="s">
        <v>79</v>
      </c>
      <c r="J1727" t="s">
        <v>34</v>
      </c>
      <c r="K1727">
        <v>2</v>
      </c>
      <c r="L1727">
        <v>8700</v>
      </c>
      <c r="M1727">
        <v>0</v>
      </c>
      <c r="N1727">
        <v>17400</v>
      </c>
      <c r="O1727" t="s">
        <v>85</v>
      </c>
      <c r="Q1727" t="s">
        <v>41</v>
      </c>
    </row>
    <row r="1728" spans="1:17" x14ac:dyDescent="0.3">
      <c r="A1728" t="s">
        <v>2932</v>
      </c>
      <c r="B1728" t="s">
        <v>2933</v>
      </c>
      <c r="C1728" t="s">
        <v>68</v>
      </c>
      <c r="D1728" t="s">
        <v>103</v>
      </c>
      <c r="E1728">
        <v>24</v>
      </c>
      <c r="F1728" t="s">
        <v>21</v>
      </c>
      <c r="G1728" t="s">
        <v>21</v>
      </c>
      <c r="H1728" t="s">
        <v>62</v>
      </c>
      <c r="I1728" t="s">
        <v>63</v>
      </c>
      <c r="J1728" t="s">
        <v>80</v>
      </c>
      <c r="K1728">
        <v>4</v>
      </c>
      <c r="L1728">
        <v>33800</v>
      </c>
      <c r="M1728">
        <v>20</v>
      </c>
      <c r="N1728">
        <v>108160</v>
      </c>
      <c r="O1728" t="s">
        <v>25</v>
      </c>
      <c r="P1728">
        <v>2</v>
      </c>
      <c r="Q1728" t="s">
        <v>74</v>
      </c>
    </row>
    <row r="1729" spans="1:17" x14ac:dyDescent="0.3">
      <c r="A1729" t="s">
        <v>2934</v>
      </c>
      <c r="B1729" t="s">
        <v>2525</v>
      </c>
      <c r="C1729" t="s">
        <v>29</v>
      </c>
      <c r="D1729" t="s">
        <v>83</v>
      </c>
      <c r="E1729">
        <v>58</v>
      </c>
      <c r="F1729" t="s">
        <v>1122</v>
      </c>
      <c r="G1729" t="s">
        <v>95</v>
      </c>
      <c r="H1729" t="s">
        <v>22</v>
      </c>
      <c r="I1729" t="s">
        <v>23</v>
      </c>
      <c r="J1729" t="s">
        <v>34</v>
      </c>
      <c r="K1729">
        <v>4</v>
      </c>
      <c r="L1729">
        <v>34600</v>
      </c>
      <c r="M1729">
        <v>20</v>
      </c>
      <c r="N1729">
        <v>110720</v>
      </c>
      <c r="O1729" t="s">
        <v>35</v>
      </c>
      <c r="P1729">
        <v>5</v>
      </c>
      <c r="Q1729" t="s">
        <v>74</v>
      </c>
    </row>
    <row r="1730" spans="1:17" x14ac:dyDescent="0.3">
      <c r="A1730" t="s">
        <v>2935</v>
      </c>
      <c r="B1730" t="s">
        <v>2936</v>
      </c>
      <c r="C1730" t="s">
        <v>113</v>
      </c>
      <c r="D1730" t="s">
        <v>103</v>
      </c>
      <c r="E1730">
        <v>31</v>
      </c>
      <c r="F1730" t="s">
        <v>51</v>
      </c>
      <c r="G1730" t="s">
        <v>52</v>
      </c>
      <c r="H1730" t="s">
        <v>32</v>
      </c>
      <c r="I1730" t="s">
        <v>53</v>
      </c>
      <c r="J1730" t="s">
        <v>24</v>
      </c>
      <c r="K1730">
        <v>10</v>
      </c>
      <c r="L1730">
        <v>8300</v>
      </c>
      <c r="M1730">
        <v>15</v>
      </c>
      <c r="N1730">
        <v>70550</v>
      </c>
      <c r="O1730" t="s">
        <v>73</v>
      </c>
      <c r="P1730">
        <v>2</v>
      </c>
      <c r="Q1730" t="s">
        <v>65</v>
      </c>
    </row>
    <row r="1731" spans="1:17" x14ac:dyDescent="0.3">
      <c r="A1731" t="s">
        <v>2937</v>
      </c>
      <c r="B1731" t="s">
        <v>1396</v>
      </c>
      <c r="C1731" t="s">
        <v>88</v>
      </c>
      <c r="D1731" t="s">
        <v>39</v>
      </c>
      <c r="E1731">
        <v>61</v>
      </c>
      <c r="F1731" t="s">
        <v>77</v>
      </c>
      <c r="G1731" t="s">
        <v>95</v>
      </c>
      <c r="H1731" t="s">
        <v>62</v>
      </c>
      <c r="I1731" t="s">
        <v>63</v>
      </c>
      <c r="J1731" t="s">
        <v>34</v>
      </c>
      <c r="K1731">
        <v>6</v>
      </c>
      <c r="L1731">
        <v>45000</v>
      </c>
      <c r="M1731">
        <v>10</v>
      </c>
      <c r="N1731">
        <v>243000</v>
      </c>
      <c r="O1731" t="s">
        <v>105</v>
      </c>
      <c r="P1731">
        <v>3</v>
      </c>
      <c r="Q1731" t="s">
        <v>74</v>
      </c>
    </row>
    <row r="1732" spans="1:17" x14ac:dyDescent="0.3">
      <c r="A1732" t="s">
        <v>2938</v>
      </c>
      <c r="B1732" t="s">
        <v>2361</v>
      </c>
      <c r="C1732" t="s">
        <v>29</v>
      </c>
      <c r="D1732" t="s">
        <v>83</v>
      </c>
      <c r="E1732">
        <v>65</v>
      </c>
      <c r="F1732" t="s">
        <v>51</v>
      </c>
      <c r="G1732" t="s">
        <v>104</v>
      </c>
      <c r="H1732" t="s">
        <v>62</v>
      </c>
      <c r="I1732" t="s">
        <v>63</v>
      </c>
      <c r="J1732" t="s">
        <v>89</v>
      </c>
      <c r="K1732">
        <v>10</v>
      </c>
      <c r="L1732">
        <v>30700</v>
      </c>
      <c r="M1732">
        <v>15</v>
      </c>
      <c r="N1732">
        <v>260950</v>
      </c>
      <c r="O1732" t="s">
        <v>73</v>
      </c>
      <c r="P1732">
        <v>3</v>
      </c>
      <c r="Q1732" t="s">
        <v>74</v>
      </c>
    </row>
    <row r="1733" spans="1:17" x14ac:dyDescent="0.3">
      <c r="A1733" t="s">
        <v>2939</v>
      </c>
      <c r="B1733" t="s">
        <v>59</v>
      </c>
      <c r="C1733" t="s">
        <v>113</v>
      </c>
      <c r="D1733" t="s">
        <v>83</v>
      </c>
      <c r="E1733">
        <v>19</v>
      </c>
      <c r="F1733" t="s">
        <v>30</v>
      </c>
      <c r="G1733" t="s">
        <v>57</v>
      </c>
      <c r="H1733" t="s">
        <v>62</v>
      </c>
      <c r="I1733" t="s">
        <v>63</v>
      </c>
      <c r="J1733" t="s">
        <v>72</v>
      </c>
      <c r="K1733">
        <v>9</v>
      </c>
      <c r="L1733">
        <v>36900</v>
      </c>
      <c r="M1733">
        <v>20</v>
      </c>
      <c r="N1733">
        <v>265680</v>
      </c>
      <c r="O1733" t="s">
        <v>25</v>
      </c>
      <c r="P1733">
        <v>3</v>
      </c>
      <c r="Q1733" t="s">
        <v>65</v>
      </c>
    </row>
    <row r="1734" spans="1:17" x14ac:dyDescent="0.3">
      <c r="A1734" t="s">
        <v>2940</v>
      </c>
      <c r="B1734" t="s">
        <v>2879</v>
      </c>
      <c r="C1734" t="s">
        <v>88</v>
      </c>
      <c r="D1734" t="s">
        <v>103</v>
      </c>
      <c r="E1734">
        <v>57</v>
      </c>
      <c r="F1734" t="s">
        <v>44</v>
      </c>
      <c r="G1734" t="s">
        <v>45</v>
      </c>
      <c r="H1734" t="s">
        <v>22</v>
      </c>
      <c r="I1734" t="s">
        <v>84</v>
      </c>
      <c r="J1734" t="s">
        <v>64</v>
      </c>
      <c r="K1734">
        <v>5</v>
      </c>
      <c r="L1734">
        <v>3900</v>
      </c>
      <c r="M1734">
        <v>0</v>
      </c>
      <c r="N1734">
        <v>19500</v>
      </c>
      <c r="O1734" t="s">
        <v>40</v>
      </c>
      <c r="P1734">
        <v>2</v>
      </c>
      <c r="Q1734" t="s">
        <v>74</v>
      </c>
    </row>
    <row r="1735" spans="1:17" x14ac:dyDescent="0.3">
      <c r="A1735" t="s">
        <v>2941</v>
      </c>
      <c r="B1735" t="s">
        <v>2942</v>
      </c>
      <c r="C1735" t="s">
        <v>94</v>
      </c>
      <c r="D1735" t="s">
        <v>20</v>
      </c>
      <c r="E1735">
        <v>43</v>
      </c>
      <c r="F1735" t="s">
        <v>77</v>
      </c>
      <c r="G1735" t="s">
        <v>78</v>
      </c>
      <c r="H1735" t="s">
        <v>46</v>
      </c>
      <c r="I1735" t="s">
        <v>47</v>
      </c>
      <c r="J1735" t="s">
        <v>24</v>
      </c>
      <c r="K1735">
        <v>7</v>
      </c>
      <c r="L1735">
        <v>35800</v>
      </c>
      <c r="M1735">
        <v>10</v>
      </c>
      <c r="N1735">
        <v>225540</v>
      </c>
      <c r="O1735" t="s">
        <v>25</v>
      </c>
      <c r="P1735">
        <v>5</v>
      </c>
      <c r="Q1735" t="s">
        <v>65</v>
      </c>
    </row>
    <row r="1736" spans="1:17" x14ac:dyDescent="0.3">
      <c r="A1736" t="s">
        <v>2943</v>
      </c>
      <c r="B1736" t="s">
        <v>327</v>
      </c>
      <c r="C1736" t="s">
        <v>94</v>
      </c>
      <c r="D1736" t="s">
        <v>20</v>
      </c>
      <c r="E1736">
        <v>36</v>
      </c>
      <c r="F1736" t="s">
        <v>51</v>
      </c>
      <c r="G1736" t="s">
        <v>104</v>
      </c>
      <c r="H1736" t="s">
        <v>32</v>
      </c>
      <c r="I1736" t="s">
        <v>33</v>
      </c>
      <c r="J1736" t="s">
        <v>34</v>
      </c>
      <c r="K1736">
        <v>1</v>
      </c>
      <c r="L1736">
        <v>46200</v>
      </c>
      <c r="M1736">
        <v>0</v>
      </c>
      <c r="N1736">
        <v>46200</v>
      </c>
      <c r="O1736" t="s">
        <v>48</v>
      </c>
      <c r="P1736">
        <v>3</v>
      </c>
      <c r="Q1736" t="s">
        <v>41</v>
      </c>
    </row>
    <row r="1737" spans="1:17" x14ac:dyDescent="0.3">
      <c r="A1737" t="s">
        <v>2944</v>
      </c>
      <c r="B1737" t="s">
        <v>1235</v>
      </c>
      <c r="C1737" t="s">
        <v>121</v>
      </c>
      <c r="D1737" t="s">
        <v>20</v>
      </c>
      <c r="E1737">
        <v>54</v>
      </c>
      <c r="F1737" t="s">
        <v>21</v>
      </c>
      <c r="G1737" t="s">
        <v>21</v>
      </c>
      <c r="H1737" t="s">
        <v>32</v>
      </c>
      <c r="I1737" t="s">
        <v>33</v>
      </c>
      <c r="J1737" t="s">
        <v>72</v>
      </c>
      <c r="K1737">
        <v>3</v>
      </c>
      <c r="L1737">
        <v>4000</v>
      </c>
      <c r="M1737">
        <v>15</v>
      </c>
      <c r="N1737">
        <v>10200</v>
      </c>
      <c r="O1737" t="s">
        <v>48</v>
      </c>
      <c r="P1737">
        <v>1</v>
      </c>
      <c r="Q1737" t="s">
        <v>74</v>
      </c>
    </row>
    <row r="1738" spans="1:17" x14ac:dyDescent="0.3">
      <c r="A1738" t="s">
        <v>2945</v>
      </c>
      <c r="B1738" t="s">
        <v>170</v>
      </c>
      <c r="C1738" t="s">
        <v>19</v>
      </c>
      <c r="D1738" t="s">
        <v>83</v>
      </c>
      <c r="E1738">
        <v>36</v>
      </c>
      <c r="F1738" t="s">
        <v>51</v>
      </c>
      <c r="G1738" t="s">
        <v>52</v>
      </c>
      <c r="H1738" t="s">
        <v>46</v>
      </c>
      <c r="I1738" t="s">
        <v>47</v>
      </c>
      <c r="J1738" t="s">
        <v>64</v>
      </c>
      <c r="K1738">
        <v>2</v>
      </c>
      <c r="L1738">
        <v>39000</v>
      </c>
      <c r="M1738">
        <v>5</v>
      </c>
      <c r="N1738">
        <v>74100</v>
      </c>
      <c r="O1738" t="s">
        <v>162</v>
      </c>
      <c r="Q1738" t="s">
        <v>41</v>
      </c>
    </row>
    <row r="1739" spans="1:17" x14ac:dyDescent="0.3">
      <c r="A1739" t="s">
        <v>2946</v>
      </c>
      <c r="B1739" t="s">
        <v>2947</v>
      </c>
      <c r="C1739" t="s">
        <v>29</v>
      </c>
      <c r="D1739" t="s">
        <v>20</v>
      </c>
      <c r="E1739">
        <v>30</v>
      </c>
      <c r="F1739" t="s">
        <v>51</v>
      </c>
      <c r="G1739" t="s">
        <v>104</v>
      </c>
      <c r="H1739" t="s">
        <v>116</v>
      </c>
      <c r="I1739" t="s">
        <v>23</v>
      </c>
      <c r="J1739" t="s">
        <v>72</v>
      </c>
      <c r="K1739">
        <v>10</v>
      </c>
      <c r="L1739">
        <v>8500</v>
      </c>
      <c r="M1739">
        <v>10</v>
      </c>
      <c r="N1739">
        <v>76500</v>
      </c>
      <c r="O1739" t="s">
        <v>48</v>
      </c>
      <c r="P1739">
        <v>3</v>
      </c>
      <c r="Q1739" t="s">
        <v>26</v>
      </c>
    </row>
    <row r="1740" spans="1:17" x14ac:dyDescent="0.3">
      <c r="A1740" t="s">
        <v>2948</v>
      </c>
      <c r="B1740" t="s">
        <v>1209</v>
      </c>
      <c r="C1740" t="s">
        <v>94</v>
      </c>
      <c r="D1740" t="s">
        <v>20</v>
      </c>
      <c r="E1740">
        <v>38</v>
      </c>
      <c r="F1740" t="s">
        <v>21</v>
      </c>
      <c r="G1740" t="s">
        <v>21</v>
      </c>
      <c r="H1740" t="s">
        <v>32</v>
      </c>
      <c r="I1740" t="s">
        <v>53</v>
      </c>
      <c r="J1740" t="s">
        <v>89</v>
      </c>
      <c r="K1740">
        <v>4</v>
      </c>
      <c r="L1740">
        <v>8700</v>
      </c>
      <c r="M1740">
        <v>25</v>
      </c>
      <c r="N1740">
        <v>26100</v>
      </c>
      <c r="O1740" t="s">
        <v>105</v>
      </c>
      <c r="P1740">
        <v>4</v>
      </c>
      <c r="Q1740" t="s">
        <v>41</v>
      </c>
    </row>
    <row r="1741" spans="1:17" x14ac:dyDescent="0.3">
      <c r="A1741" t="s">
        <v>2949</v>
      </c>
      <c r="B1741" t="s">
        <v>1628</v>
      </c>
      <c r="C1741" t="s">
        <v>113</v>
      </c>
      <c r="D1741" t="s">
        <v>103</v>
      </c>
      <c r="E1741">
        <v>61</v>
      </c>
      <c r="F1741" t="s">
        <v>44</v>
      </c>
      <c r="G1741" t="s">
        <v>100</v>
      </c>
      <c r="H1741" t="s">
        <v>46</v>
      </c>
      <c r="I1741" t="s">
        <v>47</v>
      </c>
      <c r="J1741" t="s">
        <v>89</v>
      </c>
      <c r="K1741">
        <v>7</v>
      </c>
      <c r="L1741">
        <v>8900</v>
      </c>
      <c r="M1741">
        <v>25</v>
      </c>
      <c r="N1741">
        <v>46725</v>
      </c>
      <c r="O1741" t="s">
        <v>40</v>
      </c>
      <c r="P1741">
        <v>1</v>
      </c>
      <c r="Q1741" t="s">
        <v>26</v>
      </c>
    </row>
    <row r="1742" spans="1:17" x14ac:dyDescent="0.3">
      <c r="A1742" t="s">
        <v>2950</v>
      </c>
      <c r="B1742" t="s">
        <v>2541</v>
      </c>
      <c r="C1742" t="s">
        <v>121</v>
      </c>
      <c r="D1742" t="s">
        <v>20</v>
      </c>
      <c r="E1742">
        <v>52</v>
      </c>
      <c r="F1742" t="s">
        <v>30</v>
      </c>
      <c r="G1742" t="s">
        <v>31</v>
      </c>
      <c r="H1742" t="s">
        <v>62</v>
      </c>
      <c r="I1742" t="s">
        <v>140</v>
      </c>
      <c r="J1742" t="s">
        <v>24</v>
      </c>
      <c r="K1742">
        <v>1</v>
      </c>
      <c r="L1742">
        <v>27800</v>
      </c>
      <c r="M1742">
        <v>0</v>
      </c>
      <c r="N1742">
        <v>27800</v>
      </c>
      <c r="O1742" t="s">
        <v>85</v>
      </c>
      <c r="P1742">
        <v>1</v>
      </c>
      <c r="Q1742" t="s">
        <v>26</v>
      </c>
    </row>
    <row r="1743" spans="1:17" x14ac:dyDescent="0.3">
      <c r="A1743" t="s">
        <v>2951</v>
      </c>
      <c r="B1743" t="s">
        <v>287</v>
      </c>
      <c r="C1743" t="s">
        <v>113</v>
      </c>
      <c r="D1743" t="s">
        <v>20</v>
      </c>
      <c r="E1743">
        <v>45</v>
      </c>
      <c r="F1743" t="s">
        <v>30</v>
      </c>
      <c r="G1743" t="s">
        <v>31</v>
      </c>
      <c r="H1743" t="s">
        <v>62</v>
      </c>
      <c r="I1743" t="s">
        <v>63</v>
      </c>
      <c r="J1743" t="s">
        <v>34</v>
      </c>
      <c r="K1743">
        <v>5</v>
      </c>
      <c r="L1743">
        <v>11500</v>
      </c>
      <c r="M1743">
        <v>0</v>
      </c>
      <c r="N1743">
        <v>57500</v>
      </c>
      <c r="O1743" t="s">
        <v>48</v>
      </c>
      <c r="P1743">
        <v>3</v>
      </c>
      <c r="Q1743" t="s">
        <v>41</v>
      </c>
    </row>
    <row r="1744" spans="1:17" x14ac:dyDescent="0.3">
      <c r="A1744" t="s">
        <v>2952</v>
      </c>
      <c r="B1744" t="s">
        <v>1568</v>
      </c>
      <c r="C1744" t="s">
        <v>29</v>
      </c>
      <c r="D1744" t="s">
        <v>20</v>
      </c>
      <c r="E1744">
        <v>58</v>
      </c>
      <c r="F1744" t="s">
        <v>61</v>
      </c>
      <c r="G1744" t="s">
        <v>61</v>
      </c>
      <c r="H1744" t="s">
        <v>46</v>
      </c>
      <c r="I1744" t="s">
        <v>47</v>
      </c>
      <c r="J1744" t="s">
        <v>64</v>
      </c>
      <c r="K1744">
        <v>5</v>
      </c>
      <c r="L1744">
        <v>10200</v>
      </c>
      <c r="M1744">
        <v>15</v>
      </c>
      <c r="N1744">
        <v>43350</v>
      </c>
      <c r="O1744" t="s">
        <v>48</v>
      </c>
      <c r="Q1744" t="s">
        <v>26</v>
      </c>
    </row>
    <row r="1745" spans="1:17" x14ac:dyDescent="0.3">
      <c r="A1745" t="s">
        <v>2953</v>
      </c>
      <c r="B1745" t="s">
        <v>2046</v>
      </c>
      <c r="C1745" t="s">
        <v>94</v>
      </c>
      <c r="D1745" t="s">
        <v>103</v>
      </c>
      <c r="E1745">
        <v>39</v>
      </c>
      <c r="F1745" t="s">
        <v>30</v>
      </c>
      <c r="G1745" t="s">
        <v>31</v>
      </c>
      <c r="H1745" t="s">
        <v>62</v>
      </c>
      <c r="I1745" t="s">
        <v>63</v>
      </c>
      <c r="J1745" t="s">
        <v>34</v>
      </c>
      <c r="K1745">
        <v>2</v>
      </c>
      <c r="L1745">
        <v>3400</v>
      </c>
      <c r="M1745">
        <v>15</v>
      </c>
      <c r="N1745">
        <v>5780</v>
      </c>
      <c r="O1745" t="s">
        <v>73</v>
      </c>
      <c r="P1745">
        <v>3</v>
      </c>
      <c r="Q1745" t="s">
        <v>26</v>
      </c>
    </row>
    <row r="1746" spans="1:17" x14ac:dyDescent="0.3">
      <c r="A1746" t="s">
        <v>2954</v>
      </c>
      <c r="B1746" t="s">
        <v>399</v>
      </c>
      <c r="C1746" t="s">
        <v>121</v>
      </c>
      <c r="D1746" t="s">
        <v>20</v>
      </c>
      <c r="E1746">
        <v>49</v>
      </c>
      <c r="F1746" t="s">
        <v>51</v>
      </c>
      <c r="G1746" t="s">
        <v>104</v>
      </c>
      <c r="H1746" t="s">
        <v>46</v>
      </c>
      <c r="I1746" t="s">
        <v>47</v>
      </c>
      <c r="J1746" t="s">
        <v>64</v>
      </c>
      <c r="K1746">
        <v>10</v>
      </c>
      <c r="L1746">
        <v>41300</v>
      </c>
      <c r="M1746">
        <v>5</v>
      </c>
      <c r="N1746">
        <v>392350</v>
      </c>
      <c r="O1746" t="s">
        <v>105</v>
      </c>
      <c r="Q1746" t="s">
        <v>26</v>
      </c>
    </row>
    <row r="1747" spans="1:17" x14ac:dyDescent="0.3">
      <c r="A1747" t="s">
        <v>2955</v>
      </c>
      <c r="B1747" t="s">
        <v>139</v>
      </c>
      <c r="C1747" t="s">
        <v>60</v>
      </c>
      <c r="D1747" t="s">
        <v>103</v>
      </c>
      <c r="E1747">
        <v>26</v>
      </c>
      <c r="F1747" t="s">
        <v>77</v>
      </c>
      <c r="G1747" t="s">
        <v>95</v>
      </c>
      <c r="H1747" t="s">
        <v>46</v>
      </c>
      <c r="I1747" t="s">
        <v>79</v>
      </c>
      <c r="J1747" t="s">
        <v>24</v>
      </c>
      <c r="K1747">
        <v>2</v>
      </c>
      <c r="L1747">
        <v>25700</v>
      </c>
      <c r="M1747">
        <v>5</v>
      </c>
      <c r="N1747">
        <v>48830</v>
      </c>
      <c r="O1747" t="s">
        <v>25</v>
      </c>
      <c r="P1747">
        <v>3</v>
      </c>
      <c r="Q1747" t="s">
        <v>26</v>
      </c>
    </row>
    <row r="1748" spans="1:17" x14ac:dyDescent="0.3">
      <c r="A1748" t="s">
        <v>2956</v>
      </c>
      <c r="B1748" t="s">
        <v>2957</v>
      </c>
      <c r="C1748" t="s">
        <v>60</v>
      </c>
      <c r="E1748">
        <v>23</v>
      </c>
      <c r="F1748" t="s">
        <v>61</v>
      </c>
      <c r="G1748" t="s">
        <v>61</v>
      </c>
      <c r="H1748" t="s">
        <v>22</v>
      </c>
      <c r="I1748" t="s">
        <v>84</v>
      </c>
      <c r="J1748" t="s">
        <v>24</v>
      </c>
      <c r="K1748">
        <v>4</v>
      </c>
      <c r="L1748">
        <v>9900</v>
      </c>
      <c r="M1748">
        <v>20</v>
      </c>
      <c r="N1748">
        <v>31680</v>
      </c>
      <c r="O1748" t="s">
        <v>40</v>
      </c>
      <c r="P1748">
        <v>2</v>
      </c>
      <c r="Q1748" t="s">
        <v>41</v>
      </c>
    </row>
    <row r="1749" spans="1:17" x14ac:dyDescent="0.3">
      <c r="A1749" t="s">
        <v>2958</v>
      </c>
      <c r="B1749" t="s">
        <v>2959</v>
      </c>
      <c r="C1749" t="s">
        <v>60</v>
      </c>
      <c r="D1749" t="s">
        <v>39</v>
      </c>
      <c r="E1749">
        <v>24</v>
      </c>
      <c r="F1749" t="s">
        <v>77</v>
      </c>
      <c r="G1749" t="s">
        <v>95</v>
      </c>
      <c r="H1749" t="s">
        <v>32</v>
      </c>
      <c r="I1749" t="s">
        <v>53</v>
      </c>
      <c r="J1749" t="s">
        <v>24</v>
      </c>
      <c r="K1749">
        <v>1</v>
      </c>
      <c r="L1749">
        <v>15400</v>
      </c>
      <c r="M1749">
        <v>10</v>
      </c>
      <c r="N1749">
        <v>13860</v>
      </c>
      <c r="O1749" t="s">
        <v>73</v>
      </c>
      <c r="P1749">
        <v>5</v>
      </c>
      <c r="Q1749" t="s">
        <v>41</v>
      </c>
    </row>
    <row r="1750" spans="1:17" x14ac:dyDescent="0.3">
      <c r="A1750" t="s">
        <v>2960</v>
      </c>
      <c r="B1750" t="s">
        <v>2961</v>
      </c>
      <c r="C1750" t="s">
        <v>19</v>
      </c>
      <c r="D1750" t="s">
        <v>103</v>
      </c>
      <c r="E1750">
        <v>20</v>
      </c>
      <c r="F1750" t="s">
        <v>30</v>
      </c>
      <c r="G1750" t="s">
        <v>31</v>
      </c>
      <c r="H1750" t="s">
        <v>22</v>
      </c>
      <c r="I1750" t="s">
        <v>23</v>
      </c>
      <c r="J1750" t="s">
        <v>89</v>
      </c>
      <c r="K1750">
        <v>5</v>
      </c>
      <c r="L1750">
        <v>16600</v>
      </c>
      <c r="M1750">
        <v>20</v>
      </c>
      <c r="N1750">
        <v>66400</v>
      </c>
      <c r="O1750" t="s">
        <v>105</v>
      </c>
      <c r="Q1750" t="s">
        <v>74</v>
      </c>
    </row>
    <row r="1751" spans="1:17" x14ac:dyDescent="0.3">
      <c r="A1751" t="s">
        <v>2962</v>
      </c>
      <c r="B1751" t="s">
        <v>2963</v>
      </c>
      <c r="C1751" t="s">
        <v>29</v>
      </c>
      <c r="D1751" t="s">
        <v>83</v>
      </c>
      <c r="E1751">
        <v>52</v>
      </c>
      <c r="F1751" t="s">
        <v>61</v>
      </c>
      <c r="G1751" t="s">
        <v>61</v>
      </c>
      <c r="H1751" t="s">
        <v>46</v>
      </c>
      <c r="I1751" t="s">
        <v>47</v>
      </c>
      <c r="J1751" t="s">
        <v>72</v>
      </c>
      <c r="K1751">
        <v>9</v>
      </c>
      <c r="L1751">
        <v>7200</v>
      </c>
      <c r="M1751">
        <v>25</v>
      </c>
      <c r="N1751">
        <v>48600</v>
      </c>
      <c r="O1751" t="s">
        <v>73</v>
      </c>
      <c r="Q1751" t="s">
        <v>26</v>
      </c>
    </row>
    <row r="1752" spans="1:17" x14ac:dyDescent="0.3">
      <c r="A1752" t="s">
        <v>2964</v>
      </c>
      <c r="B1752" t="s">
        <v>1543</v>
      </c>
      <c r="C1752" t="s">
        <v>121</v>
      </c>
      <c r="D1752" t="s">
        <v>39</v>
      </c>
      <c r="E1752">
        <v>54</v>
      </c>
      <c r="F1752" t="s">
        <v>44</v>
      </c>
      <c r="G1752" t="s">
        <v>45</v>
      </c>
      <c r="H1752" t="s">
        <v>22</v>
      </c>
      <c r="I1752" t="s">
        <v>23</v>
      </c>
      <c r="J1752" t="s">
        <v>24</v>
      </c>
      <c r="K1752">
        <v>4</v>
      </c>
      <c r="L1752">
        <v>45100</v>
      </c>
      <c r="M1752">
        <v>15</v>
      </c>
      <c r="N1752">
        <v>153340</v>
      </c>
      <c r="O1752" t="s">
        <v>85</v>
      </c>
      <c r="P1752">
        <v>4</v>
      </c>
      <c r="Q1752" t="s">
        <v>41</v>
      </c>
    </row>
    <row r="1753" spans="1:17" x14ac:dyDescent="0.3">
      <c r="A1753" t="s">
        <v>2965</v>
      </c>
      <c r="B1753" t="s">
        <v>1097</v>
      </c>
      <c r="C1753" t="s">
        <v>94</v>
      </c>
      <c r="D1753" t="s">
        <v>20</v>
      </c>
      <c r="E1753">
        <v>20</v>
      </c>
      <c r="F1753" t="s">
        <v>77</v>
      </c>
      <c r="G1753" t="s">
        <v>95</v>
      </c>
      <c r="H1753" t="s">
        <v>62</v>
      </c>
      <c r="I1753" t="s">
        <v>140</v>
      </c>
      <c r="J1753" t="s">
        <v>34</v>
      </c>
      <c r="K1753">
        <v>9</v>
      </c>
      <c r="L1753">
        <v>46500</v>
      </c>
      <c r="M1753">
        <v>25</v>
      </c>
      <c r="N1753">
        <v>313875</v>
      </c>
      <c r="O1753" t="s">
        <v>25</v>
      </c>
      <c r="P1753">
        <v>1</v>
      </c>
      <c r="Q1753" t="s">
        <v>26</v>
      </c>
    </row>
    <row r="1754" spans="1:17" x14ac:dyDescent="0.3">
      <c r="A1754" t="s">
        <v>2966</v>
      </c>
      <c r="B1754" t="s">
        <v>139</v>
      </c>
      <c r="C1754" t="s">
        <v>29</v>
      </c>
      <c r="D1754" t="s">
        <v>20</v>
      </c>
      <c r="E1754">
        <v>62</v>
      </c>
      <c r="F1754" t="s">
        <v>21</v>
      </c>
      <c r="G1754" t="s">
        <v>21</v>
      </c>
      <c r="H1754" t="s">
        <v>32</v>
      </c>
      <c r="I1754" t="s">
        <v>53</v>
      </c>
      <c r="J1754" t="s">
        <v>34</v>
      </c>
      <c r="K1754">
        <v>8</v>
      </c>
      <c r="L1754">
        <v>35700</v>
      </c>
      <c r="M1754">
        <v>0</v>
      </c>
      <c r="N1754">
        <v>285600</v>
      </c>
      <c r="O1754" t="s">
        <v>40</v>
      </c>
      <c r="P1754">
        <v>4</v>
      </c>
      <c r="Q1754" t="s">
        <v>26</v>
      </c>
    </row>
    <row r="1755" spans="1:17" x14ac:dyDescent="0.3">
      <c r="A1755" t="s">
        <v>2967</v>
      </c>
      <c r="B1755" t="s">
        <v>2664</v>
      </c>
      <c r="C1755" t="s">
        <v>68</v>
      </c>
      <c r="D1755" t="s">
        <v>39</v>
      </c>
      <c r="E1755">
        <v>53</v>
      </c>
      <c r="F1755" t="s">
        <v>51</v>
      </c>
      <c r="G1755" t="s">
        <v>104</v>
      </c>
      <c r="H1755" t="s">
        <v>62</v>
      </c>
      <c r="I1755" t="s">
        <v>140</v>
      </c>
      <c r="J1755" t="s">
        <v>24</v>
      </c>
      <c r="K1755">
        <v>10</v>
      </c>
      <c r="L1755">
        <v>25500</v>
      </c>
      <c r="M1755">
        <v>0</v>
      </c>
      <c r="N1755">
        <v>255000</v>
      </c>
      <c r="O1755" t="s">
        <v>85</v>
      </c>
      <c r="P1755">
        <v>2</v>
      </c>
      <c r="Q1755" t="s">
        <v>26</v>
      </c>
    </row>
    <row r="1756" spans="1:17" x14ac:dyDescent="0.3">
      <c r="A1756" t="s">
        <v>2968</v>
      </c>
      <c r="B1756" t="s">
        <v>362</v>
      </c>
      <c r="C1756" t="s">
        <v>29</v>
      </c>
      <c r="E1756">
        <v>41</v>
      </c>
      <c r="F1756" t="s">
        <v>21</v>
      </c>
      <c r="G1756" t="s">
        <v>21</v>
      </c>
      <c r="H1756" t="s">
        <v>46</v>
      </c>
      <c r="I1756" t="s">
        <v>47</v>
      </c>
      <c r="J1756" t="s">
        <v>34</v>
      </c>
      <c r="K1756">
        <v>10</v>
      </c>
      <c r="L1756">
        <v>2000</v>
      </c>
      <c r="M1756">
        <v>10</v>
      </c>
      <c r="N1756">
        <v>18000</v>
      </c>
      <c r="O1756" t="s">
        <v>35</v>
      </c>
      <c r="Q1756" t="s">
        <v>74</v>
      </c>
    </row>
    <row r="1757" spans="1:17" x14ac:dyDescent="0.3">
      <c r="A1757" t="s">
        <v>2969</v>
      </c>
      <c r="B1757" t="s">
        <v>1862</v>
      </c>
      <c r="C1757" t="s">
        <v>113</v>
      </c>
      <c r="D1757" t="s">
        <v>20</v>
      </c>
      <c r="E1757">
        <v>27</v>
      </c>
      <c r="F1757" t="s">
        <v>390</v>
      </c>
      <c r="G1757" t="s">
        <v>61</v>
      </c>
      <c r="H1757" t="s">
        <v>22</v>
      </c>
      <c r="I1757" t="s">
        <v>84</v>
      </c>
      <c r="J1757" t="s">
        <v>80</v>
      </c>
      <c r="K1757">
        <v>10</v>
      </c>
      <c r="L1757">
        <v>22900</v>
      </c>
      <c r="M1757">
        <v>10</v>
      </c>
      <c r="N1757">
        <v>206100</v>
      </c>
      <c r="O1757" t="s">
        <v>25</v>
      </c>
      <c r="Q1757" t="s">
        <v>65</v>
      </c>
    </row>
    <row r="1758" spans="1:17" x14ac:dyDescent="0.3">
      <c r="A1758" t="s">
        <v>2970</v>
      </c>
      <c r="B1758" t="s">
        <v>2573</v>
      </c>
      <c r="C1758" t="s">
        <v>60</v>
      </c>
      <c r="D1758" t="s">
        <v>103</v>
      </c>
      <c r="E1758">
        <v>18</v>
      </c>
      <c r="F1758" t="s">
        <v>61</v>
      </c>
      <c r="G1758" t="s">
        <v>61</v>
      </c>
      <c r="H1758" t="s">
        <v>22</v>
      </c>
      <c r="I1758" t="s">
        <v>23</v>
      </c>
      <c r="J1758" t="s">
        <v>89</v>
      </c>
      <c r="K1758">
        <v>2</v>
      </c>
      <c r="L1758">
        <v>3300</v>
      </c>
      <c r="M1758">
        <v>5</v>
      </c>
      <c r="N1758">
        <v>6270</v>
      </c>
      <c r="O1758" t="s">
        <v>35</v>
      </c>
      <c r="Q1758" t="s">
        <v>41</v>
      </c>
    </row>
    <row r="1759" spans="1:17" x14ac:dyDescent="0.3">
      <c r="A1759" t="s">
        <v>2971</v>
      </c>
      <c r="B1759" t="s">
        <v>2972</v>
      </c>
      <c r="C1759" t="s">
        <v>29</v>
      </c>
      <c r="D1759" t="s">
        <v>83</v>
      </c>
      <c r="E1759">
        <v>59</v>
      </c>
      <c r="F1759" t="s">
        <v>21</v>
      </c>
      <c r="G1759" t="s">
        <v>21</v>
      </c>
      <c r="H1759" t="s">
        <v>22</v>
      </c>
      <c r="I1759" t="s">
        <v>23</v>
      </c>
      <c r="J1759" t="s">
        <v>72</v>
      </c>
      <c r="K1759">
        <v>10</v>
      </c>
      <c r="L1759">
        <v>14900</v>
      </c>
      <c r="M1759">
        <v>25</v>
      </c>
      <c r="N1759">
        <v>111750</v>
      </c>
      <c r="O1759" t="s">
        <v>48</v>
      </c>
      <c r="P1759">
        <v>4</v>
      </c>
      <c r="Q1759" t="s">
        <v>41</v>
      </c>
    </row>
    <row r="1760" spans="1:17" x14ac:dyDescent="0.3">
      <c r="A1760" t="s">
        <v>2973</v>
      </c>
      <c r="B1760" t="s">
        <v>2974</v>
      </c>
      <c r="C1760" t="s">
        <v>68</v>
      </c>
      <c r="D1760" t="s">
        <v>103</v>
      </c>
      <c r="E1760">
        <v>36</v>
      </c>
      <c r="F1760" t="s">
        <v>61</v>
      </c>
      <c r="G1760" t="s">
        <v>61</v>
      </c>
      <c r="H1760" t="s">
        <v>62</v>
      </c>
      <c r="I1760" t="s">
        <v>63</v>
      </c>
      <c r="J1760" t="s">
        <v>34</v>
      </c>
      <c r="K1760">
        <v>7</v>
      </c>
      <c r="L1760">
        <v>18700</v>
      </c>
      <c r="M1760">
        <v>20</v>
      </c>
      <c r="N1760">
        <v>104720</v>
      </c>
      <c r="O1760" t="s">
        <v>35</v>
      </c>
      <c r="P1760">
        <v>2</v>
      </c>
      <c r="Q1760" t="s">
        <v>41</v>
      </c>
    </row>
    <row r="1761" spans="1:17" x14ac:dyDescent="0.3">
      <c r="A1761" t="s">
        <v>2975</v>
      </c>
      <c r="B1761" t="s">
        <v>2976</v>
      </c>
      <c r="C1761" t="s">
        <v>121</v>
      </c>
      <c r="D1761" t="s">
        <v>103</v>
      </c>
      <c r="E1761">
        <v>19</v>
      </c>
      <c r="F1761" t="s">
        <v>30</v>
      </c>
      <c r="G1761" t="s">
        <v>31</v>
      </c>
      <c r="H1761" t="s">
        <v>32</v>
      </c>
      <c r="I1761" t="s">
        <v>33</v>
      </c>
      <c r="J1761" t="s">
        <v>64</v>
      </c>
      <c r="K1761">
        <v>2</v>
      </c>
      <c r="L1761">
        <v>44800</v>
      </c>
      <c r="M1761">
        <v>25</v>
      </c>
      <c r="N1761">
        <v>67200</v>
      </c>
      <c r="O1761" t="s">
        <v>35</v>
      </c>
      <c r="P1761">
        <v>4</v>
      </c>
      <c r="Q1761" t="s">
        <v>41</v>
      </c>
    </row>
    <row r="1762" spans="1:17" x14ac:dyDescent="0.3">
      <c r="A1762" t="s">
        <v>2977</v>
      </c>
      <c r="B1762" t="s">
        <v>1080</v>
      </c>
      <c r="C1762" t="s">
        <v>38</v>
      </c>
      <c r="D1762" t="s">
        <v>39</v>
      </c>
      <c r="E1762">
        <v>26</v>
      </c>
      <c r="F1762" t="s">
        <v>21</v>
      </c>
      <c r="G1762" t="s">
        <v>21</v>
      </c>
      <c r="H1762" t="s">
        <v>32</v>
      </c>
      <c r="I1762" t="s">
        <v>33</v>
      </c>
      <c r="J1762" t="s">
        <v>80</v>
      </c>
      <c r="K1762">
        <v>1</v>
      </c>
      <c r="L1762">
        <v>18300</v>
      </c>
      <c r="M1762">
        <v>0</v>
      </c>
      <c r="N1762">
        <v>18300</v>
      </c>
      <c r="O1762" t="s">
        <v>40</v>
      </c>
      <c r="P1762">
        <v>2</v>
      </c>
      <c r="Q1762" t="s">
        <v>65</v>
      </c>
    </row>
    <row r="1763" spans="1:17" x14ac:dyDescent="0.3">
      <c r="A1763" t="s">
        <v>2978</v>
      </c>
      <c r="B1763" t="s">
        <v>2979</v>
      </c>
      <c r="C1763" t="s">
        <v>71</v>
      </c>
      <c r="D1763" t="s">
        <v>103</v>
      </c>
      <c r="E1763">
        <v>28</v>
      </c>
      <c r="F1763" t="s">
        <v>30</v>
      </c>
      <c r="G1763" t="s">
        <v>31</v>
      </c>
      <c r="H1763" t="s">
        <v>46</v>
      </c>
      <c r="I1763" t="s">
        <v>47</v>
      </c>
      <c r="J1763" t="s">
        <v>24</v>
      </c>
      <c r="K1763">
        <v>9</v>
      </c>
      <c r="L1763">
        <v>3000</v>
      </c>
      <c r="M1763">
        <v>10</v>
      </c>
      <c r="N1763">
        <v>24300</v>
      </c>
      <c r="O1763" t="s">
        <v>105</v>
      </c>
      <c r="P1763">
        <v>3</v>
      </c>
      <c r="Q1763" t="s">
        <v>41</v>
      </c>
    </row>
    <row r="1764" spans="1:17" x14ac:dyDescent="0.3">
      <c r="A1764" t="s">
        <v>2980</v>
      </c>
      <c r="B1764" t="s">
        <v>2981</v>
      </c>
      <c r="C1764" t="s">
        <v>68</v>
      </c>
      <c r="D1764" t="s">
        <v>83</v>
      </c>
      <c r="E1764">
        <v>45</v>
      </c>
      <c r="F1764" t="s">
        <v>44</v>
      </c>
      <c r="G1764" t="s">
        <v>100</v>
      </c>
      <c r="H1764" t="s">
        <v>22</v>
      </c>
      <c r="I1764" t="s">
        <v>84</v>
      </c>
      <c r="J1764" t="s">
        <v>72</v>
      </c>
      <c r="K1764">
        <v>10</v>
      </c>
      <c r="L1764">
        <v>48300</v>
      </c>
      <c r="M1764">
        <v>0</v>
      </c>
      <c r="N1764">
        <v>483000</v>
      </c>
      <c r="O1764" t="s">
        <v>48</v>
      </c>
      <c r="P1764">
        <v>3</v>
      </c>
      <c r="Q1764" t="s">
        <v>74</v>
      </c>
    </row>
    <row r="1765" spans="1:17" x14ac:dyDescent="0.3">
      <c r="A1765" t="s">
        <v>2982</v>
      </c>
      <c r="B1765" t="s">
        <v>2983</v>
      </c>
      <c r="C1765" t="s">
        <v>88</v>
      </c>
      <c r="D1765" t="s">
        <v>20</v>
      </c>
      <c r="E1765">
        <v>62</v>
      </c>
      <c r="F1765" t="s">
        <v>390</v>
      </c>
      <c r="G1765" t="s">
        <v>61</v>
      </c>
      <c r="H1765" t="s">
        <v>32</v>
      </c>
      <c r="I1765" t="s">
        <v>53</v>
      </c>
      <c r="J1765" t="s">
        <v>89</v>
      </c>
      <c r="K1765">
        <v>5</v>
      </c>
      <c r="L1765">
        <v>13000</v>
      </c>
      <c r="M1765">
        <v>10</v>
      </c>
      <c r="N1765">
        <v>58500</v>
      </c>
      <c r="O1765" t="s">
        <v>35</v>
      </c>
      <c r="Q1765" t="s">
        <v>41</v>
      </c>
    </row>
    <row r="1766" spans="1:17" x14ac:dyDescent="0.3">
      <c r="A1766" t="s">
        <v>2984</v>
      </c>
      <c r="B1766" t="s">
        <v>1296</v>
      </c>
      <c r="C1766" t="s">
        <v>29</v>
      </c>
      <c r="E1766">
        <v>23</v>
      </c>
      <c r="F1766" t="s">
        <v>30</v>
      </c>
      <c r="G1766" t="s">
        <v>31</v>
      </c>
      <c r="H1766" t="s">
        <v>46</v>
      </c>
      <c r="I1766" t="s">
        <v>79</v>
      </c>
      <c r="J1766" t="s">
        <v>24</v>
      </c>
      <c r="K1766">
        <v>10</v>
      </c>
      <c r="L1766">
        <v>17000</v>
      </c>
      <c r="M1766">
        <v>0</v>
      </c>
      <c r="N1766">
        <v>170000</v>
      </c>
      <c r="O1766" t="s">
        <v>48</v>
      </c>
      <c r="P1766">
        <v>5</v>
      </c>
      <c r="Q1766" t="s">
        <v>65</v>
      </c>
    </row>
    <row r="1767" spans="1:17" x14ac:dyDescent="0.3">
      <c r="A1767" t="s">
        <v>2985</v>
      </c>
      <c r="B1767" t="s">
        <v>2986</v>
      </c>
      <c r="C1767" t="s">
        <v>19</v>
      </c>
      <c r="D1767" t="s">
        <v>103</v>
      </c>
      <c r="E1767">
        <v>27</v>
      </c>
      <c r="F1767" t="s">
        <v>61</v>
      </c>
      <c r="G1767" t="s">
        <v>61</v>
      </c>
      <c r="H1767" t="s">
        <v>22</v>
      </c>
      <c r="I1767" t="s">
        <v>84</v>
      </c>
      <c r="J1767" t="s">
        <v>24</v>
      </c>
      <c r="K1767">
        <v>8</v>
      </c>
      <c r="L1767">
        <v>47500</v>
      </c>
      <c r="M1767">
        <v>20</v>
      </c>
      <c r="N1767">
        <v>304000</v>
      </c>
      <c r="O1767" t="s">
        <v>35</v>
      </c>
      <c r="Q1767" t="s">
        <v>65</v>
      </c>
    </row>
    <row r="1768" spans="1:17" x14ac:dyDescent="0.3">
      <c r="A1768" t="s">
        <v>2987</v>
      </c>
      <c r="B1768" t="s">
        <v>692</v>
      </c>
      <c r="C1768" t="s">
        <v>94</v>
      </c>
      <c r="D1768" t="s">
        <v>39</v>
      </c>
      <c r="E1768">
        <v>37</v>
      </c>
      <c r="F1768" t="s">
        <v>44</v>
      </c>
      <c r="G1768" t="s">
        <v>100</v>
      </c>
      <c r="H1768" t="s">
        <v>62</v>
      </c>
      <c r="I1768" t="s">
        <v>63</v>
      </c>
      <c r="J1768" t="s">
        <v>80</v>
      </c>
      <c r="K1768">
        <v>6</v>
      </c>
      <c r="L1768">
        <v>18500</v>
      </c>
      <c r="M1768">
        <v>15</v>
      </c>
      <c r="N1768">
        <v>94350</v>
      </c>
      <c r="O1768" t="s">
        <v>35</v>
      </c>
      <c r="Q1768" t="s">
        <v>26</v>
      </c>
    </row>
    <row r="1769" spans="1:17" x14ac:dyDescent="0.3">
      <c r="A1769" t="s">
        <v>2988</v>
      </c>
      <c r="B1769" t="s">
        <v>2989</v>
      </c>
      <c r="C1769" t="s">
        <v>88</v>
      </c>
      <c r="D1769" t="s">
        <v>103</v>
      </c>
      <c r="E1769">
        <v>52</v>
      </c>
      <c r="F1769" t="s">
        <v>61</v>
      </c>
      <c r="G1769" t="s">
        <v>61</v>
      </c>
      <c r="H1769" t="s">
        <v>32</v>
      </c>
      <c r="I1769" t="s">
        <v>53</v>
      </c>
      <c r="J1769" t="s">
        <v>72</v>
      </c>
      <c r="K1769">
        <v>4</v>
      </c>
      <c r="L1769">
        <v>9000</v>
      </c>
      <c r="M1769">
        <v>20</v>
      </c>
      <c r="N1769">
        <v>28800</v>
      </c>
      <c r="O1769" t="s">
        <v>48</v>
      </c>
      <c r="P1769">
        <v>5</v>
      </c>
      <c r="Q1769" t="s">
        <v>41</v>
      </c>
    </row>
    <row r="1770" spans="1:17" x14ac:dyDescent="0.3">
      <c r="A1770" t="s">
        <v>2990</v>
      </c>
      <c r="B1770" t="s">
        <v>526</v>
      </c>
      <c r="C1770" t="s">
        <v>29</v>
      </c>
      <c r="E1770">
        <v>38</v>
      </c>
      <c r="F1770" t="s">
        <v>51</v>
      </c>
      <c r="G1770" t="s">
        <v>104</v>
      </c>
      <c r="H1770" t="s">
        <v>46</v>
      </c>
      <c r="I1770" t="s">
        <v>79</v>
      </c>
      <c r="J1770" t="s">
        <v>34</v>
      </c>
      <c r="K1770">
        <v>6</v>
      </c>
      <c r="L1770">
        <v>44600</v>
      </c>
      <c r="M1770">
        <v>25</v>
      </c>
      <c r="N1770">
        <v>200700</v>
      </c>
      <c r="O1770" t="s">
        <v>25</v>
      </c>
      <c r="P1770">
        <v>1</v>
      </c>
      <c r="Q1770" t="s">
        <v>26</v>
      </c>
    </row>
    <row r="1771" spans="1:17" x14ac:dyDescent="0.3">
      <c r="A1771" t="s">
        <v>2991</v>
      </c>
      <c r="B1771" t="s">
        <v>1483</v>
      </c>
      <c r="C1771" t="s">
        <v>121</v>
      </c>
      <c r="D1771" t="s">
        <v>103</v>
      </c>
      <c r="E1771">
        <v>48</v>
      </c>
      <c r="F1771" t="s">
        <v>44</v>
      </c>
      <c r="G1771" t="s">
        <v>100</v>
      </c>
      <c r="H1771" t="s">
        <v>62</v>
      </c>
      <c r="I1771" t="s">
        <v>140</v>
      </c>
      <c r="J1771" t="s">
        <v>24</v>
      </c>
      <c r="K1771" t="s">
        <v>443</v>
      </c>
      <c r="L1771">
        <v>12800</v>
      </c>
      <c r="M1771">
        <v>15</v>
      </c>
      <c r="N1771">
        <v>108800</v>
      </c>
      <c r="O1771" t="s">
        <v>35</v>
      </c>
      <c r="P1771">
        <v>5</v>
      </c>
      <c r="Q1771" t="s">
        <v>65</v>
      </c>
    </row>
    <row r="1772" spans="1:17" x14ac:dyDescent="0.3">
      <c r="A1772" t="s">
        <v>2992</v>
      </c>
      <c r="B1772" t="s">
        <v>2993</v>
      </c>
      <c r="C1772" t="s">
        <v>121</v>
      </c>
      <c r="D1772" t="s">
        <v>20</v>
      </c>
      <c r="E1772">
        <v>26</v>
      </c>
      <c r="F1772" t="s">
        <v>44</v>
      </c>
      <c r="G1772" t="s">
        <v>100</v>
      </c>
      <c r="H1772" t="s">
        <v>32</v>
      </c>
      <c r="I1772" t="s">
        <v>53</v>
      </c>
      <c r="J1772" t="s">
        <v>24</v>
      </c>
      <c r="K1772">
        <v>5</v>
      </c>
      <c r="L1772">
        <v>44800</v>
      </c>
      <c r="M1772">
        <v>0</v>
      </c>
      <c r="N1772">
        <v>224000</v>
      </c>
      <c r="O1772" t="s">
        <v>48</v>
      </c>
      <c r="P1772">
        <v>5</v>
      </c>
      <c r="Q1772" t="s">
        <v>26</v>
      </c>
    </row>
    <row r="1773" spans="1:17" x14ac:dyDescent="0.3">
      <c r="A1773" t="s">
        <v>2994</v>
      </c>
      <c r="B1773" t="s">
        <v>893</v>
      </c>
      <c r="C1773" t="s">
        <v>60</v>
      </c>
      <c r="D1773" t="s">
        <v>20</v>
      </c>
      <c r="E1773">
        <v>39</v>
      </c>
      <c r="F1773" t="s">
        <v>44</v>
      </c>
      <c r="G1773" t="s">
        <v>45</v>
      </c>
      <c r="H1773" t="s">
        <v>22</v>
      </c>
      <c r="I1773" t="s">
        <v>23</v>
      </c>
      <c r="J1773" t="s">
        <v>34</v>
      </c>
      <c r="K1773">
        <v>3</v>
      </c>
      <c r="L1773">
        <v>23900</v>
      </c>
      <c r="M1773">
        <v>10</v>
      </c>
      <c r="N1773">
        <v>64530</v>
      </c>
      <c r="O1773" t="s">
        <v>40</v>
      </c>
      <c r="P1773">
        <v>2</v>
      </c>
      <c r="Q1773" t="s">
        <v>26</v>
      </c>
    </row>
    <row r="1774" spans="1:17" x14ac:dyDescent="0.3">
      <c r="A1774" t="s">
        <v>2995</v>
      </c>
      <c r="B1774" t="s">
        <v>1235</v>
      </c>
      <c r="C1774" t="s">
        <v>94</v>
      </c>
      <c r="D1774" t="s">
        <v>103</v>
      </c>
      <c r="E1774">
        <v>44</v>
      </c>
      <c r="F1774" t="s">
        <v>565</v>
      </c>
      <c r="G1774" t="s">
        <v>100</v>
      </c>
      <c r="H1774" t="s">
        <v>22</v>
      </c>
      <c r="I1774" t="s">
        <v>23</v>
      </c>
      <c r="J1774" t="s">
        <v>72</v>
      </c>
      <c r="K1774">
        <v>1</v>
      </c>
      <c r="L1774">
        <v>10100</v>
      </c>
      <c r="M1774">
        <v>20</v>
      </c>
      <c r="N1774">
        <v>8080</v>
      </c>
      <c r="O1774" t="s">
        <v>40</v>
      </c>
      <c r="P1774">
        <v>4</v>
      </c>
      <c r="Q1774" t="s">
        <v>74</v>
      </c>
    </row>
    <row r="1775" spans="1:17" x14ac:dyDescent="0.3">
      <c r="A1775" t="s">
        <v>2996</v>
      </c>
      <c r="B1775" t="s">
        <v>778</v>
      </c>
      <c r="C1775" t="s">
        <v>88</v>
      </c>
      <c r="D1775" t="s">
        <v>20</v>
      </c>
      <c r="E1775">
        <v>58</v>
      </c>
      <c r="F1775" t="s">
        <v>77</v>
      </c>
      <c r="G1775" t="s">
        <v>78</v>
      </c>
      <c r="H1775" t="s">
        <v>22</v>
      </c>
      <c r="I1775" t="s">
        <v>84</v>
      </c>
      <c r="J1775" t="s">
        <v>34</v>
      </c>
      <c r="K1775">
        <v>1</v>
      </c>
      <c r="L1775">
        <v>40600</v>
      </c>
      <c r="M1775">
        <v>15</v>
      </c>
      <c r="N1775">
        <v>34510</v>
      </c>
      <c r="O1775" t="s">
        <v>40</v>
      </c>
      <c r="Q1775" t="s">
        <v>41</v>
      </c>
    </row>
    <row r="1776" spans="1:17" x14ac:dyDescent="0.3">
      <c r="A1776" t="s">
        <v>2997</v>
      </c>
      <c r="B1776" t="s">
        <v>2998</v>
      </c>
      <c r="C1776" t="s">
        <v>88</v>
      </c>
      <c r="E1776">
        <v>40</v>
      </c>
      <c r="F1776" t="s">
        <v>30</v>
      </c>
      <c r="G1776" t="s">
        <v>57</v>
      </c>
      <c r="H1776" t="s">
        <v>22</v>
      </c>
      <c r="I1776" t="s">
        <v>84</v>
      </c>
      <c r="J1776" t="s">
        <v>89</v>
      </c>
      <c r="K1776">
        <v>10</v>
      </c>
      <c r="L1776">
        <v>43900</v>
      </c>
      <c r="M1776">
        <v>20</v>
      </c>
      <c r="N1776">
        <v>351200</v>
      </c>
      <c r="O1776" t="s">
        <v>35</v>
      </c>
      <c r="Q1776" t="s">
        <v>65</v>
      </c>
    </row>
    <row r="1777" spans="1:17" x14ac:dyDescent="0.3">
      <c r="A1777" t="s">
        <v>2999</v>
      </c>
      <c r="B1777" t="s">
        <v>283</v>
      </c>
      <c r="C1777" t="s">
        <v>121</v>
      </c>
      <c r="D1777" t="s">
        <v>83</v>
      </c>
      <c r="E1777">
        <v>59</v>
      </c>
      <c r="F1777" t="s">
        <v>44</v>
      </c>
      <c r="G1777" t="s">
        <v>100</v>
      </c>
      <c r="H1777" t="s">
        <v>62</v>
      </c>
      <c r="I1777" t="s">
        <v>63</v>
      </c>
      <c r="J1777" t="s">
        <v>72</v>
      </c>
      <c r="K1777">
        <v>9</v>
      </c>
      <c r="L1777">
        <v>30300</v>
      </c>
      <c r="M1777">
        <v>20</v>
      </c>
      <c r="N1777">
        <v>218160</v>
      </c>
      <c r="O1777" t="s">
        <v>25</v>
      </c>
      <c r="P1777">
        <v>1</v>
      </c>
      <c r="Q1777" t="s">
        <v>26</v>
      </c>
    </row>
    <row r="1778" spans="1:17" x14ac:dyDescent="0.3">
      <c r="A1778" t="s">
        <v>3000</v>
      </c>
      <c r="B1778" t="s">
        <v>2048</v>
      </c>
      <c r="C1778" t="s">
        <v>121</v>
      </c>
      <c r="D1778" t="s">
        <v>20</v>
      </c>
      <c r="E1778">
        <v>49</v>
      </c>
      <c r="F1778" t="s">
        <v>61</v>
      </c>
      <c r="G1778" t="s">
        <v>61</v>
      </c>
      <c r="H1778" t="s">
        <v>62</v>
      </c>
      <c r="I1778" t="s">
        <v>63</v>
      </c>
      <c r="J1778" t="s">
        <v>34</v>
      </c>
      <c r="K1778">
        <v>10</v>
      </c>
      <c r="L1778">
        <v>40900</v>
      </c>
      <c r="M1778">
        <v>25</v>
      </c>
      <c r="N1778">
        <v>306750</v>
      </c>
      <c r="O1778" t="s">
        <v>105</v>
      </c>
      <c r="P1778">
        <v>2</v>
      </c>
      <c r="Q1778" t="s">
        <v>41</v>
      </c>
    </row>
    <row r="1779" spans="1:17" x14ac:dyDescent="0.3">
      <c r="A1779" t="s">
        <v>3001</v>
      </c>
      <c r="B1779" t="s">
        <v>2089</v>
      </c>
      <c r="C1779" t="s">
        <v>94</v>
      </c>
      <c r="D1779" t="s">
        <v>39</v>
      </c>
      <c r="E1779">
        <v>44</v>
      </c>
      <c r="F1779" t="s">
        <v>51</v>
      </c>
      <c r="G1779" t="s">
        <v>104</v>
      </c>
      <c r="H1779" t="s">
        <v>32</v>
      </c>
      <c r="I1779" t="s">
        <v>53</v>
      </c>
      <c r="J1779" t="s">
        <v>64</v>
      </c>
      <c r="K1779">
        <v>5</v>
      </c>
      <c r="L1779">
        <v>33600</v>
      </c>
      <c r="M1779">
        <v>15</v>
      </c>
      <c r="N1779">
        <v>142800</v>
      </c>
      <c r="O1779" t="s">
        <v>48</v>
      </c>
      <c r="Q1779" t="s">
        <v>26</v>
      </c>
    </row>
    <row r="1780" spans="1:17" x14ac:dyDescent="0.3">
      <c r="A1780" t="s">
        <v>3002</v>
      </c>
      <c r="B1780" t="s">
        <v>417</v>
      </c>
      <c r="C1780" t="s">
        <v>94</v>
      </c>
      <c r="D1780" t="s">
        <v>20</v>
      </c>
      <c r="E1780">
        <v>36</v>
      </c>
      <c r="F1780" t="s">
        <v>30</v>
      </c>
      <c r="G1780" t="s">
        <v>31</v>
      </c>
      <c r="H1780" t="s">
        <v>32</v>
      </c>
      <c r="I1780" t="s">
        <v>53</v>
      </c>
      <c r="J1780" t="s">
        <v>64</v>
      </c>
      <c r="K1780">
        <v>6</v>
      </c>
      <c r="L1780">
        <v>38900</v>
      </c>
      <c r="M1780">
        <v>0</v>
      </c>
      <c r="N1780">
        <v>233400</v>
      </c>
      <c r="O1780" t="s">
        <v>105</v>
      </c>
      <c r="P1780">
        <v>4</v>
      </c>
      <c r="Q1780" t="s">
        <v>65</v>
      </c>
    </row>
    <row r="1781" spans="1:17" x14ac:dyDescent="0.3">
      <c r="A1781" t="s">
        <v>3003</v>
      </c>
      <c r="B1781" t="s">
        <v>1513</v>
      </c>
      <c r="C1781" t="s">
        <v>19</v>
      </c>
      <c r="D1781" t="s">
        <v>103</v>
      </c>
      <c r="E1781">
        <v>30</v>
      </c>
      <c r="F1781" t="s">
        <v>51</v>
      </c>
      <c r="G1781" t="s">
        <v>52</v>
      </c>
      <c r="H1781" t="s">
        <v>62</v>
      </c>
      <c r="I1781" t="s">
        <v>140</v>
      </c>
      <c r="J1781" t="s">
        <v>34</v>
      </c>
      <c r="K1781">
        <v>10</v>
      </c>
      <c r="L1781">
        <v>22500</v>
      </c>
      <c r="M1781">
        <v>20</v>
      </c>
      <c r="N1781">
        <v>180000</v>
      </c>
      <c r="O1781" t="s">
        <v>105</v>
      </c>
      <c r="P1781">
        <v>5</v>
      </c>
      <c r="Q1781" t="s">
        <v>65</v>
      </c>
    </row>
    <row r="1782" spans="1:17" x14ac:dyDescent="0.3">
      <c r="A1782" t="s">
        <v>3004</v>
      </c>
      <c r="B1782" t="s">
        <v>1358</v>
      </c>
      <c r="C1782" t="s">
        <v>121</v>
      </c>
      <c r="D1782" t="s">
        <v>103</v>
      </c>
      <c r="E1782">
        <v>36</v>
      </c>
      <c r="F1782" t="s">
        <v>44</v>
      </c>
      <c r="G1782" t="s">
        <v>100</v>
      </c>
      <c r="H1782" t="s">
        <v>62</v>
      </c>
      <c r="I1782" t="s">
        <v>63</v>
      </c>
      <c r="J1782" t="s">
        <v>34</v>
      </c>
      <c r="K1782">
        <v>4</v>
      </c>
      <c r="L1782">
        <v>45700</v>
      </c>
      <c r="M1782">
        <v>5</v>
      </c>
      <c r="N1782">
        <v>173660</v>
      </c>
      <c r="O1782" t="s">
        <v>105</v>
      </c>
      <c r="Q1782" t="s">
        <v>74</v>
      </c>
    </row>
    <row r="1783" spans="1:17" x14ac:dyDescent="0.3">
      <c r="A1783" t="s">
        <v>3005</v>
      </c>
      <c r="B1783" t="s">
        <v>3006</v>
      </c>
      <c r="C1783" t="s">
        <v>113</v>
      </c>
      <c r="E1783">
        <v>58</v>
      </c>
      <c r="F1783" t="s">
        <v>277</v>
      </c>
      <c r="G1783" t="s">
        <v>45</v>
      </c>
      <c r="H1783" t="s">
        <v>22</v>
      </c>
      <c r="I1783" t="s">
        <v>23</v>
      </c>
      <c r="J1783" t="s">
        <v>80</v>
      </c>
      <c r="K1783">
        <v>10</v>
      </c>
      <c r="L1783">
        <v>16900</v>
      </c>
      <c r="M1783">
        <v>15</v>
      </c>
      <c r="N1783">
        <v>143650</v>
      </c>
      <c r="O1783" t="s">
        <v>85</v>
      </c>
      <c r="Q1783" t="s">
        <v>74</v>
      </c>
    </row>
    <row r="1784" spans="1:17" x14ac:dyDescent="0.3">
      <c r="A1784" t="s">
        <v>3007</v>
      </c>
      <c r="B1784" t="s">
        <v>1582</v>
      </c>
      <c r="C1784" t="s">
        <v>29</v>
      </c>
      <c r="D1784" t="s">
        <v>83</v>
      </c>
      <c r="E1784">
        <v>33</v>
      </c>
      <c r="F1784" t="s">
        <v>51</v>
      </c>
      <c r="G1784" t="s">
        <v>104</v>
      </c>
      <c r="H1784" t="s">
        <v>22</v>
      </c>
      <c r="I1784" t="s">
        <v>84</v>
      </c>
      <c r="J1784" t="s">
        <v>80</v>
      </c>
      <c r="K1784">
        <v>7</v>
      </c>
      <c r="L1784">
        <v>5600</v>
      </c>
      <c r="M1784">
        <v>15</v>
      </c>
      <c r="N1784">
        <v>33320</v>
      </c>
      <c r="O1784" t="s">
        <v>105</v>
      </c>
      <c r="P1784">
        <v>1</v>
      </c>
      <c r="Q1784" t="s">
        <v>74</v>
      </c>
    </row>
    <row r="1785" spans="1:17" x14ac:dyDescent="0.3">
      <c r="A1785" t="s">
        <v>3008</v>
      </c>
      <c r="B1785" t="s">
        <v>807</v>
      </c>
      <c r="C1785" t="s">
        <v>19</v>
      </c>
      <c r="D1785" t="s">
        <v>83</v>
      </c>
      <c r="E1785">
        <v>44</v>
      </c>
      <c r="F1785" t="s">
        <v>51</v>
      </c>
      <c r="G1785" t="s">
        <v>104</v>
      </c>
      <c r="H1785" t="s">
        <v>22</v>
      </c>
      <c r="I1785" t="s">
        <v>23</v>
      </c>
      <c r="J1785" t="s">
        <v>24</v>
      </c>
      <c r="K1785">
        <v>6</v>
      </c>
      <c r="L1785">
        <v>42900</v>
      </c>
      <c r="M1785">
        <v>10</v>
      </c>
      <c r="N1785">
        <v>231660</v>
      </c>
      <c r="O1785" t="s">
        <v>40</v>
      </c>
      <c r="Q1785" t="s">
        <v>26</v>
      </c>
    </row>
    <row r="1786" spans="1:17" x14ac:dyDescent="0.3">
      <c r="A1786" t="s">
        <v>3009</v>
      </c>
      <c r="B1786" t="s">
        <v>3010</v>
      </c>
      <c r="C1786" t="s">
        <v>94</v>
      </c>
      <c r="D1786" t="s">
        <v>103</v>
      </c>
      <c r="E1786">
        <v>28</v>
      </c>
      <c r="F1786" t="s">
        <v>61</v>
      </c>
      <c r="G1786" t="s">
        <v>61</v>
      </c>
      <c r="H1786" t="s">
        <v>32</v>
      </c>
      <c r="I1786" t="s">
        <v>33</v>
      </c>
      <c r="J1786" t="s">
        <v>34</v>
      </c>
      <c r="K1786">
        <v>2</v>
      </c>
      <c r="L1786">
        <v>7200</v>
      </c>
      <c r="M1786">
        <v>25</v>
      </c>
      <c r="N1786">
        <v>10800</v>
      </c>
      <c r="O1786" t="s">
        <v>48</v>
      </c>
      <c r="P1786">
        <v>3</v>
      </c>
      <c r="Q1786" t="s">
        <v>41</v>
      </c>
    </row>
    <row r="1787" spans="1:17" x14ac:dyDescent="0.3">
      <c r="A1787" t="s">
        <v>3011</v>
      </c>
      <c r="B1787" t="s">
        <v>2547</v>
      </c>
      <c r="C1787" t="s">
        <v>60</v>
      </c>
      <c r="D1787" t="s">
        <v>39</v>
      </c>
      <c r="E1787">
        <v>24</v>
      </c>
      <c r="F1787" t="s">
        <v>51</v>
      </c>
      <c r="G1787" t="s">
        <v>52</v>
      </c>
      <c r="H1787" t="s">
        <v>62</v>
      </c>
      <c r="I1787" t="s">
        <v>140</v>
      </c>
      <c r="J1787" t="s">
        <v>34</v>
      </c>
      <c r="K1787" t="s">
        <v>562</v>
      </c>
      <c r="L1787">
        <v>41500</v>
      </c>
      <c r="M1787">
        <v>5</v>
      </c>
      <c r="N1787">
        <v>157700</v>
      </c>
      <c r="O1787" t="s">
        <v>105</v>
      </c>
      <c r="P1787">
        <v>1</v>
      </c>
      <c r="Q1787" t="s">
        <v>26</v>
      </c>
    </row>
    <row r="1788" spans="1:17" x14ac:dyDescent="0.3">
      <c r="A1788" t="s">
        <v>3012</v>
      </c>
      <c r="B1788" t="s">
        <v>3013</v>
      </c>
      <c r="C1788" t="s">
        <v>38</v>
      </c>
      <c r="D1788" t="s">
        <v>39</v>
      </c>
      <c r="E1788">
        <v>37</v>
      </c>
      <c r="F1788" t="s">
        <v>812</v>
      </c>
      <c r="G1788" t="s">
        <v>78</v>
      </c>
      <c r="H1788" t="s">
        <v>46</v>
      </c>
      <c r="I1788" t="s">
        <v>47</v>
      </c>
      <c r="J1788" t="s">
        <v>64</v>
      </c>
      <c r="K1788">
        <v>8</v>
      </c>
      <c r="L1788">
        <v>12500</v>
      </c>
      <c r="M1788">
        <v>0</v>
      </c>
      <c r="N1788">
        <v>100000</v>
      </c>
      <c r="O1788" t="s">
        <v>85</v>
      </c>
      <c r="P1788">
        <v>2</v>
      </c>
      <c r="Q1788" t="s">
        <v>41</v>
      </c>
    </row>
    <row r="1789" spans="1:17" x14ac:dyDescent="0.3">
      <c r="A1789" t="s">
        <v>3014</v>
      </c>
      <c r="B1789" t="s">
        <v>364</v>
      </c>
      <c r="C1789" t="s">
        <v>113</v>
      </c>
      <c r="E1789">
        <v>54</v>
      </c>
      <c r="F1789" t="s">
        <v>21</v>
      </c>
      <c r="G1789" t="s">
        <v>21</v>
      </c>
      <c r="H1789" t="s">
        <v>32</v>
      </c>
      <c r="I1789" t="s">
        <v>53</v>
      </c>
      <c r="J1789" t="s">
        <v>64</v>
      </c>
      <c r="K1789">
        <v>3</v>
      </c>
      <c r="L1789">
        <v>19300</v>
      </c>
      <c r="M1789">
        <v>5</v>
      </c>
      <c r="N1789">
        <v>55005</v>
      </c>
      <c r="O1789" t="s">
        <v>85</v>
      </c>
      <c r="Q1789" t="s">
        <v>74</v>
      </c>
    </row>
    <row r="1790" spans="1:17" x14ac:dyDescent="0.3">
      <c r="A1790" t="s">
        <v>3015</v>
      </c>
      <c r="B1790" t="s">
        <v>1694</v>
      </c>
      <c r="C1790" t="s">
        <v>19</v>
      </c>
      <c r="D1790" t="s">
        <v>83</v>
      </c>
      <c r="E1790">
        <v>49</v>
      </c>
      <c r="F1790" t="s">
        <v>77</v>
      </c>
      <c r="G1790" t="s">
        <v>95</v>
      </c>
      <c r="H1790" t="s">
        <v>46</v>
      </c>
      <c r="I1790" t="s">
        <v>79</v>
      </c>
      <c r="J1790" t="s">
        <v>80</v>
      </c>
      <c r="K1790">
        <v>8</v>
      </c>
      <c r="L1790">
        <v>2200</v>
      </c>
      <c r="M1790">
        <v>15</v>
      </c>
      <c r="N1790">
        <v>14960</v>
      </c>
      <c r="O1790" t="s">
        <v>48</v>
      </c>
      <c r="P1790">
        <v>3</v>
      </c>
      <c r="Q1790" t="s">
        <v>26</v>
      </c>
    </row>
    <row r="1791" spans="1:17" x14ac:dyDescent="0.3">
      <c r="A1791" t="s">
        <v>3016</v>
      </c>
      <c r="B1791" t="s">
        <v>730</v>
      </c>
      <c r="C1791" t="s">
        <v>60</v>
      </c>
      <c r="D1791" t="s">
        <v>20</v>
      </c>
      <c r="E1791">
        <v>49</v>
      </c>
      <c r="F1791" t="s">
        <v>77</v>
      </c>
      <c r="G1791" t="s">
        <v>78</v>
      </c>
      <c r="H1791" t="s">
        <v>32</v>
      </c>
      <c r="I1791" t="s">
        <v>33</v>
      </c>
      <c r="J1791" t="s">
        <v>24</v>
      </c>
      <c r="K1791">
        <v>5</v>
      </c>
      <c r="L1791">
        <v>27200</v>
      </c>
      <c r="M1791">
        <v>15</v>
      </c>
      <c r="N1791">
        <v>115600</v>
      </c>
      <c r="O1791" t="s">
        <v>73</v>
      </c>
      <c r="P1791">
        <v>4</v>
      </c>
      <c r="Q1791" t="s">
        <v>65</v>
      </c>
    </row>
    <row r="1792" spans="1:17" x14ac:dyDescent="0.3">
      <c r="A1792" t="s">
        <v>3017</v>
      </c>
      <c r="B1792" t="s">
        <v>2824</v>
      </c>
      <c r="C1792" t="s">
        <v>68</v>
      </c>
      <c r="D1792" t="s">
        <v>20</v>
      </c>
      <c r="E1792">
        <v>53</v>
      </c>
      <c r="F1792" t="s">
        <v>51</v>
      </c>
      <c r="G1792" t="s">
        <v>104</v>
      </c>
      <c r="H1792" t="s">
        <v>46</v>
      </c>
      <c r="I1792" t="s">
        <v>79</v>
      </c>
      <c r="J1792" t="s">
        <v>24</v>
      </c>
      <c r="K1792">
        <v>9</v>
      </c>
      <c r="L1792">
        <v>46500</v>
      </c>
      <c r="M1792">
        <v>5</v>
      </c>
      <c r="N1792">
        <v>397575</v>
      </c>
      <c r="O1792" t="s">
        <v>48</v>
      </c>
      <c r="P1792">
        <v>3</v>
      </c>
      <c r="Q1792" t="s">
        <v>26</v>
      </c>
    </row>
    <row r="1793" spans="1:17" x14ac:dyDescent="0.3">
      <c r="A1793" t="s">
        <v>3018</v>
      </c>
      <c r="B1793" t="s">
        <v>906</v>
      </c>
      <c r="C1793" t="s">
        <v>38</v>
      </c>
      <c r="D1793" t="s">
        <v>83</v>
      </c>
      <c r="E1793">
        <v>23</v>
      </c>
      <c r="F1793" t="s">
        <v>30</v>
      </c>
      <c r="G1793" t="s">
        <v>31</v>
      </c>
      <c r="H1793" t="s">
        <v>62</v>
      </c>
      <c r="I1793" t="s">
        <v>63</v>
      </c>
      <c r="J1793" t="s">
        <v>24</v>
      </c>
      <c r="K1793">
        <v>5</v>
      </c>
      <c r="L1793">
        <v>16800</v>
      </c>
      <c r="M1793">
        <v>0</v>
      </c>
      <c r="N1793">
        <v>84000</v>
      </c>
      <c r="O1793" t="s">
        <v>48</v>
      </c>
      <c r="P1793">
        <v>4</v>
      </c>
      <c r="Q1793" t="s">
        <v>41</v>
      </c>
    </row>
    <row r="1794" spans="1:17" x14ac:dyDescent="0.3">
      <c r="A1794" t="s">
        <v>3019</v>
      </c>
      <c r="B1794" t="s">
        <v>2344</v>
      </c>
      <c r="C1794" t="s">
        <v>94</v>
      </c>
      <c r="D1794" t="s">
        <v>103</v>
      </c>
      <c r="E1794">
        <v>35</v>
      </c>
      <c r="F1794" t="s">
        <v>30</v>
      </c>
      <c r="G1794" t="s">
        <v>57</v>
      </c>
      <c r="H1794" t="s">
        <v>22</v>
      </c>
      <c r="I1794" t="s">
        <v>84</v>
      </c>
      <c r="J1794" t="s">
        <v>89</v>
      </c>
      <c r="K1794">
        <v>4</v>
      </c>
      <c r="L1794">
        <v>12300</v>
      </c>
      <c r="M1794">
        <v>10</v>
      </c>
      <c r="N1794">
        <v>44280</v>
      </c>
      <c r="O1794" t="s">
        <v>105</v>
      </c>
      <c r="P1794">
        <v>4</v>
      </c>
      <c r="Q1794" t="s">
        <v>74</v>
      </c>
    </row>
    <row r="1795" spans="1:17" x14ac:dyDescent="0.3">
      <c r="A1795" t="s">
        <v>3020</v>
      </c>
      <c r="B1795" t="s">
        <v>2942</v>
      </c>
      <c r="C1795" t="s">
        <v>19</v>
      </c>
      <c r="D1795" t="s">
        <v>20</v>
      </c>
      <c r="E1795">
        <v>41</v>
      </c>
      <c r="F1795" t="s">
        <v>21</v>
      </c>
      <c r="G1795" t="s">
        <v>21</v>
      </c>
      <c r="H1795" t="s">
        <v>116</v>
      </c>
      <c r="I1795" t="s">
        <v>84</v>
      </c>
      <c r="J1795" t="s">
        <v>80</v>
      </c>
      <c r="K1795">
        <v>4</v>
      </c>
      <c r="L1795">
        <v>23000</v>
      </c>
      <c r="M1795">
        <v>0</v>
      </c>
      <c r="N1795">
        <v>92000</v>
      </c>
      <c r="O1795" t="s">
        <v>73</v>
      </c>
      <c r="Q1795" t="s">
        <v>65</v>
      </c>
    </row>
    <row r="1796" spans="1:17" x14ac:dyDescent="0.3">
      <c r="A1796" t="s">
        <v>3021</v>
      </c>
      <c r="B1796" t="s">
        <v>3022</v>
      </c>
      <c r="C1796" t="s">
        <v>60</v>
      </c>
      <c r="D1796" t="s">
        <v>39</v>
      </c>
      <c r="E1796">
        <v>47</v>
      </c>
      <c r="F1796" t="s">
        <v>77</v>
      </c>
      <c r="G1796" t="s">
        <v>95</v>
      </c>
      <c r="H1796" t="s">
        <v>22</v>
      </c>
      <c r="I1796" t="s">
        <v>23</v>
      </c>
      <c r="J1796" t="s">
        <v>64</v>
      </c>
      <c r="K1796">
        <v>10</v>
      </c>
      <c r="L1796">
        <v>22700</v>
      </c>
      <c r="M1796">
        <v>20</v>
      </c>
      <c r="N1796">
        <v>181600</v>
      </c>
      <c r="O1796" t="s">
        <v>162</v>
      </c>
      <c r="P1796">
        <v>5</v>
      </c>
      <c r="Q1796" t="s">
        <v>41</v>
      </c>
    </row>
    <row r="1797" spans="1:17" x14ac:dyDescent="0.3">
      <c r="A1797" t="s">
        <v>3023</v>
      </c>
      <c r="B1797" t="s">
        <v>2708</v>
      </c>
      <c r="C1797" t="s">
        <v>88</v>
      </c>
      <c r="D1797" t="s">
        <v>39</v>
      </c>
      <c r="E1797">
        <v>46</v>
      </c>
      <c r="F1797" t="s">
        <v>21</v>
      </c>
      <c r="G1797" t="s">
        <v>21</v>
      </c>
      <c r="H1797" t="s">
        <v>46</v>
      </c>
      <c r="I1797" t="s">
        <v>47</v>
      </c>
      <c r="J1797" t="s">
        <v>64</v>
      </c>
      <c r="K1797">
        <v>10</v>
      </c>
      <c r="L1797">
        <v>35800</v>
      </c>
      <c r="M1797">
        <v>20</v>
      </c>
      <c r="N1797">
        <v>286400</v>
      </c>
      <c r="O1797" t="s">
        <v>48</v>
      </c>
      <c r="P1797">
        <v>4</v>
      </c>
      <c r="Q1797" t="s">
        <v>41</v>
      </c>
    </row>
    <row r="1798" spans="1:17" x14ac:dyDescent="0.3">
      <c r="A1798" t="s">
        <v>3024</v>
      </c>
      <c r="B1798" t="s">
        <v>3022</v>
      </c>
      <c r="C1798" t="s">
        <v>60</v>
      </c>
      <c r="D1798" t="s">
        <v>103</v>
      </c>
      <c r="E1798">
        <v>62</v>
      </c>
      <c r="F1798" t="s">
        <v>1253</v>
      </c>
      <c r="G1798" t="s">
        <v>52</v>
      </c>
      <c r="H1798" t="s">
        <v>22</v>
      </c>
      <c r="I1798" t="s">
        <v>84</v>
      </c>
      <c r="J1798" t="s">
        <v>24</v>
      </c>
      <c r="K1798">
        <v>7</v>
      </c>
      <c r="L1798">
        <v>39800</v>
      </c>
      <c r="M1798">
        <v>0</v>
      </c>
      <c r="N1798">
        <v>278600</v>
      </c>
      <c r="O1798" t="s">
        <v>48</v>
      </c>
      <c r="P1798">
        <v>2</v>
      </c>
      <c r="Q1798" t="s">
        <v>74</v>
      </c>
    </row>
    <row r="1799" spans="1:17" x14ac:dyDescent="0.3">
      <c r="A1799" t="s">
        <v>3025</v>
      </c>
      <c r="B1799" t="s">
        <v>1168</v>
      </c>
      <c r="C1799" t="s">
        <v>68</v>
      </c>
      <c r="D1799" t="s">
        <v>39</v>
      </c>
      <c r="E1799">
        <v>30</v>
      </c>
      <c r="F1799" t="s">
        <v>30</v>
      </c>
      <c r="G1799" t="s">
        <v>31</v>
      </c>
      <c r="H1799" t="s">
        <v>32</v>
      </c>
      <c r="I1799" t="s">
        <v>33</v>
      </c>
      <c r="J1799" t="s">
        <v>34</v>
      </c>
      <c r="K1799">
        <v>3</v>
      </c>
      <c r="L1799">
        <v>45200</v>
      </c>
      <c r="M1799">
        <v>20</v>
      </c>
      <c r="N1799">
        <v>108480</v>
      </c>
      <c r="O1799" t="s">
        <v>40</v>
      </c>
      <c r="P1799">
        <v>3</v>
      </c>
      <c r="Q1799" t="s">
        <v>65</v>
      </c>
    </row>
    <row r="1800" spans="1:17" x14ac:dyDescent="0.3">
      <c r="A1800" t="s">
        <v>3026</v>
      </c>
      <c r="B1800" t="s">
        <v>1615</v>
      </c>
      <c r="C1800" t="s">
        <v>71</v>
      </c>
      <c r="D1800" t="s">
        <v>39</v>
      </c>
      <c r="E1800">
        <v>37</v>
      </c>
      <c r="F1800" t="s">
        <v>21</v>
      </c>
      <c r="G1800" t="s">
        <v>21</v>
      </c>
      <c r="H1800" t="s">
        <v>22</v>
      </c>
      <c r="I1800" t="s">
        <v>23</v>
      </c>
      <c r="J1800" t="s">
        <v>80</v>
      </c>
      <c r="K1800">
        <v>1</v>
      </c>
      <c r="L1800">
        <v>11800</v>
      </c>
      <c r="M1800">
        <v>20</v>
      </c>
      <c r="N1800">
        <v>9440</v>
      </c>
      <c r="O1800" t="s">
        <v>25</v>
      </c>
      <c r="P1800">
        <v>3</v>
      </c>
      <c r="Q1800" t="s">
        <v>26</v>
      </c>
    </row>
    <row r="1801" spans="1:17" x14ac:dyDescent="0.3">
      <c r="A1801" t="s">
        <v>3027</v>
      </c>
      <c r="B1801" t="s">
        <v>498</v>
      </c>
      <c r="C1801" t="s">
        <v>71</v>
      </c>
      <c r="D1801" t="s">
        <v>83</v>
      </c>
      <c r="E1801">
        <v>31</v>
      </c>
      <c r="F1801" t="s">
        <v>30</v>
      </c>
      <c r="G1801" t="s">
        <v>31</v>
      </c>
      <c r="H1801" t="s">
        <v>32</v>
      </c>
      <c r="I1801" t="s">
        <v>53</v>
      </c>
      <c r="J1801" t="s">
        <v>64</v>
      </c>
      <c r="K1801">
        <v>9</v>
      </c>
      <c r="L1801">
        <v>46700</v>
      </c>
      <c r="M1801">
        <v>5</v>
      </c>
      <c r="N1801">
        <v>399285</v>
      </c>
      <c r="O1801" t="s">
        <v>73</v>
      </c>
      <c r="P1801">
        <v>4</v>
      </c>
      <c r="Q1801" t="s">
        <v>41</v>
      </c>
    </row>
    <row r="1802" spans="1:17" x14ac:dyDescent="0.3">
      <c r="A1802" t="s">
        <v>3028</v>
      </c>
      <c r="B1802" t="s">
        <v>3029</v>
      </c>
      <c r="C1802" t="s">
        <v>121</v>
      </c>
      <c r="D1802" t="s">
        <v>103</v>
      </c>
      <c r="E1802">
        <v>24</v>
      </c>
      <c r="F1802" t="s">
        <v>21</v>
      </c>
      <c r="G1802" t="s">
        <v>21</v>
      </c>
      <c r="H1802" t="s">
        <v>22</v>
      </c>
      <c r="I1802" t="s">
        <v>23</v>
      </c>
      <c r="J1802" t="s">
        <v>72</v>
      </c>
      <c r="K1802">
        <v>3</v>
      </c>
      <c r="L1802">
        <v>7700</v>
      </c>
      <c r="M1802">
        <v>15</v>
      </c>
      <c r="N1802">
        <v>19635</v>
      </c>
      <c r="O1802" t="s">
        <v>85</v>
      </c>
      <c r="Q1802" t="s">
        <v>26</v>
      </c>
    </row>
    <row r="1803" spans="1:17" x14ac:dyDescent="0.3">
      <c r="A1803" t="s">
        <v>3030</v>
      </c>
      <c r="B1803" t="s">
        <v>2832</v>
      </c>
      <c r="C1803" t="s">
        <v>38</v>
      </c>
      <c r="D1803" t="s">
        <v>39</v>
      </c>
      <c r="E1803">
        <v>52</v>
      </c>
      <c r="F1803" t="s">
        <v>44</v>
      </c>
      <c r="G1803" t="s">
        <v>100</v>
      </c>
      <c r="H1803" t="s">
        <v>62</v>
      </c>
      <c r="I1803" t="s">
        <v>140</v>
      </c>
      <c r="J1803" t="s">
        <v>89</v>
      </c>
      <c r="K1803">
        <v>5</v>
      </c>
      <c r="L1803">
        <v>43200</v>
      </c>
      <c r="M1803">
        <v>0</v>
      </c>
      <c r="N1803">
        <v>216000</v>
      </c>
      <c r="O1803" t="s">
        <v>35</v>
      </c>
      <c r="P1803">
        <v>2</v>
      </c>
      <c r="Q1803" t="s">
        <v>65</v>
      </c>
    </row>
    <row r="1804" spans="1:17" x14ac:dyDescent="0.3">
      <c r="A1804" t="s">
        <v>3031</v>
      </c>
      <c r="B1804" t="s">
        <v>1462</v>
      </c>
      <c r="C1804" t="s">
        <v>19</v>
      </c>
      <c r="E1804">
        <v>21</v>
      </c>
      <c r="F1804" t="s">
        <v>77</v>
      </c>
      <c r="G1804" t="s">
        <v>95</v>
      </c>
      <c r="H1804" t="s">
        <v>62</v>
      </c>
      <c r="I1804" t="s">
        <v>63</v>
      </c>
      <c r="J1804" t="s">
        <v>89</v>
      </c>
      <c r="K1804">
        <v>4</v>
      </c>
      <c r="L1804">
        <v>11800</v>
      </c>
      <c r="M1804">
        <v>10</v>
      </c>
      <c r="N1804">
        <v>42480</v>
      </c>
      <c r="O1804" t="s">
        <v>48</v>
      </c>
      <c r="Q1804" t="s">
        <v>26</v>
      </c>
    </row>
    <row r="1805" spans="1:17" x14ac:dyDescent="0.3">
      <c r="A1805" t="s">
        <v>3032</v>
      </c>
      <c r="B1805" t="s">
        <v>3033</v>
      </c>
      <c r="C1805" t="s">
        <v>68</v>
      </c>
      <c r="D1805" t="s">
        <v>39</v>
      </c>
      <c r="E1805">
        <v>50</v>
      </c>
      <c r="F1805" t="s">
        <v>51</v>
      </c>
      <c r="G1805" t="s">
        <v>52</v>
      </c>
      <c r="H1805" t="s">
        <v>22</v>
      </c>
      <c r="I1805" t="s">
        <v>23</v>
      </c>
      <c r="J1805" t="s">
        <v>64</v>
      </c>
      <c r="K1805">
        <v>4</v>
      </c>
      <c r="L1805">
        <v>31600</v>
      </c>
      <c r="M1805">
        <v>25</v>
      </c>
      <c r="N1805">
        <v>94800</v>
      </c>
      <c r="O1805" t="s">
        <v>35</v>
      </c>
      <c r="P1805">
        <v>4</v>
      </c>
      <c r="Q1805" t="s">
        <v>26</v>
      </c>
    </row>
    <row r="1806" spans="1:17" x14ac:dyDescent="0.3">
      <c r="A1806" t="s">
        <v>3034</v>
      </c>
      <c r="B1806" t="s">
        <v>1987</v>
      </c>
      <c r="C1806" t="s">
        <v>88</v>
      </c>
      <c r="D1806" t="s">
        <v>103</v>
      </c>
      <c r="E1806">
        <v>65</v>
      </c>
      <c r="F1806" t="s">
        <v>51</v>
      </c>
      <c r="G1806" t="s">
        <v>104</v>
      </c>
      <c r="H1806" t="s">
        <v>32</v>
      </c>
      <c r="I1806" t="s">
        <v>53</v>
      </c>
      <c r="J1806" t="s">
        <v>24</v>
      </c>
      <c r="K1806">
        <v>4</v>
      </c>
      <c r="L1806">
        <v>13300</v>
      </c>
      <c r="M1806">
        <v>20</v>
      </c>
      <c r="N1806">
        <v>42560</v>
      </c>
      <c r="O1806" t="s">
        <v>85</v>
      </c>
      <c r="P1806">
        <v>5</v>
      </c>
      <c r="Q1806" t="s">
        <v>41</v>
      </c>
    </row>
    <row r="1807" spans="1:17" x14ac:dyDescent="0.3">
      <c r="A1807" t="s">
        <v>3035</v>
      </c>
      <c r="B1807" t="s">
        <v>3036</v>
      </c>
      <c r="C1807" t="s">
        <v>38</v>
      </c>
      <c r="D1807" t="s">
        <v>83</v>
      </c>
      <c r="E1807">
        <v>28</v>
      </c>
      <c r="F1807" t="s">
        <v>21</v>
      </c>
      <c r="G1807" t="s">
        <v>21</v>
      </c>
      <c r="H1807" t="s">
        <v>22</v>
      </c>
      <c r="I1807" t="s">
        <v>23</v>
      </c>
      <c r="J1807" t="s">
        <v>72</v>
      </c>
      <c r="K1807">
        <v>3</v>
      </c>
      <c r="L1807">
        <v>43000</v>
      </c>
      <c r="M1807">
        <v>0</v>
      </c>
      <c r="N1807">
        <v>129000</v>
      </c>
      <c r="O1807" t="s">
        <v>40</v>
      </c>
      <c r="P1807">
        <v>4</v>
      </c>
      <c r="Q1807" t="s">
        <v>26</v>
      </c>
    </row>
    <row r="1808" spans="1:17" x14ac:dyDescent="0.3">
      <c r="A1808" t="s">
        <v>3037</v>
      </c>
      <c r="B1808" t="s">
        <v>3038</v>
      </c>
      <c r="C1808" t="s">
        <v>113</v>
      </c>
      <c r="E1808">
        <v>59</v>
      </c>
      <c r="F1808" t="s">
        <v>21</v>
      </c>
      <c r="G1808" t="s">
        <v>21</v>
      </c>
      <c r="H1808" t="s">
        <v>22</v>
      </c>
      <c r="I1808" t="s">
        <v>84</v>
      </c>
      <c r="J1808" t="s">
        <v>80</v>
      </c>
      <c r="K1808">
        <v>6</v>
      </c>
      <c r="L1808">
        <v>44300</v>
      </c>
      <c r="M1808">
        <v>10</v>
      </c>
      <c r="N1808">
        <v>239220</v>
      </c>
      <c r="O1808" t="s">
        <v>105</v>
      </c>
      <c r="Q1808" t="s">
        <v>65</v>
      </c>
    </row>
    <row r="1809" spans="1:17" x14ac:dyDescent="0.3">
      <c r="A1809" t="s">
        <v>3039</v>
      </c>
      <c r="B1809" t="s">
        <v>962</v>
      </c>
      <c r="C1809" t="s">
        <v>88</v>
      </c>
      <c r="D1809" t="s">
        <v>83</v>
      </c>
      <c r="E1809">
        <v>23</v>
      </c>
      <c r="F1809" t="s">
        <v>44</v>
      </c>
      <c r="G1809" t="s">
        <v>45</v>
      </c>
      <c r="H1809" t="s">
        <v>62</v>
      </c>
      <c r="I1809" t="s">
        <v>140</v>
      </c>
      <c r="J1809" t="s">
        <v>64</v>
      </c>
      <c r="K1809">
        <v>3</v>
      </c>
      <c r="L1809">
        <v>38100</v>
      </c>
      <c r="M1809">
        <v>25</v>
      </c>
      <c r="N1809">
        <v>85725</v>
      </c>
      <c r="O1809" t="s">
        <v>25</v>
      </c>
      <c r="P1809">
        <v>1</v>
      </c>
      <c r="Q1809" t="s">
        <v>65</v>
      </c>
    </row>
    <row r="1810" spans="1:17" x14ac:dyDescent="0.3">
      <c r="A1810" t="s">
        <v>3040</v>
      </c>
      <c r="B1810" t="s">
        <v>399</v>
      </c>
      <c r="C1810" t="s">
        <v>19</v>
      </c>
      <c r="D1810" t="s">
        <v>103</v>
      </c>
      <c r="E1810">
        <v>44</v>
      </c>
      <c r="F1810" t="s">
        <v>51</v>
      </c>
      <c r="G1810" t="s">
        <v>104</v>
      </c>
      <c r="H1810" t="s">
        <v>62</v>
      </c>
      <c r="I1810" t="s">
        <v>140</v>
      </c>
      <c r="J1810" t="s">
        <v>24</v>
      </c>
      <c r="K1810">
        <v>10</v>
      </c>
      <c r="L1810">
        <v>36300</v>
      </c>
      <c r="M1810">
        <v>5</v>
      </c>
      <c r="N1810">
        <v>344850</v>
      </c>
      <c r="O1810" t="s">
        <v>35</v>
      </c>
      <c r="P1810">
        <v>1</v>
      </c>
      <c r="Q1810" t="s">
        <v>74</v>
      </c>
    </row>
    <row r="1811" spans="1:17" x14ac:dyDescent="0.3">
      <c r="A1811" t="s">
        <v>3041</v>
      </c>
      <c r="B1811" t="s">
        <v>2879</v>
      </c>
      <c r="C1811" t="s">
        <v>71</v>
      </c>
      <c r="E1811">
        <v>41</v>
      </c>
      <c r="F1811" t="s">
        <v>61</v>
      </c>
      <c r="G1811" t="s">
        <v>61</v>
      </c>
      <c r="H1811" t="s">
        <v>62</v>
      </c>
      <c r="I1811" t="s">
        <v>140</v>
      </c>
      <c r="J1811" t="s">
        <v>80</v>
      </c>
      <c r="K1811">
        <v>7</v>
      </c>
      <c r="L1811">
        <v>21200</v>
      </c>
      <c r="M1811">
        <v>5</v>
      </c>
      <c r="N1811">
        <v>140980</v>
      </c>
      <c r="O1811" t="s">
        <v>105</v>
      </c>
      <c r="P1811">
        <v>3</v>
      </c>
      <c r="Q1811" t="s">
        <v>65</v>
      </c>
    </row>
    <row r="1812" spans="1:17" x14ac:dyDescent="0.3">
      <c r="A1812" t="s">
        <v>3042</v>
      </c>
      <c r="B1812" t="s">
        <v>3043</v>
      </c>
      <c r="C1812" t="s">
        <v>71</v>
      </c>
      <c r="D1812" t="s">
        <v>20</v>
      </c>
      <c r="E1812">
        <v>44</v>
      </c>
      <c r="F1812" t="s">
        <v>21</v>
      </c>
      <c r="G1812" t="s">
        <v>21</v>
      </c>
      <c r="H1812" t="s">
        <v>46</v>
      </c>
      <c r="I1812" t="s">
        <v>47</v>
      </c>
      <c r="J1812" t="s">
        <v>89</v>
      </c>
      <c r="K1812">
        <v>6</v>
      </c>
      <c r="L1812">
        <v>23000</v>
      </c>
      <c r="M1812">
        <v>20</v>
      </c>
      <c r="N1812">
        <v>110400</v>
      </c>
      <c r="O1812" t="s">
        <v>85</v>
      </c>
      <c r="Q1812" t="s">
        <v>41</v>
      </c>
    </row>
    <row r="1813" spans="1:17" x14ac:dyDescent="0.3">
      <c r="A1813" t="s">
        <v>3044</v>
      </c>
      <c r="B1813" t="s">
        <v>1139</v>
      </c>
      <c r="C1813" t="s">
        <v>71</v>
      </c>
      <c r="D1813" t="s">
        <v>20</v>
      </c>
      <c r="E1813">
        <v>38</v>
      </c>
      <c r="F1813" t="s">
        <v>44</v>
      </c>
      <c r="G1813" t="s">
        <v>100</v>
      </c>
      <c r="H1813" t="s">
        <v>46</v>
      </c>
      <c r="I1813" t="s">
        <v>79</v>
      </c>
      <c r="J1813" t="s">
        <v>72</v>
      </c>
      <c r="K1813">
        <v>4</v>
      </c>
      <c r="L1813">
        <v>11000</v>
      </c>
      <c r="M1813">
        <v>0</v>
      </c>
      <c r="N1813">
        <v>44000</v>
      </c>
      <c r="O1813" t="s">
        <v>35</v>
      </c>
      <c r="P1813">
        <v>5</v>
      </c>
      <c r="Q1813" t="s">
        <v>41</v>
      </c>
    </row>
    <row r="1814" spans="1:17" x14ac:dyDescent="0.3">
      <c r="A1814" t="s">
        <v>3045</v>
      </c>
      <c r="B1814" t="s">
        <v>769</v>
      </c>
      <c r="C1814" t="s">
        <v>121</v>
      </c>
      <c r="D1814" t="s">
        <v>103</v>
      </c>
      <c r="E1814">
        <v>65</v>
      </c>
      <c r="F1814" t="s">
        <v>61</v>
      </c>
      <c r="G1814" t="s">
        <v>61</v>
      </c>
      <c r="H1814" t="s">
        <v>62</v>
      </c>
      <c r="I1814" t="s">
        <v>140</v>
      </c>
      <c r="J1814" t="s">
        <v>24</v>
      </c>
      <c r="K1814">
        <v>8</v>
      </c>
      <c r="L1814">
        <v>8200</v>
      </c>
      <c r="M1814">
        <v>25</v>
      </c>
      <c r="N1814">
        <v>49200</v>
      </c>
      <c r="O1814" t="s">
        <v>85</v>
      </c>
      <c r="P1814">
        <v>5</v>
      </c>
      <c r="Q1814" t="s">
        <v>26</v>
      </c>
    </row>
    <row r="1815" spans="1:17" x14ac:dyDescent="0.3">
      <c r="A1815" t="s">
        <v>3046</v>
      </c>
      <c r="B1815" t="s">
        <v>2981</v>
      </c>
      <c r="C1815" t="s">
        <v>113</v>
      </c>
      <c r="E1815">
        <v>27</v>
      </c>
      <c r="F1815" t="s">
        <v>61</v>
      </c>
      <c r="G1815" t="s">
        <v>61</v>
      </c>
      <c r="H1815" t="s">
        <v>22</v>
      </c>
      <c r="I1815" t="s">
        <v>23</v>
      </c>
      <c r="J1815" t="s">
        <v>34</v>
      </c>
      <c r="K1815" t="s">
        <v>184</v>
      </c>
      <c r="L1815">
        <v>17600</v>
      </c>
      <c r="M1815">
        <v>10</v>
      </c>
      <c r="N1815">
        <v>79200</v>
      </c>
      <c r="O1815" t="s">
        <v>25</v>
      </c>
      <c r="P1815">
        <v>3</v>
      </c>
      <c r="Q1815" t="s">
        <v>65</v>
      </c>
    </row>
    <row r="1816" spans="1:17" x14ac:dyDescent="0.3">
      <c r="A1816" t="s">
        <v>3047</v>
      </c>
      <c r="B1816" t="s">
        <v>522</v>
      </c>
      <c r="C1816" t="s">
        <v>113</v>
      </c>
      <c r="D1816" t="s">
        <v>83</v>
      </c>
      <c r="E1816">
        <v>55</v>
      </c>
      <c r="F1816" t="s">
        <v>77</v>
      </c>
      <c r="G1816" t="s">
        <v>95</v>
      </c>
      <c r="H1816" t="s">
        <v>32</v>
      </c>
      <c r="I1816" t="s">
        <v>53</v>
      </c>
      <c r="J1816" t="s">
        <v>34</v>
      </c>
      <c r="K1816">
        <v>4</v>
      </c>
      <c r="L1816">
        <v>8500</v>
      </c>
      <c r="M1816">
        <v>20</v>
      </c>
      <c r="N1816" t="s">
        <v>3048</v>
      </c>
      <c r="O1816" t="s">
        <v>48</v>
      </c>
      <c r="P1816">
        <v>4</v>
      </c>
      <c r="Q1816" t="s">
        <v>26</v>
      </c>
    </row>
    <row r="1817" spans="1:17" x14ac:dyDescent="0.3">
      <c r="A1817" t="s">
        <v>3049</v>
      </c>
      <c r="B1817" t="s">
        <v>3050</v>
      </c>
      <c r="C1817" t="s">
        <v>88</v>
      </c>
      <c r="D1817" t="s">
        <v>83</v>
      </c>
      <c r="E1817">
        <v>33</v>
      </c>
      <c r="F1817" t="s">
        <v>77</v>
      </c>
      <c r="G1817" t="s">
        <v>78</v>
      </c>
      <c r="H1817" t="s">
        <v>22</v>
      </c>
      <c r="I1817" t="s">
        <v>84</v>
      </c>
      <c r="J1817" t="s">
        <v>72</v>
      </c>
      <c r="K1817">
        <v>10</v>
      </c>
      <c r="L1817">
        <v>36900</v>
      </c>
      <c r="M1817">
        <v>5</v>
      </c>
      <c r="N1817">
        <v>350550</v>
      </c>
      <c r="O1817" t="s">
        <v>40</v>
      </c>
      <c r="P1817">
        <v>4</v>
      </c>
      <c r="Q1817" t="s">
        <v>65</v>
      </c>
    </row>
    <row r="1818" spans="1:17" x14ac:dyDescent="0.3">
      <c r="A1818" t="s">
        <v>3051</v>
      </c>
      <c r="B1818" t="s">
        <v>1431</v>
      </c>
      <c r="C1818" t="s">
        <v>60</v>
      </c>
      <c r="E1818">
        <v>27</v>
      </c>
      <c r="F1818" t="s">
        <v>21</v>
      </c>
      <c r="G1818" t="s">
        <v>21</v>
      </c>
      <c r="H1818" t="s">
        <v>62</v>
      </c>
      <c r="I1818" t="s">
        <v>140</v>
      </c>
      <c r="J1818" t="s">
        <v>72</v>
      </c>
      <c r="K1818">
        <v>3</v>
      </c>
      <c r="L1818">
        <v>35700</v>
      </c>
      <c r="M1818">
        <v>5</v>
      </c>
      <c r="N1818">
        <v>101745</v>
      </c>
      <c r="O1818" t="s">
        <v>85</v>
      </c>
      <c r="Q1818" t="s">
        <v>74</v>
      </c>
    </row>
    <row r="1819" spans="1:17" x14ac:dyDescent="0.3">
      <c r="A1819" t="s">
        <v>3052</v>
      </c>
      <c r="B1819" t="s">
        <v>262</v>
      </c>
      <c r="C1819" t="s">
        <v>68</v>
      </c>
      <c r="E1819">
        <v>58</v>
      </c>
      <c r="F1819" t="s">
        <v>77</v>
      </c>
      <c r="G1819" t="s">
        <v>95</v>
      </c>
      <c r="H1819" t="s">
        <v>62</v>
      </c>
      <c r="I1819" t="s">
        <v>140</v>
      </c>
      <c r="J1819" t="s">
        <v>80</v>
      </c>
      <c r="K1819">
        <v>2</v>
      </c>
      <c r="L1819">
        <v>22700</v>
      </c>
      <c r="M1819">
        <v>15</v>
      </c>
      <c r="N1819">
        <v>38590</v>
      </c>
      <c r="O1819" t="s">
        <v>85</v>
      </c>
      <c r="Q1819" t="s">
        <v>26</v>
      </c>
    </row>
    <row r="1820" spans="1:17" x14ac:dyDescent="0.3">
      <c r="A1820" t="s">
        <v>3053</v>
      </c>
      <c r="B1820" t="s">
        <v>801</v>
      </c>
      <c r="C1820" t="s">
        <v>38</v>
      </c>
      <c r="D1820" t="s">
        <v>39</v>
      </c>
      <c r="E1820">
        <v>45</v>
      </c>
      <c r="F1820" t="s">
        <v>21</v>
      </c>
      <c r="G1820" t="s">
        <v>21</v>
      </c>
      <c r="H1820" t="s">
        <v>32</v>
      </c>
      <c r="I1820" t="s">
        <v>33</v>
      </c>
      <c r="J1820" t="s">
        <v>64</v>
      </c>
      <c r="K1820" t="s">
        <v>278</v>
      </c>
      <c r="L1820">
        <v>13900</v>
      </c>
      <c r="M1820">
        <v>20</v>
      </c>
      <c r="N1820">
        <v>100080</v>
      </c>
      <c r="O1820" t="s">
        <v>48</v>
      </c>
      <c r="P1820">
        <v>4</v>
      </c>
      <c r="Q1820" t="s">
        <v>65</v>
      </c>
    </row>
    <row r="1821" spans="1:17" x14ac:dyDescent="0.3">
      <c r="A1821" t="s">
        <v>3054</v>
      </c>
      <c r="B1821" t="s">
        <v>1977</v>
      </c>
      <c r="C1821" t="s">
        <v>71</v>
      </c>
      <c r="E1821">
        <v>56</v>
      </c>
      <c r="F1821" t="s">
        <v>61</v>
      </c>
      <c r="G1821" t="s">
        <v>61</v>
      </c>
      <c r="H1821" t="s">
        <v>46</v>
      </c>
      <c r="I1821" t="s">
        <v>47</v>
      </c>
      <c r="J1821" t="s">
        <v>80</v>
      </c>
      <c r="K1821">
        <v>10</v>
      </c>
      <c r="L1821">
        <v>4500</v>
      </c>
      <c r="M1821">
        <v>5</v>
      </c>
      <c r="N1821">
        <v>42750</v>
      </c>
      <c r="O1821" t="s">
        <v>48</v>
      </c>
      <c r="Q1821" t="s">
        <v>74</v>
      </c>
    </row>
    <row r="1822" spans="1:17" x14ac:dyDescent="0.3">
      <c r="A1822" t="s">
        <v>3055</v>
      </c>
      <c r="B1822" t="s">
        <v>2837</v>
      </c>
      <c r="C1822" t="s">
        <v>113</v>
      </c>
      <c r="E1822">
        <v>49</v>
      </c>
      <c r="F1822" t="s">
        <v>30</v>
      </c>
      <c r="G1822" t="s">
        <v>57</v>
      </c>
      <c r="H1822" t="s">
        <v>46</v>
      </c>
      <c r="I1822" t="s">
        <v>47</v>
      </c>
      <c r="J1822" t="s">
        <v>64</v>
      </c>
      <c r="K1822">
        <v>3</v>
      </c>
      <c r="L1822">
        <v>32500</v>
      </c>
      <c r="M1822">
        <v>0</v>
      </c>
      <c r="N1822">
        <v>97500</v>
      </c>
      <c r="O1822" t="s">
        <v>105</v>
      </c>
      <c r="P1822">
        <v>1</v>
      </c>
      <c r="Q1822" t="s">
        <v>74</v>
      </c>
    </row>
    <row r="1823" spans="1:17" x14ac:dyDescent="0.3">
      <c r="A1823" t="s">
        <v>3056</v>
      </c>
      <c r="B1823" t="s">
        <v>446</v>
      </c>
      <c r="C1823" t="s">
        <v>71</v>
      </c>
      <c r="E1823">
        <v>63</v>
      </c>
      <c r="F1823" t="s">
        <v>51</v>
      </c>
      <c r="G1823" t="s">
        <v>52</v>
      </c>
      <c r="H1823" t="s">
        <v>32</v>
      </c>
      <c r="I1823" t="s">
        <v>53</v>
      </c>
      <c r="J1823" t="s">
        <v>64</v>
      </c>
      <c r="K1823">
        <v>4</v>
      </c>
      <c r="L1823">
        <v>45700</v>
      </c>
      <c r="M1823">
        <v>25</v>
      </c>
      <c r="N1823">
        <v>137100</v>
      </c>
      <c r="O1823" t="s">
        <v>85</v>
      </c>
      <c r="P1823">
        <v>4</v>
      </c>
      <c r="Q1823" t="s">
        <v>41</v>
      </c>
    </row>
    <row r="1824" spans="1:17" x14ac:dyDescent="0.3">
      <c r="A1824" t="s">
        <v>3057</v>
      </c>
      <c r="B1824" t="s">
        <v>2128</v>
      </c>
      <c r="C1824" t="s">
        <v>19</v>
      </c>
      <c r="D1824" t="s">
        <v>39</v>
      </c>
      <c r="E1824">
        <v>54</v>
      </c>
      <c r="F1824" t="s">
        <v>51</v>
      </c>
      <c r="G1824" t="s">
        <v>104</v>
      </c>
      <c r="H1824" t="s">
        <v>22</v>
      </c>
      <c r="I1824" t="s">
        <v>84</v>
      </c>
      <c r="J1824" t="s">
        <v>89</v>
      </c>
      <c r="K1824">
        <v>1</v>
      </c>
      <c r="L1824">
        <v>24300</v>
      </c>
      <c r="M1824">
        <v>10</v>
      </c>
      <c r="N1824">
        <v>21870</v>
      </c>
      <c r="O1824" t="s">
        <v>73</v>
      </c>
      <c r="P1824">
        <v>1</v>
      </c>
      <c r="Q1824" t="s">
        <v>26</v>
      </c>
    </row>
    <row r="1825" spans="1:17" x14ac:dyDescent="0.3">
      <c r="A1825" t="s">
        <v>3058</v>
      </c>
      <c r="B1825" t="s">
        <v>2859</v>
      </c>
      <c r="C1825" t="s">
        <v>60</v>
      </c>
      <c r="D1825" t="s">
        <v>20</v>
      </c>
      <c r="E1825">
        <v>34</v>
      </c>
      <c r="F1825" t="s">
        <v>61</v>
      </c>
      <c r="G1825" t="s">
        <v>61</v>
      </c>
      <c r="H1825" t="s">
        <v>46</v>
      </c>
      <c r="I1825" t="s">
        <v>47</v>
      </c>
      <c r="J1825" t="s">
        <v>64</v>
      </c>
      <c r="K1825">
        <v>3</v>
      </c>
      <c r="L1825">
        <v>40600</v>
      </c>
      <c r="M1825">
        <v>0</v>
      </c>
      <c r="N1825">
        <v>121800</v>
      </c>
      <c r="O1825" t="s">
        <v>25</v>
      </c>
      <c r="P1825">
        <v>2</v>
      </c>
      <c r="Q1825" t="s">
        <v>65</v>
      </c>
    </row>
    <row r="1826" spans="1:17" x14ac:dyDescent="0.3">
      <c r="A1826" t="s">
        <v>3059</v>
      </c>
      <c r="B1826" t="s">
        <v>3060</v>
      </c>
      <c r="C1826" t="s">
        <v>38</v>
      </c>
      <c r="D1826" t="s">
        <v>83</v>
      </c>
      <c r="E1826">
        <v>55</v>
      </c>
      <c r="F1826" t="s">
        <v>21</v>
      </c>
      <c r="G1826" t="s">
        <v>21</v>
      </c>
      <c r="H1826" t="s">
        <v>116</v>
      </c>
      <c r="I1826" t="s">
        <v>23</v>
      </c>
      <c r="J1826" t="s">
        <v>34</v>
      </c>
      <c r="K1826">
        <v>4</v>
      </c>
      <c r="L1826">
        <v>21600</v>
      </c>
      <c r="M1826">
        <v>10</v>
      </c>
      <c r="N1826">
        <v>77760</v>
      </c>
      <c r="O1826" t="s">
        <v>35</v>
      </c>
      <c r="Q1826" t="s">
        <v>65</v>
      </c>
    </row>
    <row r="1827" spans="1:17" x14ac:dyDescent="0.3">
      <c r="A1827" t="s">
        <v>3061</v>
      </c>
      <c r="B1827" t="s">
        <v>1703</v>
      </c>
      <c r="C1827" t="s">
        <v>94</v>
      </c>
      <c r="E1827">
        <v>45</v>
      </c>
      <c r="F1827" t="s">
        <v>61</v>
      </c>
      <c r="G1827" t="s">
        <v>61</v>
      </c>
      <c r="H1827" t="s">
        <v>22</v>
      </c>
      <c r="I1827" t="s">
        <v>23</v>
      </c>
      <c r="J1827" t="s">
        <v>72</v>
      </c>
      <c r="K1827">
        <v>9</v>
      </c>
      <c r="L1827">
        <v>25200</v>
      </c>
      <c r="M1827">
        <v>10</v>
      </c>
      <c r="N1827">
        <v>204120</v>
      </c>
      <c r="O1827" t="s">
        <v>25</v>
      </c>
      <c r="P1827">
        <v>5</v>
      </c>
      <c r="Q1827" t="s">
        <v>65</v>
      </c>
    </row>
    <row r="1828" spans="1:17" x14ac:dyDescent="0.3">
      <c r="A1828" t="s">
        <v>3062</v>
      </c>
      <c r="B1828" t="s">
        <v>555</v>
      </c>
      <c r="C1828" t="s">
        <v>94</v>
      </c>
      <c r="E1828">
        <v>60</v>
      </c>
      <c r="F1828" t="s">
        <v>61</v>
      </c>
      <c r="G1828" t="s">
        <v>61</v>
      </c>
      <c r="H1828" t="s">
        <v>22</v>
      </c>
      <c r="I1828" t="s">
        <v>84</v>
      </c>
      <c r="J1828" t="s">
        <v>24</v>
      </c>
      <c r="K1828">
        <v>7</v>
      </c>
      <c r="L1828">
        <v>39900</v>
      </c>
      <c r="M1828">
        <v>0</v>
      </c>
      <c r="N1828">
        <v>279300</v>
      </c>
      <c r="O1828" t="s">
        <v>48</v>
      </c>
      <c r="Q1828" t="s">
        <v>26</v>
      </c>
    </row>
    <row r="1829" spans="1:17" x14ac:dyDescent="0.3">
      <c r="A1829" t="s">
        <v>3063</v>
      </c>
      <c r="B1829" t="s">
        <v>1694</v>
      </c>
      <c r="C1829" t="s">
        <v>94</v>
      </c>
      <c r="D1829" t="s">
        <v>39</v>
      </c>
      <c r="E1829">
        <v>36</v>
      </c>
      <c r="F1829" t="s">
        <v>51</v>
      </c>
      <c r="G1829" t="s">
        <v>52</v>
      </c>
      <c r="H1829" t="s">
        <v>62</v>
      </c>
      <c r="I1829" t="s">
        <v>63</v>
      </c>
      <c r="J1829" t="s">
        <v>24</v>
      </c>
      <c r="K1829">
        <v>9</v>
      </c>
      <c r="L1829">
        <v>26300</v>
      </c>
      <c r="M1829">
        <v>5</v>
      </c>
      <c r="N1829">
        <v>224865</v>
      </c>
      <c r="O1829" t="s">
        <v>85</v>
      </c>
      <c r="P1829">
        <v>3</v>
      </c>
      <c r="Q1829" t="s">
        <v>41</v>
      </c>
    </row>
    <row r="1830" spans="1:17" x14ac:dyDescent="0.3">
      <c r="A1830" t="s">
        <v>3064</v>
      </c>
      <c r="B1830" t="s">
        <v>3065</v>
      </c>
      <c r="C1830" t="s">
        <v>19</v>
      </c>
      <c r="D1830" t="s">
        <v>39</v>
      </c>
      <c r="E1830">
        <v>26</v>
      </c>
      <c r="F1830" t="s">
        <v>30</v>
      </c>
      <c r="G1830" t="s">
        <v>31</v>
      </c>
      <c r="H1830" t="s">
        <v>22</v>
      </c>
      <c r="I1830" t="s">
        <v>84</v>
      </c>
      <c r="J1830" t="s">
        <v>89</v>
      </c>
      <c r="K1830">
        <v>10</v>
      </c>
      <c r="L1830">
        <v>28900</v>
      </c>
      <c r="M1830">
        <v>10</v>
      </c>
      <c r="N1830">
        <v>260100</v>
      </c>
      <c r="O1830" t="s">
        <v>25</v>
      </c>
      <c r="P1830">
        <v>3</v>
      </c>
      <c r="Q1830" t="s">
        <v>65</v>
      </c>
    </row>
    <row r="1831" spans="1:17" x14ac:dyDescent="0.3">
      <c r="A1831" t="s">
        <v>3066</v>
      </c>
      <c r="B1831" t="s">
        <v>570</v>
      </c>
      <c r="C1831" t="s">
        <v>60</v>
      </c>
      <c r="D1831" t="s">
        <v>83</v>
      </c>
      <c r="E1831">
        <v>36</v>
      </c>
      <c r="F1831" t="s">
        <v>21</v>
      </c>
      <c r="G1831" t="s">
        <v>21</v>
      </c>
      <c r="H1831" t="s">
        <v>22</v>
      </c>
      <c r="I1831" t="s">
        <v>84</v>
      </c>
      <c r="J1831" t="s">
        <v>80</v>
      </c>
      <c r="K1831">
        <v>4</v>
      </c>
      <c r="L1831">
        <v>14400</v>
      </c>
      <c r="M1831">
        <v>0</v>
      </c>
      <c r="N1831">
        <v>57600</v>
      </c>
      <c r="O1831" t="s">
        <v>73</v>
      </c>
      <c r="P1831">
        <v>4</v>
      </c>
      <c r="Q1831" t="s">
        <v>26</v>
      </c>
    </row>
    <row r="1832" spans="1:17" x14ac:dyDescent="0.3">
      <c r="A1832" t="s">
        <v>3067</v>
      </c>
      <c r="B1832" t="s">
        <v>2091</v>
      </c>
      <c r="C1832" t="s">
        <v>29</v>
      </c>
      <c r="D1832" t="s">
        <v>20</v>
      </c>
      <c r="E1832">
        <v>48</v>
      </c>
      <c r="F1832" t="s">
        <v>61</v>
      </c>
      <c r="G1832" t="s">
        <v>61</v>
      </c>
      <c r="H1832" t="s">
        <v>116</v>
      </c>
      <c r="I1832" t="s">
        <v>23</v>
      </c>
      <c r="J1832" t="s">
        <v>24</v>
      </c>
      <c r="K1832">
        <v>1</v>
      </c>
      <c r="L1832">
        <v>46100</v>
      </c>
      <c r="M1832">
        <v>10</v>
      </c>
      <c r="N1832">
        <v>41490</v>
      </c>
      <c r="O1832" t="s">
        <v>25</v>
      </c>
      <c r="P1832">
        <v>4</v>
      </c>
      <c r="Q1832" t="s">
        <v>74</v>
      </c>
    </row>
    <row r="1833" spans="1:17" x14ac:dyDescent="0.3">
      <c r="A1833" t="s">
        <v>3068</v>
      </c>
      <c r="B1833" t="s">
        <v>248</v>
      </c>
      <c r="C1833" t="s">
        <v>71</v>
      </c>
      <c r="D1833" t="s">
        <v>20</v>
      </c>
      <c r="E1833">
        <v>49</v>
      </c>
      <c r="F1833" t="s">
        <v>44</v>
      </c>
      <c r="G1833" t="s">
        <v>45</v>
      </c>
      <c r="H1833" t="s">
        <v>46</v>
      </c>
      <c r="I1833" t="s">
        <v>47</v>
      </c>
      <c r="J1833" t="s">
        <v>72</v>
      </c>
      <c r="K1833">
        <v>1</v>
      </c>
      <c r="L1833">
        <v>25900</v>
      </c>
      <c r="M1833">
        <v>10</v>
      </c>
      <c r="N1833">
        <v>23310</v>
      </c>
      <c r="O1833" t="s">
        <v>48</v>
      </c>
      <c r="P1833">
        <v>3</v>
      </c>
      <c r="Q1833" t="s">
        <v>26</v>
      </c>
    </row>
    <row r="1834" spans="1:17" x14ac:dyDescent="0.3">
      <c r="A1834" t="s">
        <v>3069</v>
      </c>
      <c r="B1834" t="s">
        <v>3070</v>
      </c>
      <c r="C1834" t="s">
        <v>71</v>
      </c>
      <c r="D1834" t="s">
        <v>83</v>
      </c>
      <c r="E1834">
        <v>54</v>
      </c>
      <c r="F1834" t="s">
        <v>44</v>
      </c>
      <c r="G1834" t="s">
        <v>45</v>
      </c>
      <c r="H1834" t="s">
        <v>22</v>
      </c>
      <c r="I1834" t="s">
        <v>84</v>
      </c>
      <c r="J1834" t="s">
        <v>64</v>
      </c>
      <c r="K1834">
        <v>1</v>
      </c>
      <c r="L1834">
        <v>29400</v>
      </c>
      <c r="M1834">
        <v>15</v>
      </c>
      <c r="N1834">
        <v>24990</v>
      </c>
      <c r="O1834" t="s">
        <v>48</v>
      </c>
      <c r="P1834">
        <v>4</v>
      </c>
      <c r="Q1834" t="s">
        <v>74</v>
      </c>
    </row>
    <row r="1835" spans="1:17" x14ac:dyDescent="0.3">
      <c r="A1835" t="s">
        <v>3071</v>
      </c>
      <c r="B1835" t="s">
        <v>258</v>
      </c>
      <c r="C1835" t="s">
        <v>29</v>
      </c>
      <c r="D1835" t="s">
        <v>20</v>
      </c>
      <c r="E1835">
        <v>26</v>
      </c>
      <c r="F1835" t="s">
        <v>61</v>
      </c>
      <c r="G1835" t="s">
        <v>61</v>
      </c>
      <c r="H1835" t="s">
        <v>32</v>
      </c>
      <c r="I1835" t="s">
        <v>33</v>
      </c>
      <c r="J1835" t="s">
        <v>24</v>
      </c>
      <c r="K1835">
        <v>2</v>
      </c>
      <c r="L1835">
        <v>39700</v>
      </c>
      <c r="M1835">
        <v>5</v>
      </c>
      <c r="N1835">
        <v>75430</v>
      </c>
      <c r="O1835" t="s">
        <v>25</v>
      </c>
      <c r="P1835">
        <v>5</v>
      </c>
      <c r="Q1835" t="s">
        <v>26</v>
      </c>
    </row>
    <row r="1836" spans="1:17" x14ac:dyDescent="0.3">
      <c r="A1836" t="s">
        <v>3072</v>
      </c>
      <c r="B1836" t="s">
        <v>2747</v>
      </c>
      <c r="C1836" t="s">
        <v>113</v>
      </c>
      <c r="D1836" t="s">
        <v>83</v>
      </c>
      <c r="E1836">
        <v>60</v>
      </c>
      <c r="F1836" t="s">
        <v>277</v>
      </c>
      <c r="G1836" t="s">
        <v>45</v>
      </c>
      <c r="H1836" t="s">
        <v>62</v>
      </c>
      <c r="I1836" t="s">
        <v>140</v>
      </c>
      <c r="J1836" t="s">
        <v>89</v>
      </c>
      <c r="K1836">
        <v>7</v>
      </c>
      <c r="L1836">
        <v>40300</v>
      </c>
      <c r="M1836">
        <v>5</v>
      </c>
      <c r="N1836">
        <v>267995</v>
      </c>
      <c r="O1836" t="s">
        <v>40</v>
      </c>
      <c r="P1836">
        <v>3</v>
      </c>
      <c r="Q1836" t="s">
        <v>74</v>
      </c>
    </row>
    <row r="1837" spans="1:17" x14ac:dyDescent="0.3">
      <c r="A1837" t="s">
        <v>3073</v>
      </c>
      <c r="B1837" t="s">
        <v>1475</v>
      </c>
      <c r="C1837" t="s">
        <v>38</v>
      </c>
      <c r="D1837" t="s">
        <v>83</v>
      </c>
      <c r="E1837">
        <v>27</v>
      </c>
      <c r="F1837" t="s">
        <v>51</v>
      </c>
      <c r="G1837" t="s">
        <v>52</v>
      </c>
      <c r="H1837" t="s">
        <v>46</v>
      </c>
      <c r="I1837" t="s">
        <v>47</v>
      </c>
      <c r="J1837" t="s">
        <v>89</v>
      </c>
      <c r="K1837">
        <v>7</v>
      </c>
      <c r="L1837">
        <v>3300</v>
      </c>
      <c r="M1837">
        <v>0</v>
      </c>
      <c r="N1837">
        <v>23100</v>
      </c>
      <c r="O1837" t="s">
        <v>105</v>
      </c>
      <c r="Q1837" t="s">
        <v>65</v>
      </c>
    </row>
    <row r="1838" spans="1:17" x14ac:dyDescent="0.3">
      <c r="A1838" t="s">
        <v>3074</v>
      </c>
      <c r="B1838" t="s">
        <v>814</v>
      </c>
      <c r="C1838" t="s">
        <v>38</v>
      </c>
      <c r="E1838">
        <v>58</v>
      </c>
      <c r="F1838" t="s">
        <v>61</v>
      </c>
      <c r="G1838" t="s">
        <v>61</v>
      </c>
      <c r="H1838" t="s">
        <v>32</v>
      </c>
      <c r="I1838" t="s">
        <v>33</v>
      </c>
      <c r="J1838" t="s">
        <v>72</v>
      </c>
      <c r="K1838">
        <v>7</v>
      </c>
      <c r="L1838">
        <v>29500</v>
      </c>
      <c r="M1838">
        <v>10</v>
      </c>
      <c r="N1838">
        <v>185850</v>
      </c>
      <c r="O1838" t="s">
        <v>40</v>
      </c>
      <c r="Q1838" t="s">
        <v>26</v>
      </c>
    </row>
    <row r="1839" spans="1:17" x14ac:dyDescent="0.3">
      <c r="A1839" t="s">
        <v>3075</v>
      </c>
      <c r="B1839" t="s">
        <v>1331</v>
      </c>
      <c r="C1839" t="s">
        <v>113</v>
      </c>
      <c r="D1839" t="s">
        <v>20</v>
      </c>
      <c r="E1839">
        <v>23</v>
      </c>
      <c r="F1839" t="s">
        <v>51</v>
      </c>
      <c r="G1839" t="s">
        <v>52</v>
      </c>
      <c r="H1839" t="s">
        <v>46</v>
      </c>
      <c r="I1839" t="s">
        <v>79</v>
      </c>
      <c r="J1839" t="s">
        <v>89</v>
      </c>
      <c r="K1839">
        <v>3</v>
      </c>
      <c r="L1839">
        <v>24600</v>
      </c>
      <c r="M1839">
        <v>5</v>
      </c>
      <c r="N1839">
        <v>70110</v>
      </c>
      <c r="O1839" t="s">
        <v>105</v>
      </c>
      <c r="P1839">
        <v>1</v>
      </c>
      <c r="Q1839" t="s">
        <v>74</v>
      </c>
    </row>
    <row r="1840" spans="1:17" x14ac:dyDescent="0.3">
      <c r="A1840" t="s">
        <v>3076</v>
      </c>
      <c r="B1840" t="s">
        <v>2286</v>
      </c>
      <c r="C1840" t="s">
        <v>71</v>
      </c>
      <c r="E1840">
        <v>61</v>
      </c>
      <c r="F1840" t="s">
        <v>107</v>
      </c>
      <c r="G1840" t="s">
        <v>52</v>
      </c>
      <c r="H1840" t="s">
        <v>32</v>
      </c>
      <c r="I1840" t="s">
        <v>53</v>
      </c>
      <c r="J1840" t="s">
        <v>64</v>
      </c>
      <c r="K1840">
        <v>5</v>
      </c>
      <c r="L1840">
        <v>18500</v>
      </c>
      <c r="M1840">
        <v>25</v>
      </c>
      <c r="N1840">
        <v>69375</v>
      </c>
      <c r="O1840" t="s">
        <v>105</v>
      </c>
      <c r="Q1840" t="s">
        <v>74</v>
      </c>
    </row>
    <row r="1841" spans="1:17" x14ac:dyDescent="0.3">
      <c r="A1841" t="s">
        <v>3077</v>
      </c>
      <c r="B1841" t="s">
        <v>3078</v>
      </c>
      <c r="C1841" t="s">
        <v>94</v>
      </c>
      <c r="D1841" t="s">
        <v>83</v>
      </c>
      <c r="E1841">
        <v>56</v>
      </c>
      <c r="F1841" t="s">
        <v>30</v>
      </c>
      <c r="G1841" t="s">
        <v>31</v>
      </c>
      <c r="H1841" t="s">
        <v>62</v>
      </c>
      <c r="I1841" t="s">
        <v>63</v>
      </c>
      <c r="J1841" t="s">
        <v>34</v>
      </c>
      <c r="K1841">
        <v>2</v>
      </c>
      <c r="L1841">
        <v>44200</v>
      </c>
      <c r="M1841">
        <v>25</v>
      </c>
      <c r="N1841" t="s">
        <v>3079</v>
      </c>
      <c r="O1841" t="s">
        <v>105</v>
      </c>
      <c r="P1841">
        <v>3</v>
      </c>
      <c r="Q1841" t="s">
        <v>65</v>
      </c>
    </row>
    <row r="1842" spans="1:17" x14ac:dyDescent="0.3">
      <c r="A1842" t="s">
        <v>3080</v>
      </c>
      <c r="B1842" t="s">
        <v>3081</v>
      </c>
      <c r="C1842" t="s">
        <v>19</v>
      </c>
      <c r="D1842" t="s">
        <v>20</v>
      </c>
      <c r="E1842">
        <v>41</v>
      </c>
      <c r="F1842" t="s">
        <v>77</v>
      </c>
      <c r="G1842" t="s">
        <v>95</v>
      </c>
      <c r="H1842" t="s">
        <v>32</v>
      </c>
      <c r="I1842" t="s">
        <v>33</v>
      </c>
      <c r="J1842" t="s">
        <v>64</v>
      </c>
      <c r="K1842">
        <v>6</v>
      </c>
      <c r="L1842">
        <v>16600</v>
      </c>
      <c r="M1842">
        <v>20</v>
      </c>
      <c r="N1842">
        <v>79680</v>
      </c>
      <c r="O1842" t="s">
        <v>48</v>
      </c>
      <c r="Q1842" t="s">
        <v>41</v>
      </c>
    </row>
    <row r="1843" spans="1:17" x14ac:dyDescent="0.3">
      <c r="A1843" t="s">
        <v>3082</v>
      </c>
      <c r="B1843" t="s">
        <v>1655</v>
      </c>
      <c r="C1843" t="s">
        <v>29</v>
      </c>
      <c r="D1843" t="s">
        <v>103</v>
      </c>
      <c r="E1843">
        <v>56</v>
      </c>
      <c r="F1843" t="s">
        <v>77</v>
      </c>
      <c r="G1843" t="s">
        <v>78</v>
      </c>
      <c r="H1843" t="s">
        <v>46</v>
      </c>
      <c r="I1843" t="s">
        <v>79</v>
      </c>
      <c r="J1843" t="s">
        <v>34</v>
      </c>
      <c r="K1843">
        <v>4</v>
      </c>
      <c r="L1843">
        <v>45600</v>
      </c>
      <c r="M1843">
        <v>20</v>
      </c>
      <c r="N1843">
        <v>145920</v>
      </c>
      <c r="O1843" t="s">
        <v>35</v>
      </c>
      <c r="P1843">
        <v>2</v>
      </c>
      <c r="Q1843" t="s">
        <v>74</v>
      </c>
    </row>
    <row r="1844" spans="1:17" x14ac:dyDescent="0.3">
      <c r="A1844" t="s">
        <v>3083</v>
      </c>
      <c r="B1844" t="s">
        <v>383</v>
      </c>
      <c r="C1844" t="s">
        <v>113</v>
      </c>
      <c r="D1844" t="s">
        <v>83</v>
      </c>
      <c r="E1844">
        <v>36</v>
      </c>
      <c r="F1844" t="s">
        <v>30</v>
      </c>
      <c r="G1844" t="s">
        <v>57</v>
      </c>
      <c r="H1844" t="s">
        <v>32</v>
      </c>
      <c r="I1844" t="s">
        <v>33</v>
      </c>
      <c r="J1844" t="s">
        <v>34</v>
      </c>
      <c r="K1844">
        <v>3</v>
      </c>
      <c r="L1844">
        <v>43200</v>
      </c>
      <c r="M1844">
        <v>20</v>
      </c>
      <c r="N1844">
        <v>103680</v>
      </c>
      <c r="O1844" t="s">
        <v>105</v>
      </c>
      <c r="Q1844" t="s">
        <v>26</v>
      </c>
    </row>
    <row r="1845" spans="1:17" x14ac:dyDescent="0.3">
      <c r="A1845" t="s">
        <v>3084</v>
      </c>
      <c r="B1845" t="s">
        <v>1487</v>
      </c>
      <c r="C1845" t="s">
        <v>38</v>
      </c>
      <c r="D1845" t="s">
        <v>39</v>
      </c>
      <c r="E1845">
        <v>48</v>
      </c>
      <c r="F1845" t="s">
        <v>30</v>
      </c>
      <c r="G1845" t="s">
        <v>57</v>
      </c>
      <c r="H1845" t="s">
        <v>431</v>
      </c>
      <c r="I1845" t="s">
        <v>79</v>
      </c>
      <c r="J1845" t="s">
        <v>80</v>
      </c>
      <c r="K1845">
        <v>1</v>
      </c>
      <c r="L1845">
        <v>24200</v>
      </c>
      <c r="M1845">
        <v>15</v>
      </c>
      <c r="N1845">
        <v>20570</v>
      </c>
      <c r="O1845" t="s">
        <v>105</v>
      </c>
      <c r="P1845">
        <v>5</v>
      </c>
      <c r="Q1845" t="s">
        <v>41</v>
      </c>
    </row>
    <row r="1846" spans="1:17" x14ac:dyDescent="0.3">
      <c r="A1846" t="s">
        <v>3085</v>
      </c>
      <c r="B1846" t="s">
        <v>2101</v>
      </c>
      <c r="C1846" t="s">
        <v>94</v>
      </c>
      <c r="E1846">
        <v>26</v>
      </c>
      <c r="F1846" t="s">
        <v>61</v>
      </c>
      <c r="G1846" t="s">
        <v>61</v>
      </c>
      <c r="H1846" t="s">
        <v>32</v>
      </c>
      <c r="I1846" t="s">
        <v>33</v>
      </c>
      <c r="J1846" t="s">
        <v>72</v>
      </c>
      <c r="K1846">
        <v>6</v>
      </c>
      <c r="L1846">
        <v>36700</v>
      </c>
      <c r="M1846">
        <v>15</v>
      </c>
      <c r="N1846">
        <v>187170</v>
      </c>
      <c r="O1846" t="s">
        <v>40</v>
      </c>
      <c r="P1846">
        <v>5</v>
      </c>
      <c r="Q1846" t="s">
        <v>26</v>
      </c>
    </row>
    <row r="1847" spans="1:17" x14ac:dyDescent="0.3">
      <c r="A1847" t="s">
        <v>3086</v>
      </c>
      <c r="B1847" t="s">
        <v>3087</v>
      </c>
      <c r="C1847" t="s">
        <v>68</v>
      </c>
      <c r="E1847">
        <v>18</v>
      </c>
      <c r="F1847" t="s">
        <v>61</v>
      </c>
      <c r="G1847" t="s">
        <v>61</v>
      </c>
      <c r="H1847" t="s">
        <v>32</v>
      </c>
      <c r="I1847" t="s">
        <v>53</v>
      </c>
      <c r="J1847" t="s">
        <v>34</v>
      </c>
      <c r="K1847">
        <v>3</v>
      </c>
      <c r="L1847">
        <v>49700</v>
      </c>
      <c r="M1847">
        <v>25</v>
      </c>
      <c r="N1847">
        <v>111825</v>
      </c>
      <c r="O1847" t="s">
        <v>85</v>
      </c>
      <c r="P1847">
        <v>1</v>
      </c>
      <c r="Q1847" t="s">
        <v>74</v>
      </c>
    </row>
    <row r="1848" spans="1:17" x14ac:dyDescent="0.3">
      <c r="A1848" t="s">
        <v>3088</v>
      </c>
      <c r="B1848" t="s">
        <v>683</v>
      </c>
      <c r="C1848" t="s">
        <v>121</v>
      </c>
      <c r="D1848" t="s">
        <v>20</v>
      </c>
      <c r="E1848">
        <v>25</v>
      </c>
      <c r="F1848" t="s">
        <v>21</v>
      </c>
      <c r="G1848" t="s">
        <v>21</v>
      </c>
      <c r="H1848" t="s">
        <v>46</v>
      </c>
      <c r="I1848" t="s">
        <v>47</v>
      </c>
      <c r="J1848" t="s">
        <v>24</v>
      </c>
      <c r="K1848">
        <v>4</v>
      </c>
      <c r="L1848">
        <v>36600</v>
      </c>
      <c r="M1848">
        <v>25</v>
      </c>
      <c r="N1848">
        <v>109800</v>
      </c>
      <c r="O1848" t="s">
        <v>73</v>
      </c>
      <c r="P1848">
        <v>2</v>
      </c>
      <c r="Q1848" t="s">
        <v>74</v>
      </c>
    </row>
    <row r="1849" spans="1:17" x14ac:dyDescent="0.3">
      <c r="A1849" t="s">
        <v>3089</v>
      </c>
      <c r="B1849" t="s">
        <v>3090</v>
      </c>
      <c r="C1849" t="s">
        <v>121</v>
      </c>
      <c r="E1849">
        <v>33</v>
      </c>
      <c r="F1849" t="s">
        <v>21</v>
      </c>
      <c r="G1849" t="s">
        <v>21</v>
      </c>
      <c r="H1849" t="s">
        <v>32</v>
      </c>
      <c r="I1849" t="s">
        <v>33</v>
      </c>
      <c r="J1849" t="s">
        <v>80</v>
      </c>
      <c r="K1849">
        <v>4</v>
      </c>
      <c r="L1849">
        <v>48400</v>
      </c>
      <c r="M1849">
        <v>10</v>
      </c>
      <c r="N1849">
        <v>174240</v>
      </c>
      <c r="O1849" t="s">
        <v>73</v>
      </c>
      <c r="P1849">
        <v>1</v>
      </c>
      <c r="Q1849" t="s">
        <v>65</v>
      </c>
    </row>
    <row r="1850" spans="1:17" x14ac:dyDescent="0.3">
      <c r="A1850" t="s">
        <v>3091</v>
      </c>
      <c r="B1850" t="s">
        <v>728</v>
      </c>
      <c r="C1850" t="s">
        <v>113</v>
      </c>
      <c r="D1850" t="s">
        <v>20</v>
      </c>
      <c r="E1850">
        <v>19</v>
      </c>
      <c r="F1850" t="s">
        <v>21</v>
      </c>
      <c r="G1850" t="s">
        <v>21</v>
      </c>
      <c r="H1850" t="s">
        <v>62</v>
      </c>
      <c r="I1850" t="s">
        <v>63</v>
      </c>
      <c r="J1850" t="s">
        <v>72</v>
      </c>
      <c r="K1850">
        <v>7</v>
      </c>
      <c r="L1850">
        <v>36300</v>
      </c>
      <c r="M1850">
        <v>20</v>
      </c>
      <c r="N1850">
        <v>203280</v>
      </c>
      <c r="O1850" t="s">
        <v>35</v>
      </c>
      <c r="Q1850" t="s">
        <v>26</v>
      </c>
    </row>
    <row r="1851" spans="1:17" x14ac:dyDescent="0.3">
      <c r="A1851" t="s">
        <v>3092</v>
      </c>
      <c r="B1851" t="s">
        <v>1157</v>
      </c>
      <c r="C1851" t="s">
        <v>113</v>
      </c>
      <c r="E1851">
        <v>22</v>
      </c>
      <c r="F1851" t="s">
        <v>77</v>
      </c>
      <c r="G1851" t="s">
        <v>95</v>
      </c>
      <c r="H1851" t="s">
        <v>22</v>
      </c>
      <c r="I1851" t="s">
        <v>84</v>
      </c>
      <c r="J1851" t="s">
        <v>72</v>
      </c>
      <c r="K1851">
        <v>10</v>
      </c>
      <c r="L1851">
        <v>20400</v>
      </c>
      <c r="M1851">
        <v>5</v>
      </c>
      <c r="N1851">
        <v>193800</v>
      </c>
      <c r="O1851" t="s">
        <v>35</v>
      </c>
      <c r="P1851">
        <v>5</v>
      </c>
      <c r="Q1851" t="s">
        <v>41</v>
      </c>
    </row>
    <row r="1852" spans="1:17" x14ac:dyDescent="0.3">
      <c r="A1852" t="s">
        <v>3093</v>
      </c>
      <c r="B1852" t="s">
        <v>1657</v>
      </c>
      <c r="C1852" t="s">
        <v>88</v>
      </c>
      <c r="D1852" t="s">
        <v>83</v>
      </c>
      <c r="E1852">
        <v>38</v>
      </c>
      <c r="F1852" t="s">
        <v>51</v>
      </c>
      <c r="G1852" t="s">
        <v>104</v>
      </c>
      <c r="H1852" t="s">
        <v>62</v>
      </c>
      <c r="I1852" t="s">
        <v>140</v>
      </c>
      <c r="J1852" t="s">
        <v>89</v>
      </c>
      <c r="K1852">
        <v>3</v>
      </c>
      <c r="L1852">
        <v>22900</v>
      </c>
      <c r="M1852">
        <v>5</v>
      </c>
      <c r="N1852">
        <v>65265</v>
      </c>
      <c r="O1852" t="s">
        <v>48</v>
      </c>
      <c r="P1852">
        <v>2</v>
      </c>
      <c r="Q1852" t="s">
        <v>65</v>
      </c>
    </row>
    <row r="1853" spans="1:17" x14ac:dyDescent="0.3">
      <c r="A1853" t="s">
        <v>3094</v>
      </c>
      <c r="B1853" t="s">
        <v>2361</v>
      </c>
      <c r="C1853" t="s">
        <v>19</v>
      </c>
      <c r="D1853" t="s">
        <v>83</v>
      </c>
      <c r="E1853">
        <v>24</v>
      </c>
      <c r="F1853" t="s">
        <v>21</v>
      </c>
      <c r="G1853" t="s">
        <v>21</v>
      </c>
      <c r="H1853" t="s">
        <v>22</v>
      </c>
      <c r="I1853" t="s">
        <v>84</v>
      </c>
      <c r="J1853" t="s">
        <v>34</v>
      </c>
      <c r="K1853">
        <v>10</v>
      </c>
      <c r="L1853">
        <v>6900</v>
      </c>
      <c r="M1853">
        <v>0</v>
      </c>
      <c r="N1853">
        <v>69000</v>
      </c>
      <c r="O1853" t="s">
        <v>35</v>
      </c>
      <c r="P1853">
        <v>5</v>
      </c>
      <c r="Q1853" t="s">
        <v>41</v>
      </c>
    </row>
    <row r="1854" spans="1:17" x14ac:dyDescent="0.3">
      <c r="A1854" t="s">
        <v>3095</v>
      </c>
      <c r="B1854" t="s">
        <v>1090</v>
      </c>
      <c r="C1854" t="s">
        <v>38</v>
      </c>
      <c r="D1854" t="s">
        <v>83</v>
      </c>
      <c r="E1854">
        <v>28</v>
      </c>
      <c r="F1854" t="s">
        <v>61</v>
      </c>
      <c r="G1854" t="s">
        <v>61</v>
      </c>
      <c r="H1854" t="s">
        <v>62</v>
      </c>
      <c r="I1854" t="s">
        <v>140</v>
      </c>
      <c r="J1854" t="s">
        <v>80</v>
      </c>
      <c r="K1854">
        <v>2</v>
      </c>
      <c r="L1854">
        <v>26500</v>
      </c>
      <c r="M1854">
        <v>15</v>
      </c>
      <c r="N1854">
        <v>45050</v>
      </c>
      <c r="O1854" t="s">
        <v>105</v>
      </c>
      <c r="Q1854" t="s">
        <v>74</v>
      </c>
    </row>
    <row r="1855" spans="1:17" x14ac:dyDescent="0.3">
      <c r="A1855" t="s">
        <v>3096</v>
      </c>
      <c r="B1855" t="s">
        <v>2096</v>
      </c>
      <c r="C1855" t="s">
        <v>113</v>
      </c>
      <c r="D1855" t="s">
        <v>103</v>
      </c>
      <c r="E1855">
        <v>50</v>
      </c>
      <c r="F1855" t="s">
        <v>77</v>
      </c>
      <c r="G1855" t="s">
        <v>95</v>
      </c>
      <c r="H1855" t="s">
        <v>32</v>
      </c>
      <c r="I1855" t="s">
        <v>33</v>
      </c>
      <c r="J1855" t="s">
        <v>89</v>
      </c>
      <c r="K1855">
        <v>8</v>
      </c>
      <c r="L1855">
        <v>8700</v>
      </c>
      <c r="M1855">
        <v>20</v>
      </c>
      <c r="N1855">
        <v>55680</v>
      </c>
      <c r="O1855" t="s">
        <v>35</v>
      </c>
      <c r="P1855">
        <v>5</v>
      </c>
      <c r="Q1855" t="s">
        <v>65</v>
      </c>
    </row>
    <row r="1856" spans="1:17" x14ac:dyDescent="0.3">
      <c r="A1856" t="s">
        <v>3097</v>
      </c>
      <c r="B1856" t="s">
        <v>139</v>
      </c>
      <c r="C1856" t="s">
        <v>88</v>
      </c>
      <c r="D1856" t="s">
        <v>20</v>
      </c>
      <c r="E1856">
        <v>29</v>
      </c>
      <c r="F1856" t="s">
        <v>565</v>
      </c>
      <c r="G1856" t="s">
        <v>45</v>
      </c>
      <c r="H1856" t="s">
        <v>46</v>
      </c>
      <c r="I1856" t="s">
        <v>47</v>
      </c>
      <c r="J1856" t="s">
        <v>89</v>
      </c>
      <c r="K1856">
        <v>1</v>
      </c>
      <c r="L1856">
        <v>11500</v>
      </c>
      <c r="M1856">
        <v>0</v>
      </c>
      <c r="N1856">
        <v>11500</v>
      </c>
      <c r="O1856" t="s">
        <v>40</v>
      </c>
      <c r="Q1856" t="s">
        <v>41</v>
      </c>
    </row>
    <row r="1857" spans="1:17" x14ac:dyDescent="0.3">
      <c r="A1857" t="s">
        <v>3098</v>
      </c>
      <c r="B1857" t="s">
        <v>3099</v>
      </c>
      <c r="C1857" t="s">
        <v>88</v>
      </c>
      <c r="D1857" t="s">
        <v>39</v>
      </c>
      <c r="E1857">
        <v>48</v>
      </c>
      <c r="F1857" t="s">
        <v>21</v>
      </c>
      <c r="G1857" t="s">
        <v>21</v>
      </c>
      <c r="H1857" t="s">
        <v>62</v>
      </c>
      <c r="I1857" t="s">
        <v>140</v>
      </c>
      <c r="J1857" t="s">
        <v>89</v>
      </c>
      <c r="K1857">
        <v>2</v>
      </c>
      <c r="L1857">
        <v>32800</v>
      </c>
      <c r="M1857">
        <v>10</v>
      </c>
      <c r="N1857">
        <v>59040</v>
      </c>
      <c r="O1857" t="s">
        <v>85</v>
      </c>
      <c r="Q1857" t="s">
        <v>26</v>
      </c>
    </row>
    <row r="1858" spans="1:17" x14ac:dyDescent="0.3">
      <c r="A1858" t="s">
        <v>3100</v>
      </c>
      <c r="B1858" t="s">
        <v>1999</v>
      </c>
      <c r="C1858" t="s">
        <v>113</v>
      </c>
      <c r="D1858" t="s">
        <v>103</v>
      </c>
      <c r="E1858">
        <v>54</v>
      </c>
      <c r="F1858" t="s">
        <v>77</v>
      </c>
      <c r="G1858" t="s">
        <v>95</v>
      </c>
      <c r="H1858" t="s">
        <v>22</v>
      </c>
      <c r="I1858" t="s">
        <v>23</v>
      </c>
      <c r="J1858" t="s">
        <v>72</v>
      </c>
      <c r="K1858">
        <v>1</v>
      </c>
      <c r="L1858">
        <v>40700</v>
      </c>
      <c r="M1858">
        <v>25</v>
      </c>
      <c r="N1858">
        <v>30525</v>
      </c>
      <c r="O1858" t="s">
        <v>105</v>
      </c>
      <c r="Q1858" t="s">
        <v>74</v>
      </c>
    </row>
    <row r="1859" spans="1:17" x14ac:dyDescent="0.3">
      <c r="A1859" t="s">
        <v>3101</v>
      </c>
      <c r="B1859" t="s">
        <v>3102</v>
      </c>
      <c r="C1859" t="s">
        <v>94</v>
      </c>
      <c r="D1859" t="s">
        <v>83</v>
      </c>
      <c r="E1859">
        <v>33</v>
      </c>
      <c r="F1859" t="s">
        <v>44</v>
      </c>
      <c r="G1859" t="s">
        <v>45</v>
      </c>
      <c r="H1859" t="s">
        <v>62</v>
      </c>
      <c r="I1859" t="s">
        <v>140</v>
      </c>
      <c r="J1859" t="s">
        <v>64</v>
      </c>
      <c r="K1859">
        <v>3</v>
      </c>
      <c r="L1859">
        <v>13000</v>
      </c>
      <c r="M1859">
        <v>25</v>
      </c>
      <c r="N1859">
        <v>29250</v>
      </c>
      <c r="O1859" t="s">
        <v>73</v>
      </c>
      <c r="P1859">
        <v>3</v>
      </c>
      <c r="Q1859" t="s">
        <v>74</v>
      </c>
    </row>
    <row r="1860" spans="1:17" x14ac:dyDescent="0.3">
      <c r="A1860" t="s">
        <v>3103</v>
      </c>
      <c r="B1860" t="s">
        <v>3104</v>
      </c>
      <c r="C1860" t="s">
        <v>19</v>
      </c>
      <c r="D1860" t="s">
        <v>83</v>
      </c>
      <c r="E1860">
        <v>51</v>
      </c>
      <c r="F1860" t="s">
        <v>21</v>
      </c>
      <c r="G1860" t="s">
        <v>21</v>
      </c>
      <c r="H1860" t="s">
        <v>32</v>
      </c>
      <c r="I1860" t="s">
        <v>53</v>
      </c>
      <c r="J1860" t="s">
        <v>89</v>
      </c>
      <c r="K1860">
        <v>8</v>
      </c>
      <c r="L1860">
        <v>5500</v>
      </c>
      <c r="M1860">
        <v>20</v>
      </c>
      <c r="N1860">
        <v>35200</v>
      </c>
      <c r="O1860" t="s">
        <v>40</v>
      </c>
      <c r="P1860">
        <v>4</v>
      </c>
      <c r="Q1860" t="s">
        <v>26</v>
      </c>
    </row>
    <row r="1861" spans="1:17" x14ac:dyDescent="0.3">
      <c r="A1861" t="s">
        <v>3105</v>
      </c>
      <c r="B1861" t="s">
        <v>1012</v>
      </c>
      <c r="C1861" t="s">
        <v>68</v>
      </c>
      <c r="D1861" t="s">
        <v>20</v>
      </c>
      <c r="E1861">
        <v>34</v>
      </c>
      <c r="F1861" t="s">
        <v>61</v>
      </c>
      <c r="G1861" t="s">
        <v>61</v>
      </c>
      <c r="H1861" t="s">
        <v>62</v>
      </c>
      <c r="I1861" t="s">
        <v>140</v>
      </c>
      <c r="J1861" t="s">
        <v>34</v>
      </c>
      <c r="K1861">
        <v>5</v>
      </c>
      <c r="L1861">
        <v>14300</v>
      </c>
      <c r="M1861">
        <v>0</v>
      </c>
      <c r="N1861">
        <v>71500</v>
      </c>
      <c r="O1861" t="s">
        <v>35</v>
      </c>
      <c r="P1861">
        <v>3</v>
      </c>
      <c r="Q1861" t="s">
        <v>74</v>
      </c>
    </row>
    <row r="1862" spans="1:17" x14ac:dyDescent="0.3">
      <c r="A1862" t="s">
        <v>3106</v>
      </c>
      <c r="B1862" t="s">
        <v>191</v>
      </c>
      <c r="C1862" t="s">
        <v>60</v>
      </c>
      <c r="D1862" t="s">
        <v>83</v>
      </c>
      <c r="E1862">
        <v>55</v>
      </c>
      <c r="F1862" t="s">
        <v>30</v>
      </c>
      <c r="G1862" t="s">
        <v>57</v>
      </c>
      <c r="H1862" t="s">
        <v>62</v>
      </c>
      <c r="I1862" t="s">
        <v>140</v>
      </c>
      <c r="J1862" t="s">
        <v>64</v>
      </c>
      <c r="K1862">
        <v>9</v>
      </c>
      <c r="L1862">
        <v>26300</v>
      </c>
      <c r="M1862">
        <v>20</v>
      </c>
      <c r="N1862">
        <v>189360</v>
      </c>
      <c r="O1862" t="s">
        <v>48</v>
      </c>
      <c r="P1862">
        <v>1</v>
      </c>
      <c r="Q1862" t="s">
        <v>74</v>
      </c>
    </row>
    <row r="1863" spans="1:17" x14ac:dyDescent="0.3">
      <c r="A1863" t="s">
        <v>3107</v>
      </c>
      <c r="B1863" t="s">
        <v>1516</v>
      </c>
      <c r="C1863" t="s">
        <v>68</v>
      </c>
      <c r="D1863" t="s">
        <v>83</v>
      </c>
      <c r="E1863">
        <v>44</v>
      </c>
      <c r="F1863" t="s">
        <v>61</v>
      </c>
      <c r="G1863" t="s">
        <v>61</v>
      </c>
      <c r="H1863" t="s">
        <v>32</v>
      </c>
      <c r="I1863" t="s">
        <v>33</v>
      </c>
      <c r="J1863" t="s">
        <v>34</v>
      </c>
      <c r="K1863">
        <v>7</v>
      </c>
      <c r="L1863">
        <v>44100</v>
      </c>
      <c r="M1863">
        <v>0</v>
      </c>
      <c r="N1863">
        <v>308700</v>
      </c>
      <c r="O1863" t="s">
        <v>25</v>
      </c>
      <c r="P1863">
        <v>1</v>
      </c>
      <c r="Q1863" t="s">
        <v>26</v>
      </c>
    </row>
    <row r="1864" spans="1:17" x14ac:dyDescent="0.3">
      <c r="A1864" t="s">
        <v>3108</v>
      </c>
      <c r="B1864" t="s">
        <v>2481</v>
      </c>
      <c r="C1864" t="s">
        <v>94</v>
      </c>
      <c r="D1864" t="s">
        <v>20</v>
      </c>
      <c r="E1864">
        <v>31</v>
      </c>
      <c r="F1864" t="s">
        <v>812</v>
      </c>
      <c r="G1864" t="s">
        <v>95</v>
      </c>
      <c r="H1864" t="s">
        <v>46</v>
      </c>
      <c r="I1864" t="s">
        <v>47</v>
      </c>
      <c r="J1864" t="s">
        <v>64</v>
      </c>
      <c r="K1864">
        <v>10</v>
      </c>
      <c r="L1864">
        <v>2000</v>
      </c>
      <c r="M1864">
        <v>10</v>
      </c>
      <c r="N1864">
        <v>18000</v>
      </c>
      <c r="O1864" t="s">
        <v>35</v>
      </c>
      <c r="P1864">
        <v>3</v>
      </c>
      <c r="Q1864" t="s">
        <v>65</v>
      </c>
    </row>
    <row r="1865" spans="1:17" x14ac:dyDescent="0.3">
      <c r="A1865" t="s">
        <v>3109</v>
      </c>
      <c r="B1865" t="s">
        <v>1419</v>
      </c>
      <c r="C1865" t="s">
        <v>88</v>
      </c>
      <c r="D1865" t="s">
        <v>20</v>
      </c>
      <c r="E1865">
        <v>27</v>
      </c>
      <c r="F1865" t="s">
        <v>30</v>
      </c>
      <c r="G1865" t="s">
        <v>31</v>
      </c>
      <c r="H1865" t="s">
        <v>32</v>
      </c>
      <c r="I1865" t="s">
        <v>33</v>
      </c>
      <c r="J1865" t="s">
        <v>72</v>
      </c>
      <c r="K1865">
        <v>5</v>
      </c>
      <c r="L1865">
        <v>49100</v>
      </c>
      <c r="M1865">
        <v>10</v>
      </c>
      <c r="N1865">
        <v>220950</v>
      </c>
      <c r="O1865" t="s">
        <v>73</v>
      </c>
      <c r="P1865">
        <v>5</v>
      </c>
      <c r="Q1865" t="s">
        <v>26</v>
      </c>
    </row>
    <row r="1866" spans="1:17" x14ac:dyDescent="0.3">
      <c r="A1866" t="s">
        <v>3110</v>
      </c>
      <c r="B1866" t="s">
        <v>793</v>
      </c>
      <c r="C1866" t="s">
        <v>94</v>
      </c>
      <c r="E1866">
        <v>48</v>
      </c>
      <c r="F1866" t="s">
        <v>277</v>
      </c>
      <c r="G1866" t="s">
        <v>100</v>
      </c>
      <c r="H1866" t="s">
        <v>62</v>
      </c>
      <c r="I1866" t="s">
        <v>63</v>
      </c>
      <c r="J1866" t="s">
        <v>34</v>
      </c>
      <c r="K1866" t="s">
        <v>562</v>
      </c>
      <c r="L1866">
        <v>18000</v>
      </c>
      <c r="M1866">
        <v>10</v>
      </c>
      <c r="N1866">
        <v>64800</v>
      </c>
      <c r="O1866" t="s">
        <v>105</v>
      </c>
      <c r="P1866">
        <v>4</v>
      </c>
      <c r="Q1866" t="s">
        <v>26</v>
      </c>
    </row>
    <row r="1867" spans="1:17" x14ac:dyDescent="0.3">
      <c r="A1867" t="s">
        <v>3111</v>
      </c>
      <c r="B1867" t="s">
        <v>2639</v>
      </c>
      <c r="C1867" t="s">
        <v>29</v>
      </c>
      <c r="D1867" t="s">
        <v>20</v>
      </c>
      <c r="E1867">
        <v>60</v>
      </c>
      <c r="F1867" t="s">
        <v>61</v>
      </c>
      <c r="G1867" t="s">
        <v>61</v>
      </c>
      <c r="H1867" t="s">
        <v>32</v>
      </c>
      <c r="I1867" t="s">
        <v>33</v>
      </c>
      <c r="J1867" t="s">
        <v>64</v>
      </c>
      <c r="K1867">
        <v>7</v>
      </c>
      <c r="L1867">
        <v>17100</v>
      </c>
      <c r="M1867">
        <v>25</v>
      </c>
      <c r="N1867">
        <v>89775</v>
      </c>
      <c r="O1867" t="s">
        <v>35</v>
      </c>
      <c r="P1867">
        <v>4</v>
      </c>
      <c r="Q1867" t="s">
        <v>74</v>
      </c>
    </row>
    <row r="1868" spans="1:17" x14ac:dyDescent="0.3">
      <c r="A1868" t="s">
        <v>3112</v>
      </c>
      <c r="B1868" t="s">
        <v>604</v>
      </c>
      <c r="C1868" t="s">
        <v>113</v>
      </c>
      <c r="D1868" t="s">
        <v>39</v>
      </c>
      <c r="E1868">
        <v>39</v>
      </c>
      <c r="F1868" t="s">
        <v>61</v>
      </c>
      <c r="G1868" t="s">
        <v>61</v>
      </c>
      <c r="H1868" t="s">
        <v>46</v>
      </c>
      <c r="I1868" t="s">
        <v>47</v>
      </c>
      <c r="J1868" t="s">
        <v>80</v>
      </c>
      <c r="K1868">
        <v>4</v>
      </c>
      <c r="L1868">
        <v>26800</v>
      </c>
      <c r="M1868">
        <v>0</v>
      </c>
      <c r="N1868">
        <v>107200</v>
      </c>
      <c r="O1868" t="s">
        <v>48</v>
      </c>
      <c r="P1868">
        <v>2</v>
      </c>
      <c r="Q1868" t="s">
        <v>26</v>
      </c>
    </row>
    <row r="1869" spans="1:17" x14ac:dyDescent="0.3">
      <c r="A1869" t="s">
        <v>3113</v>
      </c>
      <c r="B1869" t="s">
        <v>123</v>
      </c>
      <c r="C1869" t="s">
        <v>94</v>
      </c>
      <c r="D1869" t="s">
        <v>39</v>
      </c>
      <c r="E1869">
        <v>18</v>
      </c>
      <c r="F1869" t="s">
        <v>1122</v>
      </c>
      <c r="G1869" t="s">
        <v>95</v>
      </c>
      <c r="H1869" t="s">
        <v>46</v>
      </c>
      <c r="I1869" t="s">
        <v>79</v>
      </c>
      <c r="J1869" t="s">
        <v>72</v>
      </c>
      <c r="K1869">
        <v>2</v>
      </c>
      <c r="L1869">
        <v>4000</v>
      </c>
      <c r="M1869">
        <v>15</v>
      </c>
      <c r="N1869">
        <v>6800</v>
      </c>
      <c r="O1869" t="s">
        <v>25</v>
      </c>
      <c r="P1869">
        <v>2</v>
      </c>
      <c r="Q1869" t="s">
        <v>26</v>
      </c>
    </row>
    <row r="1870" spans="1:17" x14ac:dyDescent="0.3">
      <c r="A1870" t="s">
        <v>3114</v>
      </c>
      <c r="B1870" t="s">
        <v>1825</v>
      </c>
      <c r="C1870" t="s">
        <v>113</v>
      </c>
      <c r="D1870" t="s">
        <v>103</v>
      </c>
      <c r="E1870">
        <v>40</v>
      </c>
      <c r="F1870" t="s">
        <v>61</v>
      </c>
      <c r="G1870" t="s">
        <v>61</v>
      </c>
      <c r="H1870" t="s">
        <v>455</v>
      </c>
      <c r="I1870" t="s">
        <v>140</v>
      </c>
      <c r="J1870" t="s">
        <v>80</v>
      </c>
      <c r="K1870">
        <v>6</v>
      </c>
      <c r="L1870">
        <v>7100</v>
      </c>
      <c r="M1870">
        <v>15</v>
      </c>
      <c r="N1870">
        <v>36210</v>
      </c>
      <c r="O1870" t="s">
        <v>85</v>
      </c>
      <c r="Q1870" t="s">
        <v>74</v>
      </c>
    </row>
    <row r="1871" spans="1:17" x14ac:dyDescent="0.3">
      <c r="A1871" t="s">
        <v>3115</v>
      </c>
      <c r="B1871" t="s">
        <v>1207</v>
      </c>
      <c r="C1871" t="s">
        <v>60</v>
      </c>
      <c r="E1871">
        <v>19</v>
      </c>
      <c r="F1871" t="s">
        <v>30</v>
      </c>
      <c r="G1871" t="s">
        <v>31</v>
      </c>
      <c r="H1871" t="s">
        <v>32</v>
      </c>
      <c r="I1871" t="s">
        <v>33</v>
      </c>
      <c r="J1871" t="s">
        <v>24</v>
      </c>
      <c r="K1871">
        <v>4</v>
      </c>
      <c r="L1871">
        <v>21500</v>
      </c>
      <c r="M1871">
        <v>15</v>
      </c>
      <c r="N1871">
        <v>73100</v>
      </c>
      <c r="O1871" t="s">
        <v>105</v>
      </c>
      <c r="P1871">
        <v>1</v>
      </c>
      <c r="Q1871" t="s">
        <v>41</v>
      </c>
    </row>
    <row r="1872" spans="1:17" x14ac:dyDescent="0.3">
      <c r="A1872" t="s">
        <v>3116</v>
      </c>
      <c r="B1872" t="s">
        <v>3117</v>
      </c>
      <c r="C1872" t="s">
        <v>68</v>
      </c>
      <c r="D1872" t="s">
        <v>103</v>
      </c>
      <c r="E1872">
        <v>18</v>
      </c>
      <c r="F1872" t="s">
        <v>21</v>
      </c>
      <c r="G1872" t="s">
        <v>21</v>
      </c>
      <c r="H1872" t="s">
        <v>22</v>
      </c>
      <c r="I1872" t="s">
        <v>23</v>
      </c>
      <c r="J1872" t="s">
        <v>72</v>
      </c>
      <c r="K1872">
        <v>5</v>
      </c>
      <c r="L1872">
        <v>34400</v>
      </c>
      <c r="M1872">
        <v>20</v>
      </c>
      <c r="N1872">
        <v>137600</v>
      </c>
      <c r="O1872" t="s">
        <v>48</v>
      </c>
      <c r="P1872">
        <v>2</v>
      </c>
      <c r="Q1872" t="s">
        <v>74</v>
      </c>
    </row>
    <row r="1873" spans="1:17" x14ac:dyDescent="0.3">
      <c r="A1873" t="s">
        <v>3118</v>
      </c>
      <c r="B1873" t="s">
        <v>1012</v>
      </c>
      <c r="C1873" t="s">
        <v>60</v>
      </c>
      <c r="D1873" t="s">
        <v>39</v>
      </c>
      <c r="E1873">
        <v>48</v>
      </c>
      <c r="F1873" t="s">
        <v>812</v>
      </c>
      <c r="G1873" t="s">
        <v>95</v>
      </c>
      <c r="H1873" t="s">
        <v>22</v>
      </c>
      <c r="I1873" t="s">
        <v>84</v>
      </c>
      <c r="J1873" t="s">
        <v>34</v>
      </c>
      <c r="K1873">
        <v>7</v>
      </c>
      <c r="L1873">
        <v>37500</v>
      </c>
      <c r="M1873">
        <v>0</v>
      </c>
      <c r="N1873">
        <v>262500</v>
      </c>
      <c r="O1873" t="s">
        <v>40</v>
      </c>
      <c r="P1873">
        <v>1</v>
      </c>
      <c r="Q1873" t="s">
        <v>74</v>
      </c>
    </row>
    <row r="1874" spans="1:17" x14ac:dyDescent="0.3">
      <c r="A1874" t="s">
        <v>3119</v>
      </c>
      <c r="B1874" t="s">
        <v>662</v>
      </c>
      <c r="C1874" t="s">
        <v>29</v>
      </c>
      <c r="D1874" t="s">
        <v>83</v>
      </c>
      <c r="E1874">
        <v>29</v>
      </c>
      <c r="F1874" t="s">
        <v>1122</v>
      </c>
      <c r="G1874" t="s">
        <v>95</v>
      </c>
      <c r="H1874" t="s">
        <v>46</v>
      </c>
      <c r="I1874" t="s">
        <v>79</v>
      </c>
      <c r="J1874" t="s">
        <v>89</v>
      </c>
      <c r="K1874">
        <v>10</v>
      </c>
      <c r="L1874">
        <v>24700</v>
      </c>
      <c r="M1874">
        <v>10</v>
      </c>
      <c r="N1874">
        <v>222300</v>
      </c>
      <c r="O1874" t="s">
        <v>25</v>
      </c>
      <c r="P1874">
        <v>5</v>
      </c>
      <c r="Q1874" t="s">
        <v>65</v>
      </c>
    </row>
    <row r="1875" spans="1:17" x14ac:dyDescent="0.3">
      <c r="A1875" t="s">
        <v>3120</v>
      </c>
      <c r="B1875" t="s">
        <v>936</v>
      </c>
      <c r="C1875" t="s">
        <v>71</v>
      </c>
      <c r="D1875" t="s">
        <v>39</v>
      </c>
      <c r="E1875">
        <v>29</v>
      </c>
      <c r="F1875" t="s">
        <v>30</v>
      </c>
      <c r="G1875" t="s">
        <v>31</v>
      </c>
      <c r="H1875" t="s">
        <v>62</v>
      </c>
      <c r="I1875" t="s">
        <v>140</v>
      </c>
      <c r="J1875" t="s">
        <v>34</v>
      </c>
      <c r="K1875">
        <v>9</v>
      </c>
      <c r="L1875">
        <v>39900</v>
      </c>
      <c r="M1875">
        <v>0</v>
      </c>
      <c r="N1875">
        <v>359100</v>
      </c>
      <c r="O1875" t="s">
        <v>73</v>
      </c>
      <c r="P1875">
        <v>2</v>
      </c>
      <c r="Q1875" t="s">
        <v>26</v>
      </c>
    </row>
    <row r="1876" spans="1:17" x14ac:dyDescent="0.3">
      <c r="A1876" t="s">
        <v>3121</v>
      </c>
      <c r="B1876" t="s">
        <v>139</v>
      </c>
      <c r="C1876" t="s">
        <v>88</v>
      </c>
      <c r="D1876" t="s">
        <v>20</v>
      </c>
      <c r="E1876">
        <v>39</v>
      </c>
      <c r="F1876" t="s">
        <v>51</v>
      </c>
      <c r="G1876" t="s">
        <v>104</v>
      </c>
      <c r="H1876" t="s">
        <v>22</v>
      </c>
      <c r="I1876" t="s">
        <v>23</v>
      </c>
      <c r="J1876" t="s">
        <v>89</v>
      </c>
      <c r="K1876" t="s">
        <v>1321</v>
      </c>
      <c r="L1876">
        <v>11100</v>
      </c>
      <c r="M1876">
        <v>15</v>
      </c>
      <c r="N1876">
        <v>28305</v>
      </c>
      <c r="O1876" t="s">
        <v>105</v>
      </c>
      <c r="P1876">
        <v>5</v>
      </c>
      <c r="Q1876" t="s">
        <v>41</v>
      </c>
    </row>
    <row r="1877" spans="1:17" x14ac:dyDescent="0.3">
      <c r="A1877" t="s">
        <v>3122</v>
      </c>
      <c r="B1877" t="s">
        <v>457</v>
      </c>
      <c r="C1877" t="s">
        <v>88</v>
      </c>
      <c r="E1877">
        <v>37</v>
      </c>
      <c r="F1877" t="s">
        <v>21</v>
      </c>
      <c r="G1877" t="s">
        <v>21</v>
      </c>
      <c r="H1877" t="s">
        <v>32</v>
      </c>
      <c r="I1877" t="s">
        <v>33</v>
      </c>
      <c r="J1877" t="s">
        <v>24</v>
      </c>
      <c r="K1877">
        <v>6</v>
      </c>
      <c r="L1877">
        <v>44200</v>
      </c>
      <c r="M1877">
        <v>20</v>
      </c>
      <c r="N1877">
        <v>212160</v>
      </c>
      <c r="O1877" t="s">
        <v>105</v>
      </c>
      <c r="Q1877" t="s">
        <v>65</v>
      </c>
    </row>
    <row r="1878" spans="1:17" x14ac:dyDescent="0.3">
      <c r="A1878" t="s">
        <v>3123</v>
      </c>
      <c r="B1878" t="s">
        <v>349</v>
      </c>
      <c r="C1878" t="s">
        <v>113</v>
      </c>
      <c r="D1878" t="s">
        <v>20</v>
      </c>
      <c r="E1878">
        <v>41</v>
      </c>
      <c r="F1878" t="s">
        <v>61</v>
      </c>
      <c r="G1878" t="s">
        <v>61</v>
      </c>
      <c r="H1878" t="s">
        <v>32</v>
      </c>
      <c r="I1878" t="s">
        <v>53</v>
      </c>
      <c r="J1878" t="s">
        <v>24</v>
      </c>
      <c r="K1878">
        <v>1</v>
      </c>
      <c r="L1878">
        <v>45600</v>
      </c>
      <c r="M1878">
        <v>20</v>
      </c>
      <c r="N1878">
        <v>36480</v>
      </c>
      <c r="O1878" t="s">
        <v>73</v>
      </c>
      <c r="P1878">
        <v>3</v>
      </c>
      <c r="Q1878" t="s">
        <v>41</v>
      </c>
    </row>
    <row r="1879" spans="1:17" x14ac:dyDescent="0.3">
      <c r="A1879" t="s">
        <v>3124</v>
      </c>
      <c r="B1879" t="s">
        <v>3125</v>
      </c>
      <c r="C1879" t="s">
        <v>88</v>
      </c>
      <c r="E1879">
        <v>27</v>
      </c>
      <c r="F1879" t="s">
        <v>77</v>
      </c>
      <c r="G1879" t="s">
        <v>78</v>
      </c>
      <c r="H1879" t="s">
        <v>32</v>
      </c>
      <c r="I1879" t="s">
        <v>33</v>
      </c>
      <c r="J1879" t="s">
        <v>72</v>
      </c>
      <c r="K1879">
        <v>7</v>
      </c>
      <c r="L1879">
        <v>21000</v>
      </c>
      <c r="M1879">
        <v>10</v>
      </c>
      <c r="N1879">
        <v>132300</v>
      </c>
      <c r="O1879" t="s">
        <v>48</v>
      </c>
      <c r="P1879">
        <v>3</v>
      </c>
      <c r="Q1879" t="s">
        <v>41</v>
      </c>
    </row>
    <row r="1880" spans="1:17" x14ac:dyDescent="0.3">
      <c r="A1880" t="s">
        <v>3126</v>
      </c>
      <c r="B1880" t="s">
        <v>1196</v>
      </c>
      <c r="C1880" t="s">
        <v>68</v>
      </c>
      <c r="E1880">
        <v>47</v>
      </c>
      <c r="F1880" t="s">
        <v>44</v>
      </c>
      <c r="G1880" t="s">
        <v>100</v>
      </c>
      <c r="H1880" t="s">
        <v>62</v>
      </c>
      <c r="I1880" t="s">
        <v>63</v>
      </c>
      <c r="J1880" t="s">
        <v>80</v>
      </c>
      <c r="K1880">
        <v>9</v>
      </c>
      <c r="L1880">
        <v>17600</v>
      </c>
      <c r="M1880">
        <v>20</v>
      </c>
      <c r="N1880" t="s">
        <v>3127</v>
      </c>
      <c r="O1880" t="s">
        <v>105</v>
      </c>
      <c r="P1880">
        <v>5</v>
      </c>
      <c r="Q1880" t="s">
        <v>74</v>
      </c>
    </row>
    <row r="1881" spans="1:17" x14ac:dyDescent="0.3">
      <c r="A1881" t="s">
        <v>3128</v>
      </c>
      <c r="B1881" t="s">
        <v>1291</v>
      </c>
      <c r="C1881" t="s">
        <v>38</v>
      </c>
      <c r="D1881" t="s">
        <v>103</v>
      </c>
      <c r="E1881">
        <v>63</v>
      </c>
      <c r="F1881" t="s">
        <v>30</v>
      </c>
      <c r="G1881" t="s">
        <v>31</v>
      </c>
      <c r="H1881" t="s">
        <v>62</v>
      </c>
      <c r="I1881" t="s">
        <v>63</v>
      </c>
      <c r="J1881" t="s">
        <v>80</v>
      </c>
      <c r="K1881">
        <v>5</v>
      </c>
      <c r="L1881">
        <v>17200</v>
      </c>
      <c r="M1881">
        <v>20</v>
      </c>
      <c r="N1881" t="s">
        <v>3129</v>
      </c>
      <c r="O1881" t="s">
        <v>25</v>
      </c>
      <c r="P1881">
        <v>1</v>
      </c>
      <c r="Q1881" t="s">
        <v>65</v>
      </c>
    </row>
    <row r="1882" spans="1:17" x14ac:dyDescent="0.3">
      <c r="A1882" t="s">
        <v>3130</v>
      </c>
      <c r="B1882" t="s">
        <v>1239</v>
      </c>
      <c r="C1882" t="s">
        <v>113</v>
      </c>
      <c r="D1882" t="s">
        <v>39</v>
      </c>
      <c r="E1882">
        <v>39</v>
      </c>
      <c r="F1882" t="s">
        <v>21</v>
      </c>
      <c r="G1882" t="s">
        <v>21</v>
      </c>
      <c r="H1882" t="s">
        <v>22</v>
      </c>
      <c r="I1882" t="s">
        <v>23</v>
      </c>
      <c r="J1882" t="s">
        <v>34</v>
      </c>
      <c r="K1882">
        <v>8</v>
      </c>
      <c r="L1882">
        <v>30000</v>
      </c>
      <c r="M1882">
        <v>10</v>
      </c>
      <c r="N1882">
        <v>216000</v>
      </c>
      <c r="O1882" t="s">
        <v>25</v>
      </c>
      <c r="P1882">
        <v>2</v>
      </c>
      <c r="Q1882" t="s">
        <v>41</v>
      </c>
    </row>
    <row r="1883" spans="1:17" x14ac:dyDescent="0.3">
      <c r="A1883" t="s">
        <v>3131</v>
      </c>
      <c r="B1883" t="s">
        <v>3132</v>
      </c>
      <c r="C1883" t="s">
        <v>68</v>
      </c>
      <c r="D1883" t="s">
        <v>20</v>
      </c>
      <c r="E1883">
        <v>33</v>
      </c>
      <c r="F1883" t="s">
        <v>77</v>
      </c>
      <c r="G1883" t="s">
        <v>95</v>
      </c>
      <c r="H1883" t="s">
        <v>431</v>
      </c>
      <c r="I1883" t="s">
        <v>47</v>
      </c>
      <c r="J1883" t="s">
        <v>64</v>
      </c>
      <c r="K1883">
        <v>1</v>
      </c>
      <c r="L1883">
        <v>5000</v>
      </c>
      <c r="M1883">
        <v>15</v>
      </c>
      <c r="N1883">
        <v>4250</v>
      </c>
      <c r="O1883" t="s">
        <v>105</v>
      </c>
      <c r="P1883">
        <v>4</v>
      </c>
      <c r="Q1883" t="s">
        <v>74</v>
      </c>
    </row>
    <row r="1884" spans="1:17" x14ac:dyDescent="0.3">
      <c r="A1884" t="s">
        <v>3133</v>
      </c>
      <c r="B1884" t="s">
        <v>1231</v>
      </c>
      <c r="C1884" t="s">
        <v>19</v>
      </c>
      <c r="D1884" t="s">
        <v>20</v>
      </c>
      <c r="E1884">
        <v>21</v>
      </c>
      <c r="F1884" t="s">
        <v>77</v>
      </c>
      <c r="G1884" t="s">
        <v>95</v>
      </c>
      <c r="H1884" t="s">
        <v>46</v>
      </c>
      <c r="I1884" t="s">
        <v>79</v>
      </c>
      <c r="J1884" t="s">
        <v>64</v>
      </c>
      <c r="K1884">
        <v>6</v>
      </c>
      <c r="L1884">
        <v>48000</v>
      </c>
      <c r="M1884">
        <v>5</v>
      </c>
      <c r="N1884">
        <v>273600</v>
      </c>
      <c r="O1884" t="s">
        <v>73</v>
      </c>
      <c r="P1884">
        <v>1</v>
      </c>
      <c r="Q1884" t="s">
        <v>41</v>
      </c>
    </row>
    <row r="1885" spans="1:17" x14ac:dyDescent="0.3">
      <c r="A1885" t="s">
        <v>3134</v>
      </c>
      <c r="B1885" t="s">
        <v>232</v>
      </c>
      <c r="C1885" t="s">
        <v>60</v>
      </c>
      <c r="D1885" t="s">
        <v>103</v>
      </c>
      <c r="E1885">
        <v>39</v>
      </c>
      <c r="F1885" t="s">
        <v>44</v>
      </c>
      <c r="G1885" t="s">
        <v>45</v>
      </c>
      <c r="H1885" t="s">
        <v>32</v>
      </c>
      <c r="I1885" t="s">
        <v>53</v>
      </c>
      <c r="J1885" t="s">
        <v>72</v>
      </c>
      <c r="K1885">
        <v>10</v>
      </c>
      <c r="L1885">
        <v>2800</v>
      </c>
      <c r="M1885">
        <v>15</v>
      </c>
      <c r="N1885">
        <v>23800</v>
      </c>
      <c r="O1885" t="s">
        <v>85</v>
      </c>
      <c r="P1885">
        <v>1</v>
      </c>
      <c r="Q1885" t="s">
        <v>41</v>
      </c>
    </row>
    <row r="1886" spans="1:17" x14ac:dyDescent="0.3">
      <c r="A1886" t="s">
        <v>3135</v>
      </c>
      <c r="B1886" t="s">
        <v>3136</v>
      </c>
      <c r="C1886" t="s">
        <v>94</v>
      </c>
      <c r="D1886" t="s">
        <v>39</v>
      </c>
      <c r="E1886">
        <v>21</v>
      </c>
      <c r="F1886" t="s">
        <v>30</v>
      </c>
      <c r="G1886" t="s">
        <v>57</v>
      </c>
      <c r="H1886" t="s">
        <v>62</v>
      </c>
      <c r="I1886" t="s">
        <v>63</v>
      </c>
      <c r="J1886" t="s">
        <v>24</v>
      </c>
      <c r="K1886">
        <v>8</v>
      </c>
      <c r="L1886">
        <v>13900</v>
      </c>
      <c r="M1886">
        <v>10</v>
      </c>
      <c r="N1886">
        <v>100080</v>
      </c>
      <c r="O1886" t="s">
        <v>25</v>
      </c>
      <c r="P1886">
        <v>2</v>
      </c>
      <c r="Q1886" t="s">
        <v>74</v>
      </c>
    </row>
    <row r="1887" spans="1:17" x14ac:dyDescent="0.3">
      <c r="A1887" t="s">
        <v>3137</v>
      </c>
      <c r="B1887" t="s">
        <v>2323</v>
      </c>
      <c r="C1887" t="s">
        <v>121</v>
      </c>
      <c r="D1887" t="s">
        <v>20</v>
      </c>
      <c r="E1887">
        <v>28</v>
      </c>
      <c r="F1887" t="s">
        <v>61</v>
      </c>
      <c r="G1887" t="s">
        <v>61</v>
      </c>
      <c r="H1887" t="s">
        <v>32</v>
      </c>
      <c r="I1887" t="s">
        <v>53</v>
      </c>
      <c r="J1887" t="s">
        <v>64</v>
      </c>
      <c r="K1887">
        <v>1</v>
      </c>
      <c r="L1887">
        <v>31900</v>
      </c>
      <c r="M1887">
        <v>25</v>
      </c>
      <c r="N1887">
        <v>23925</v>
      </c>
      <c r="O1887" t="s">
        <v>73</v>
      </c>
      <c r="P1887">
        <v>5</v>
      </c>
      <c r="Q1887" t="s">
        <v>65</v>
      </c>
    </row>
    <row r="1888" spans="1:17" x14ac:dyDescent="0.3">
      <c r="A1888" t="s">
        <v>3138</v>
      </c>
      <c r="B1888" t="s">
        <v>2575</v>
      </c>
      <c r="C1888" t="s">
        <v>94</v>
      </c>
      <c r="D1888" t="s">
        <v>83</v>
      </c>
      <c r="E1888">
        <v>55</v>
      </c>
      <c r="F1888" t="s">
        <v>503</v>
      </c>
      <c r="G1888" t="s">
        <v>57</v>
      </c>
      <c r="H1888" t="s">
        <v>32</v>
      </c>
      <c r="I1888" t="s">
        <v>53</v>
      </c>
      <c r="J1888" t="s">
        <v>89</v>
      </c>
      <c r="K1888">
        <v>10</v>
      </c>
      <c r="L1888">
        <v>27000</v>
      </c>
      <c r="M1888">
        <v>25</v>
      </c>
      <c r="N1888">
        <v>202500</v>
      </c>
      <c r="O1888" t="s">
        <v>25</v>
      </c>
      <c r="P1888">
        <v>4</v>
      </c>
      <c r="Q1888" t="s">
        <v>74</v>
      </c>
    </row>
    <row r="1889" spans="1:17" x14ac:dyDescent="0.3">
      <c r="A1889" t="s">
        <v>3139</v>
      </c>
      <c r="B1889" t="s">
        <v>2478</v>
      </c>
      <c r="C1889" t="s">
        <v>113</v>
      </c>
      <c r="E1889">
        <v>150</v>
      </c>
      <c r="F1889" t="s">
        <v>44</v>
      </c>
      <c r="G1889" t="s">
        <v>100</v>
      </c>
      <c r="H1889" t="s">
        <v>22</v>
      </c>
      <c r="I1889" t="s">
        <v>23</v>
      </c>
      <c r="J1889" t="s">
        <v>64</v>
      </c>
      <c r="K1889">
        <v>10</v>
      </c>
      <c r="L1889">
        <v>3200</v>
      </c>
      <c r="M1889">
        <v>10</v>
      </c>
      <c r="N1889">
        <v>28800</v>
      </c>
      <c r="O1889" t="s">
        <v>73</v>
      </c>
      <c r="Q1889" t="s">
        <v>26</v>
      </c>
    </row>
    <row r="1890" spans="1:17" x14ac:dyDescent="0.3">
      <c r="A1890" t="s">
        <v>3140</v>
      </c>
      <c r="B1890" t="s">
        <v>709</v>
      </c>
      <c r="C1890" t="s">
        <v>94</v>
      </c>
      <c r="E1890">
        <v>-3</v>
      </c>
      <c r="F1890" t="s">
        <v>61</v>
      </c>
      <c r="G1890" t="s">
        <v>61</v>
      </c>
      <c r="H1890" t="s">
        <v>46</v>
      </c>
      <c r="I1890" t="s">
        <v>79</v>
      </c>
      <c r="J1890" t="s">
        <v>89</v>
      </c>
      <c r="K1890">
        <v>2</v>
      </c>
      <c r="L1890">
        <v>27200</v>
      </c>
      <c r="M1890">
        <v>20</v>
      </c>
      <c r="N1890">
        <v>43520</v>
      </c>
      <c r="O1890" t="s">
        <v>162</v>
      </c>
      <c r="P1890">
        <v>4</v>
      </c>
      <c r="Q1890" t="s">
        <v>74</v>
      </c>
    </row>
    <row r="1891" spans="1:17" x14ac:dyDescent="0.3">
      <c r="A1891" t="s">
        <v>3141</v>
      </c>
      <c r="B1891" t="s">
        <v>1402</v>
      </c>
      <c r="C1891" t="s">
        <v>121</v>
      </c>
      <c r="D1891" t="s">
        <v>39</v>
      </c>
      <c r="E1891">
        <v>60</v>
      </c>
      <c r="F1891" t="s">
        <v>51</v>
      </c>
      <c r="G1891" t="s">
        <v>104</v>
      </c>
      <c r="H1891" t="s">
        <v>22</v>
      </c>
      <c r="I1891" t="s">
        <v>84</v>
      </c>
      <c r="J1891" t="s">
        <v>89</v>
      </c>
      <c r="K1891">
        <v>6</v>
      </c>
      <c r="L1891">
        <v>5000</v>
      </c>
      <c r="M1891">
        <v>20</v>
      </c>
      <c r="N1891">
        <v>24000</v>
      </c>
      <c r="O1891" t="s">
        <v>105</v>
      </c>
      <c r="Q1891" t="s">
        <v>26</v>
      </c>
    </row>
    <row r="1892" spans="1:17" x14ac:dyDescent="0.3">
      <c r="A1892" t="s">
        <v>3142</v>
      </c>
      <c r="B1892" t="s">
        <v>844</v>
      </c>
      <c r="C1892" t="s">
        <v>38</v>
      </c>
      <c r="D1892" t="s">
        <v>83</v>
      </c>
      <c r="E1892">
        <v>47</v>
      </c>
      <c r="F1892" t="s">
        <v>77</v>
      </c>
      <c r="G1892" t="s">
        <v>95</v>
      </c>
      <c r="H1892" t="s">
        <v>32</v>
      </c>
      <c r="I1892" t="s">
        <v>33</v>
      </c>
      <c r="J1892" t="s">
        <v>80</v>
      </c>
      <c r="K1892">
        <v>10</v>
      </c>
      <c r="L1892">
        <v>32300</v>
      </c>
      <c r="M1892">
        <v>5</v>
      </c>
      <c r="N1892">
        <v>306850</v>
      </c>
      <c r="O1892" t="s">
        <v>25</v>
      </c>
      <c r="P1892">
        <v>1</v>
      </c>
      <c r="Q1892" t="s">
        <v>74</v>
      </c>
    </row>
    <row r="1893" spans="1:17" x14ac:dyDescent="0.3">
      <c r="A1893" t="s">
        <v>3143</v>
      </c>
      <c r="B1893" t="s">
        <v>2796</v>
      </c>
      <c r="C1893" t="s">
        <v>19</v>
      </c>
      <c r="D1893" t="s">
        <v>83</v>
      </c>
      <c r="E1893">
        <v>40</v>
      </c>
      <c r="F1893" t="s">
        <v>503</v>
      </c>
      <c r="G1893" t="s">
        <v>31</v>
      </c>
      <c r="H1893" t="s">
        <v>62</v>
      </c>
      <c r="I1893" t="s">
        <v>140</v>
      </c>
      <c r="J1893" t="s">
        <v>89</v>
      </c>
      <c r="K1893">
        <v>9</v>
      </c>
      <c r="L1893">
        <v>49400</v>
      </c>
      <c r="M1893">
        <v>10</v>
      </c>
      <c r="N1893">
        <v>400140</v>
      </c>
      <c r="O1893" t="s">
        <v>48</v>
      </c>
      <c r="P1893">
        <v>3</v>
      </c>
      <c r="Q1893" t="s">
        <v>74</v>
      </c>
    </row>
    <row r="1894" spans="1:17" x14ac:dyDescent="0.3">
      <c r="A1894" t="s">
        <v>3144</v>
      </c>
      <c r="B1894" t="s">
        <v>1114</v>
      </c>
      <c r="C1894" t="s">
        <v>94</v>
      </c>
      <c r="D1894" t="s">
        <v>20</v>
      </c>
      <c r="E1894">
        <v>62</v>
      </c>
      <c r="F1894" t="s">
        <v>30</v>
      </c>
      <c r="G1894" t="s">
        <v>57</v>
      </c>
      <c r="H1894" t="s">
        <v>46</v>
      </c>
      <c r="I1894" t="s">
        <v>79</v>
      </c>
      <c r="J1894" t="s">
        <v>89</v>
      </c>
      <c r="K1894">
        <v>7</v>
      </c>
      <c r="L1894">
        <v>35700</v>
      </c>
      <c r="M1894">
        <v>15</v>
      </c>
      <c r="N1894">
        <v>212415</v>
      </c>
      <c r="O1894" t="s">
        <v>40</v>
      </c>
      <c r="P1894">
        <v>4</v>
      </c>
      <c r="Q1894" t="s">
        <v>65</v>
      </c>
    </row>
    <row r="1895" spans="1:17" x14ac:dyDescent="0.3">
      <c r="A1895" t="s">
        <v>3145</v>
      </c>
      <c r="B1895" t="s">
        <v>1207</v>
      </c>
      <c r="C1895" t="s">
        <v>29</v>
      </c>
      <c r="D1895" t="s">
        <v>103</v>
      </c>
      <c r="E1895">
        <v>45</v>
      </c>
      <c r="F1895" t="s">
        <v>61</v>
      </c>
      <c r="G1895" t="s">
        <v>61</v>
      </c>
      <c r="H1895" t="s">
        <v>62</v>
      </c>
      <c r="I1895" t="s">
        <v>140</v>
      </c>
      <c r="J1895" t="s">
        <v>34</v>
      </c>
      <c r="K1895">
        <v>10</v>
      </c>
      <c r="L1895">
        <v>42000</v>
      </c>
      <c r="M1895">
        <v>5</v>
      </c>
      <c r="N1895">
        <v>399000</v>
      </c>
      <c r="O1895" t="s">
        <v>73</v>
      </c>
      <c r="P1895">
        <v>1</v>
      </c>
      <c r="Q1895" t="s">
        <v>41</v>
      </c>
    </row>
    <row r="1896" spans="1:17" x14ac:dyDescent="0.3">
      <c r="A1896" t="s">
        <v>3146</v>
      </c>
      <c r="B1896" t="s">
        <v>260</v>
      </c>
      <c r="C1896" t="s">
        <v>88</v>
      </c>
      <c r="D1896" t="s">
        <v>39</v>
      </c>
      <c r="E1896">
        <v>19</v>
      </c>
      <c r="F1896" t="s">
        <v>51</v>
      </c>
      <c r="G1896" t="s">
        <v>52</v>
      </c>
      <c r="H1896" t="s">
        <v>46</v>
      </c>
      <c r="I1896" t="s">
        <v>47</v>
      </c>
      <c r="J1896" t="s">
        <v>72</v>
      </c>
      <c r="K1896">
        <v>5</v>
      </c>
      <c r="L1896">
        <v>6500</v>
      </c>
      <c r="M1896">
        <v>20</v>
      </c>
      <c r="N1896">
        <v>26000</v>
      </c>
      <c r="O1896" t="s">
        <v>73</v>
      </c>
      <c r="P1896">
        <v>4</v>
      </c>
      <c r="Q1896" t="s">
        <v>41</v>
      </c>
    </row>
    <row r="1897" spans="1:17" x14ac:dyDescent="0.3">
      <c r="A1897" t="s">
        <v>3147</v>
      </c>
      <c r="B1897" t="s">
        <v>1272</v>
      </c>
      <c r="C1897" t="s">
        <v>94</v>
      </c>
      <c r="E1897">
        <v>49</v>
      </c>
      <c r="F1897" t="s">
        <v>61</v>
      </c>
      <c r="G1897" t="s">
        <v>61</v>
      </c>
      <c r="H1897" t="s">
        <v>32</v>
      </c>
      <c r="I1897" t="s">
        <v>33</v>
      </c>
      <c r="J1897" t="s">
        <v>89</v>
      </c>
      <c r="K1897">
        <v>7</v>
      </c>
      <c r="L1897">
        <v>41400</v>
      </c>
      <c r="M1897">
        <v>0</v>
      </c>
      <c r="N1897">
        <v>289800</v>
      </c>
      <c r="O1897" t="s">
        <v>25</v>
      </c>
      <c r="P1897">
        <v>1</v>
      </c>
      <c r="Q1897" t="s">
        <v>65</v>
      </c>
    </row>
    <row r="1898" spans="1:17" x14ac:dyDescent="0.3">
      <c r="A1898" t="s">
        <v>3148</v>
      </c>
      <c r="B1898" t="s">
        <v>1455</v>
      </c>
      <c r="C1898" t="s">
        <v>121</v>
      </c>
      <c r="D1898" t="s">
        <v>83</v>
      </c>
      <c r="E1898">
        <v>45</v>
      </c>
      <c r="F1898" t="s">
        <v>61</v>
      </c>
      <c r="G1898" t="s">
        <v>61</v>
      </c>
      <c r="H1898" t="s">
        <v>22</v>
      </c>
      <c r="I1898" t="s">
        <v>23</v>
      </c>
      <c r="J1898" t="s">
        <v>89</v>
      </c>
      <c r="K1898">
        <v>7</v>
      </c>
      <c r="L1898">
        <v>4100</v>
      </c>
      <c r="M1898">
        <v>5</v>
      </c>
      <c r="N1898">
        <v>27265</v>
      </c>
      <c r="O1898" t="s">
        <v>73</v>
      </c>
      <c r="Q1898" t="s">
        <v>74</v>
      </c>
    </row>
    <row r="1899" spans="1:17" x14ac:dyDescent="0.3">
      <c r="A1899" t="s">
        <v>3149</v>
      </c>
      <c r="B1899" t="s">
        <v>1522</v>
      </c>
      <c r="C1899" t="s">
        <v>60</v>
      </c>
      <c r="D1899" t="s">
        <v>83</v>
      </c>
      <c r="E1899">
        <v>23</v>
      </c>
      <c r="F1899" t="s">
        <v>21</v>
      </c>
      <c r="G1899" t="s">
        <v>21</v>
      </c>
      <c r="H1899" t="s">
        <v>32</v>
      </c>
      <c r="I1899" t="s">
        <v>33</v>
      </c>
      <c r="J1899" t="s">
        <v>80</v>
      </c>
      <c r="K1899">
        <v>3</v>
      </c>
      <c r="L1899">
        <v>21300</v>
      </c>
      <c r="M1899">
        <v>20</v>
      </c>
      <c r="N1899">
        <v>51120</v>
      </c>
      <c r="O1899" t="s">
        <v>35</v>
      </c>
      <c r="Q1899" t="s">
        <v>26</v>
      </c>
    </row>
    <row r="1900" spans="1:17" x14ac:dyDescent="0.3">
      <c r="A1900" t="s">
        <v>3150</v>
      </c>
      <c r="B1900" t="s">
        <v>3151</v>
      </c>
      <c r="C1900" t="s">
        <v>38</v>
      </c>
      <c r="D1900" t="s">
        <v>103</v>
      </c>
      <c r="E1900">
        <v>25</v>
      </c>
      <c r="F1900" t="s">
        <v>61</v>
      </c>
      <c r="G1900" t="s">
        <v>61</v>
      </c>
      <c r="H1900" t="s">
        <v>62</v>
      </c>
      <c r="I1900" t="s">
        <v>140</v>
      </c>
      <c r="J1900" t="s">
        <v>89</v>
      </c>
      <c r="K1900">
        <v>4</v>
      </c>
      <c r="L1900">
        <v>28700</v>
      </c>
      <c r="M1900">
        <v>20</v>
      </c>
      <c r="N1900">
        <v>91840</v>
      </c>
      <c r="O1900" t="s">
        <v>40</v>
      </c>
      <c r="P1900">
        <v>1</v>
      </c>
      <c r="Q1900" t="s">
        <v>65</v>
      </c>
    </row>
    <row r="1901" spans="1:17" x14ac:dyDescent="0.3">
      <c r="A1901" t="s">
        <v>3152</v>
      </c>
      <c r="B1901" t="s">
        <v>177</v>
      </c>
      <c r="C1901" t="s">
        <v>29</v>
      </c>
      <c r="D1901" t="s">
        <v>83</v>
      </c>
      <c r="E1901">
        <v>45</v>
      </c>
      <c r="F1901" t="s">
        <v>51</v>
      </c>
      <c r="G1901" t="s">
        <v>52</v>
      </c>
      <c r="H1901" t="s">
        <v>110</v>
      </c>
      <c r="I1901" t="s">
        <v>53</v>
      </c>
      <c r="J1901" t="s">
        <v>24</v>
      </c>
      <c r="K1901">
        <v>5</v>
      </c>
      <c r="L1901">
        <v>10400</v>
      </c>
      <c r="M1901">
        <v>15</v>
      </c>
      <c r="N1901">
        <v>44200</v>
      </c>
      <c r="O1901" t="s">
        <v>162</v>
      </c>
      <c r="P1901">
        <v>1</v>
      </c>
      <c r="Q1901" t="s">
        <v>41</v>
      </c>
    </row>
    <row r="1902" spans="1:17" x14ac:dyDescent="0.3">
      <c r="A1902" t="s">
        <v>3153</v>
      </c>
      <c r="B1902" t="s">
        <v>2745</v>
      </c>
      <c r="C1902" t="s">
        <v>68</v>
      </c>
      <c r="D1902" t="s">
        <v>103</v>
      </c>
      <c r="E1902">
        <v>36</v>
      </c>
      <c r="F1902" t="s">
        <v>61</v>
      </c>
      <c r="G1902" t="s">
        <v>61</v>
      </c>
      <c r="H1902" t="s">
        <v>22</v>
      </c>
      <c r="I1902" t="s">
        <v>23</v>
      </c>
      <c r="J1902" t="s">
        <v>72</v>
      </c>
      <c r="K1902">
        <v>1</v>
      </c>
      <c r="L1902">
        <v>11700</v>
      </c>
      <c r="M1902">
        <v>20</v>
      </c>
      <c r="N1902">
        <v>9360</v>
      </c>
      <c r="O1902" t="s">
        <v>25</v>
      </c>
      <c r="P1902">
        <v>3</v>
      </c>
      <c r="Q1902" t="s">
        <v>26</v>
      </c>
    </row>
    <row r="1903" spans="1:17" x14ac:dyDescent="0.3">
      <c r="A1903" t="s">
        <v>3154</v>
      </c>
      <c r="B1903" t="s">
        <v>2244</v>
      </c>
      <c r="C1903" t="s">
        <v>121</v>
      </c>
      <c r="D1903" t="s">
        <v>39</v>
      </c>
      <c r="E1903">
        <v>60</v>
      </c>
      <c r="F1903" t="s">
        <v>51</v>
      </c>
      <c r="G1903" t="s">
        <v>52</v>
      </c>
      <c r="H1903" t="s">
        <v>46</v>
      </c>
      <c r="I1903" t="s">
        <v>79</v>
      </c>
      <c r="J1903" t="s">
        <v>80</v>
      </c>
      <c r="K1903">
        <v>3</v>
      </c>
      <c r="L1903">
        <v>2900</v>
      </c>
      <c r="M1903">
        <v>5</v>
      </c>
      <c r="N1903">
        <v>8265</v>
      </c>
      <c r="O1903" t="s">
        <v>48</v>
      </c>
      <c r="Q1903" t="s">
        <v>65</v>
      </c>
    </row>
    <row r="1904" spans="1:17" x14ac:dyDescent="0.3">
      <c r="A1904" t="s">
        <v>3155</v>
      </c>
      <c r="B1904" t="s">
        <v>3156</v>
      </c>
      <c r="C1904" t="s">
        <v>121</v>
      </c>
      <c r="D1904" t="s">
        <v>20</v>
      </c>
      <c r="E1904">
        <v>32</v>
      </c>
      <c r="F1904" t="s">
        <v>44</v>
      </c>
      <c r="G1904" t="s">
        <v>100</v>
      </c>
      <c r="H1904" t="s">
        <v>46</v>
      </c>
      <c r="I1904" t="s">
        <v>79</v>
      </c>
      <c r="J1904" t="s">
        <v>34</v>
      </c>
      <c r="K1904">
        <v>1</v>
      </c>
      <c r="L1904">
        <v>41900</v>
      </c>
      <c r="M1904">
        <v>25</v>
      </c>
      <c r="N1904">
        <v>31425</v>
      </c>
      <c r="O1904" t="s">
        <v>35</v>
      </c>
      <c r="P1904">
        <v>2</v>
      </c>
      <c r="Q1904" t="s">
        <v>74</v>
      </c>
    </row>
    <row r="1905" spans="1:17" x14ac:dyDescent="0.3">
      <c r="A1905" t="s">
        <v>3157</v>
      </c>
      <c r="B1905" t="s">
        <v>3158</v>
      </c>
      <c r="C1905" t="s">
        <v>38</v>
      </c>
      <c r="D1905" t="s">
        <v>103</v>
      </c>
      <c r="E1905">
        <v>24</v>
      </c>
      <c r="F1905" t="s">
        <v>30</v>
      </c>
      <c r="G1905" t="s">
        <v>57</v>
      </c>
      <c r="H1905" t="s">
        <v>22</v>
      </c>
      <c r="I1905" t="s">
        <v>23</v>
      </c>
      <c r="J1905" t="s">
        <v>34</v>
      </c>
      <c r="K1905">
        <v>5</v>
      </c>
      <c r="L1905">
        <v>15000</v>
      </c>
      <c r="M1905">
        <v>25</v>
      </c>
      <c r="N1905">
        <v>56250</v>
      </c>
      <c r="O1905" t="s">
        <v>40</v>
      </c>
      <c r="Q1905" t="s">
        <v>65</v>
      </c>
    </row>
    <row r="1906" spans="1:17" x14ac:dyDescent="0.3">
      <c r="A1906" t="s">
        <v>3159</v>
      </c>
      <c r="B1906" t="s">
        <v>3160</v>
      </c>
      <c r="C1906" t="s">
        <v>29</v>
      </c>
      <c r="D1906" t="s">
        <v>39</v>
      </c>
      <c r="E1906">
        <v>64</v>
      </c>
      <c r="F1906" t="s">
        <v>51</v>
      </c>
      <c r="G1906" t="s">
        <v>52</v>
      </c>
      <c r="H1906" t="s">
        <v>62</v>
      </c>
      <c r="I1906" t="s">
        <v>140</v>
      </c>
      <c r="J1906" t="s">
        <v>80</v>
      </c>
      <c r="K1906">
        <v>4</v>
      </c>
      <c r="L1906">
        <v>9300</v>
      </c>
      <c r="M1906">
        <v>5</v>
      </c>
      <c r="N1906">
        <v>35340</v>
      </c>
      <c r="O1906" t="s">
        <v>105</v>
      </c>
      <c r="P1906">
        <v>3</v>
      </c>
      <c r="Q1906" t="s">
        <v>65</v>
      </c>
    </row>
    <row r="1907" spans="1:17" x14ac:dyDescent="0.3">
      <c r="A1907" t="s">
        <v>3161</v>
      </c>
      <c r="B1907" t="s">
        <v>3162</v>
      </c>
      <c r="C1907" t="s">
        <v>19</v>
      </c>
      <c r="D1907" t="s">
        <v>39</v>
      </c>
      <c r="E1907">
        <v>40</v>
      </c>
      <c r="F1907" t="s">
        <v>77</v>
      </c>
      <c r="G1907" t="s">
        <v>95</v>
      </c>
      <c r="H1907" t="s">
        <v>32</v>
      </c>
      <c r="I1907" t="s">
        <v>53</v>
      </c>
      <c r="J1907" t="s">
        <v>89</v>
      </c>
      <c r="K1907">
        <v>10</v>
      </c>
      <c r="L1907">
        <v>24200</v>
      </c>
      <c r="M1907">
        <v>20</v>
      </c>
      <c r="N1907">
        <v>193600</v>
      </c>
      <c r="O1907" t="s">
        <v>105</v>
      </c>
      <c r="P1907">
        <v>3</v>
      </c>
      <c r="Q1907" t="s">
        <v>26</v>
      </c>
    </row>
    <row r="1908" spans="1:17" x14ac:dyDescent="0.3">
      <c r="A1908" t="s">
        <v>3163</v>
      </c>
      <c r="B1908" t="s">
        <v>3164</v>
      </c>
      <c r="C1908" t="s">
        <v>68</v>
      </c>
      <c r="D1908" t="s">
        <v>83</v>
      </c>
      <c r="E1908">
        <v>34</v>
      </c>
      <c r="F1908" t="s">
        <v>51</v>
      </c>
      <c r="G1908" t="s">
        <v>104</v>
      </c>
      <c r="H1908" t="s">
        <v>32</v>
      </c>
      <c r="I1908" t="s">
        <v>33</v>
      </c>
      <c r="J1908" t="s">
        <v>24</v>
      </c>
      <c r="K1908">
        <v>1</v>
      </c>
      <c r="L1908">
        <v>47300</v>
      </c>
      <c r="M1908">
        <v>5</v>
      </c>
      <c r="N1908">
        <v>44935</v>
      </c>
      <c r="O1908" t="s">
        <v>40</v>
      </c>
      <c r="P1908">
        <v>3</v>
      </c>
      <c r="Q1908" t="s">
        <v>65</v>
      </c>
    </row>
    <row r="1909" spans="1:17" x14ac:dyDescent="0.3">
      <c r="A1909" t="s">
        <v>3165</v>
      </c>
      <c r="B1909" t="s">
        <v>2544</v>
      </c>
      <c r="C1909" t="s">
        <v>68</v>
      </c>
      <c r="D1909" t="s">
        <v>103</v>
      </c>
      <c r="E1909">
        <v>60</v>
      </c>
      <c r="F1909" t="s">
        <v>51</v>
      </c>
      <c r="G1909" t="s">
        <v>52</v>
      </c>
      <c r="H1909" t="s">
        <v>22</v>
      </c>
      <c r="I1909" t="s">
        <v>84</v>
      </c>
      <c r="J1909" t="s">
        <v>34</v>
      </c>
      <c r="K1909">
        <v>4</v>
      </c>
      <c r="L1909">
        <v>7900</v>
      </c>
      <c r="M1909">
        <v>10</v>
      </c>
      <c r="N1909">
        <v>28440</v>
      </c>
      <c r="O1909" t="s">
        <v>73</v>
      </c>
      <c r="P1909">
        <v>5</v>
      </c>
      <c r="Q1909" t="s">
        <v>65</v>
      </c>
    </row>
    <row r="1910" spans="1:17" x14ac:dyDescent="0.3">
      <c r="A1910" t="s">
        <v>3166</v>
      </c>
      <c r="B1910" t="s">
        <v>824</v>
      </c>
      <c r="C1910" t="s">
        <v>68</v>
      </c>
      <c r="E1910">
        <v>55</v>
      </c>
      <c r="F1910" t="s">
        <v>21</v>
      </c>
      <c r="G1910" t="s">
        <v>21</v>
      </c>
      <c r="H1910" t="s">
        <v>22</v>
      </c>
      <c r="I1910" t="s">
        <v>23</v>
      </c>
      <c r="J1910" t="s">
        <v>80</v>
      </c>
      <c r="K1910">
        <v>10</v>
      </c>
      <c r="L1910">
        <v>31900</v>
      </c>
      <c r="M1910">
        <v>10</v>
      </c>
      <c r="N1910">
        <v>287100</v>
      </c>
      <c r="O1910" t="s">
        <v>40</v>
      </c>
      <c r="Q1910" t="s">
        <v>74</v>
      </c>
    </row>
    <row r="1911" spans="1:17" x14ac:dyDescent="0.3">
      <c r="A1911" t="s">
        <v>3167</v>
      </c>
      <c r="B1911" t="s">
        <v>381</v>
      </c>
      <c r="C1911" t="s">
        <v>19</v>
      </c>
      <c r="D1911" t="s">
        <v>20</v>
      </c>
      <c r="E1911">
        <v>40</v>
      </c>
      <c r="F1911" t="s">
        <v>30</v>
      </c>
      <c r="G1911" t="s">
        <v>57</v>
      </c>
      <c r="H1911" t="s">
        <v>32</v>
      </c>
      <c r="I1911" t="s">
        <v>53</v>
      </c>
      <c r="J1911" t="s">
        <v>89</v>
      </c>
      <c r="K1911">
        <v>5</v>
      </c>
      <c r="L1911">
        <v>33000</v>
      </c>
      <c r="M1911">
        <v>25</v>
      </c>
      <c r="N1911">
        <v>123750</v>
      </c>
      <c r="O1911" t="s">
        <v>25</v>
      </c>
      <c r="P1911">
        <v>1</v>
      </c>
      <c r="Q1911" t="s">
        <v>41</v>
      </c>
    </row>
    <row r="1912" spans="1:17" x14ac:dyDescent="0.3">
      <c r="A1912" t="s">
        <v>3168</v>
      </c>
      <c r="B1912" t="s">
        <v>1836</v>
      </c>
      <c r="C1912" t="s">
        <v>121</v>
      </c>
      <c r="D1912" t="s">
        <v>39</v>
      </c>
      <c r="E1912">
        <v>21</v>
      </c>
      <c r="F1912" t="s">
        <v>51</v>
      </c>
      <c r="G1912" t="s">
        <v>52</v>
      </c>
      <c r="H1912" t="s">
        <v>62</v>
      </c>
      <c r="I1912" t="s">
        <v>140</v>
      </c>
      <c r="J1912" t="s">
        <v>64</v>
      </c>
      <c r="K1912">
        <v>10</v>
      </c>
      <c r="L1912">
        <v>29900</v>
      </c>
      <c r="M1912">
        <v>15</v>
      </c>
      <c r="N1912">
        <v>254150</v>
      </c>
      <c r="O1912" t="s">
        <v>25</v>
      </c>
      <c r="Q1912" t="s">
        <v>65</v>
      </c>
    </row>
    <row r="1913" spans="1:17" x14ac:dyDescent="0.3">
      <c r="A1913" t="s">
        <v>3169</v>
      </c>
      <c r="B1913" t="s">
        <v>3170</v>
      </c>
      <c r="C1913" t="s">
        <v>68</v>
      </c>
      <c r="D1913" t="s">
        <v>83</v>
      </c>
      <c r="E1913">
        <v>28</v>
      </c>
      <c r="F1913" t="s">
        <v>61</v>
      </c>
      <c r="G1913" t="s">
        <v>61</v>
      </c>
      <c r="H1913" t="s">
        <v>22</v>
      </c>
      <c r="I1913" t="s">
        <v>23</v>
      </c>
      <c r="J1913" t="s">
        <v>80</v>
      </c>
      <c r="K1913">
        <v>2</v>
      </c>
      <c r="L1913">
        <v>22100</v>
      </c>
      <c r="M1913">
        <v>10</v>
      </c>
      <c r="N1913">
        <v>39780</v>
      </c>
      <c r="O1913" t="s">
        <v>35</v>
      </c>
      <c r="P1913">
        <v>3</v>
      </c>
      <c r="Q1913" t="s">
        <v>65</v>
      </c>
    </row>
    <row r="1914" spans="1:17" x14ac:dyDescent="0.3">
      <c r="A1914" t="s">
        <v>3171</v>
      </c>
      <c r="B1914" t="s">
        <v>1375</v>
      </c>
      <c r="C1914" t="s">
        <v>113</v>
      </c>
      <c r="E1914">
        <v>59</v>
      </c>
      <c r="F1914" t="s">
        <v>30</v>
      </c>
      <c r="G1914" t="s">
        <v>57</v>
      </c>
      <c r="H1914" t="s">
        <v>46</v>
      </c>
      <c r="I1914" t="s">
        <v>47</v>
      </c>
      <c r="J1914" t="s">
        <v>80</v>
      </c>
      <c r="K1914">
        <v>6</v>
      </c>
      <c r="L1914">
        <v>18500</v>
      </c>
      <c r="M1914">
        <v>15</v>
      </c>
      <c r="N1914">
        <v>94350</v>
      </c>
      <c r="O1914" t="s">
        <v>35</v>
      </c>
      <c r="Q1914" t="s">
        <v>41</v>
      </c>
    </row>
    <row r="1915" spans="1:17" x14ac:dyDescent="0.3">
      <c r="A1915" t="s">
        <v>3172</v>
      </c>
      <c r="B1915" t="s">
        <v>1082</v>
      </c>
      <c r="C1915" t="s">
        <v>94</v>
      </c>
      <c r="E1915">
        <v>33</v>
      </c>
      <c r="F1915" t="s">
        <v>44</v>
      </c>
      <c r="G1915" t="s">
        <v>100</v>
      </c>
      <c r="H1915" t="s">
        <v>22</v>
      </c>
      <c r="I1915" t="s">
        <v>84</v>
      </c>
      <c r="J1915" t="s">
        <v>24</v>
      </c>
      <c r="K1915">
        <v>6</v>
      </c>
      <c r="L1915">
        <v>4700</v>
      </c>
      <c r="M1915">
        <v>20</v>
      </c>
      <c r="N1915">
        <v>22560</v>
      </c>
      <c r="O1915" t="s">
        <v>35</v>
      </c>
      <c r="Q1915" t="s">
        <v>74</v>
      </c>
    </row>
    <row r="1916" spans="1:17" x14ac:dyDescent="0.3">
      <c r="A1916" t="s">
        <v>3173</v>
      </c>
      <c r="B1916" t="s">
        <v>1134</v>
      </c>
      <c r="C1916" t="s">
        <v>29</v>
      </c>
      <c r="D1916" t="s">
        <v>39</v>
      </c>
      <c r="E1916">
        <v>31</v>
      </c>
      <c r="F1916" t="s">
        <v>77</v>
      </c>
      <c r="G1916" t="s">
        <v>78</v>
      </c>
      <c r="H1916" t="s">
        <v>22</v>
      </c>
      <c r="I1916" t="s">
        <v>84</v>
      </c>
      <c r="J1916" t="s">
        <v>80</v>
      </c>
      <c r="K1916">
        <v>4</v>
      </c>
      <c r="L1916">
        <v>46500</v>
      </c>
      <c r="M1916">
        <v>0</v>
      </c>
      <c r="N1916">
        <v>186000</v>
      </c>
      <c r="O1916" t="s">
        <v>35</v>
      </c>
      <c r="Q1916" t="s">
        <v>41</v>
      </c>
    </row>
    <row r="1917" spans="1:17" x14ac:dyDescent="0.3">
      <c r="A1917" t="s">
        <v>3174</v>
      </c>
      <c r="B1917" t="s">
        <v>3175</v>
      </c>
      <c r="C1917" t="s">
        <v>121</v>
      </c>
      <c r="D1917" t="s">
        <v>20</v>
      </c>
      <c r="E1917">
        <v>18</v>
      </c>
      <c r="F1917" t="s">
        <v>61</v>
      </c>
      <c r="G1917" t="s">
        <v>61</v>
      </c>
      <c r="H1917" t="s">
        <v>32</v>
      </c>
      <c r="I1917" t="s">
        <v>33</v>
      </c>
      <c r="J1917" t="s">
        <v>24</v>
      </c>
      <c r="K1917">
        <v>6</v>
      </c>
      <c r="L1917">
        <v>11200</v>
      </c>
      <c r="M1917">
        <v>5</v>
      </c>
      <c r="N1917">
        <v>63840</v>
      </c>
      <c r="O1917" t="s">
        <v>162</v>
      </c>
      <c r="Q1917" t="s">
        <v>41</v>
      </c>
    </row>
    <row r="1918" spans="1:17" x14ac:dyDescent="0.3">
      <c r="A1918" t="s">
        <v>3176</v>
      </c>
      <c r="B1918" t="s">
        <v>981</v>
      </c>
      <c r="C1918" t="s">
        <v>60</v>
      </c>
      <c r="E1918">
        <v>-3</v>
      </c>
      <c r="F1918" t="s">
        <v>1253</v>
      </c>
      <c r="G1918" t="s">
        <v>104</v>
      </c>
      <c r="H1918" t="s">
        <v>22</v>
      </c>
      <c r="I1918" t="s">
        <v>84</v>
      </c>
      <c r="J1918" t="s">
        <v>72</v>
      </c>
      <c r="K1918">
        <v>4</v>
      </c>
      <c r="L1918">
        <v>8200</v>
      </c>
      <c r="M1918">
        <v>10</v>
      </c>
      <c r="N1918">
        <v>29520</v>
      </c>
      <c r="O1918" t="s">
        <v>85</v>
      </c>
      <c r="Q1918" t="s">
        <v>65</v>
      </c>
    </row>
    <row r="1919" spans="1:17" x14ac:dyDescent="0.3">
      <c r="A1919" t="s">
        <v>3177</v>
      </c>
      <c r="B1919" t="s">
        <v>488</v>
      </c>
      <c r="C1919" t="s">
        <v>60</v>
      </c>
      <c r="D1919" t="s">
        <v>83</v>
      </c>
      <c r="E1919">
        <v>24</v>
      </c>
      <c r="F1919" t="s">
        <v>21</v>
      </c>
      <c r="G1919" t="s">
        <v>21</v>
      </c>
      <c r="H1919" t="s">
        <v>22</v>
      </c>
      <c r="I1919" t="s">
        <v>84</v>
      </c>
      <c r="J1919" t="s">
        <v>34</v>
      </c>
      <c r="K1919">
        <v>2</v>
      </c>
      <c r="L1919">
        <v>3400</v>
      </c>
      <c r="M1919">
        <v>20</v>
      </c>
      <c r="N1919">
        <v>5440</v>
      </c>
      <c r="O1919" t="s">
        <v>25</v>
      </c>
      <c r="P1919">
        <v>4</v>
      </c>
      <c r="Q1919" t="s">
        <v>74</v>
      </c>
    </row>
    <row r="1920" spans="1:17" x14ac:dyDescent="0.3">
      <c r="A1920" t="s">
        <v>3178</v>
      </c>
      <c r="B1920" t="s">
        <v>1458</v>
      </c>
      <c r="C1920" t="s">
        <v>68</v>
      </c>
      <c r="E1920">
        <v>30</v>
      </c>
      <c r="F1920" t="s">
        <v>77</v>
      </c>
      <c r="G1920" t="s">
        <v>95</v>
      </c>
      <c r="H1920" t="s">
        <v>62</v>
      </c>
      <c r="I1920" t="s">
        <v>140</v>
      </c>
      <c r="J1920" t="s">
        <v>89</v>
      </c>
      <c r="K1920">
        <v>1</v>
      </c>
      <c r="L1920">
        <v>40300</v>
      </c>
      <c r="M1920">
        <v>25</v>
      </c>
      <c r="N1920">
        <v>30225</v>
      </c>
      <c r="O1920" t="s">
        <v>40</v>
      </c>
      <c r="Q1920" t="s">
        <v>65</v>
      </c>
    </row>
    <row r="1921" spans="1:17" x14ac:dyDescent="0.3">
      <c r="A1921" t="s">
        <v>3179</v>
      </c>
      <c r="B1921" t="s">
        <v>1000</v>
      </c>
      <c r="C1921" t="s">
        <v>29</v>
      </c>
      <c r="D1921" t="s">
        <v>20</v>
      </c>
      <c r="E1921">
        <v>-3</v>
      </c>
      <c r="F1921" t="s">
        <v>61</v>
      </c>
      <c r="G1921" t="s">
        <v>61</v>
      </c>
      <c r="H1921" t="s">
        <v>22</v>
      </c>
      <c r="I1921" t="s">
        <v>23</v>
      </c>
      <c r="J1921" t="s">
        <v>24</v>
      </c>
      <c r="K1921">
        <v>8</v>
      </c>
      <c r="L1921">
        <v>29400</v>
      </c>
      <c r="M1921">
        <v>0</v>
      </c>
      <c r="N1921">
        <v>235200</v>
      </c>
      <c r="O1921" t="s">
        <v>48</v>
      </c>
      <c r="Q1921" t="s">
        <v>26</v>
      </c>
    </row>
    <row r="1922" spans="1:17" x14ac:dyDescent="0.3">
      <c r="A1922" t="s">
        <v>3180</v>
      </c>
      <c r="B1922" t="s">
        <v>3181</v>
      </c>
      <c r="C1922" t="s">
        <v>19</v>
      </c>
      <c r="D1922" t="s">
        <v>83</v>
      </c>
      <c r="E1922">
        <v>37</v>
      </c>
      <c r="F1922" t="s">
        <v>77</v>
      </c>
      <c r="G1922" t="s">
        <v>95</v>
      </c>
      <c r="H1922" t="s">
        <v>32</v>
      </c>
      <c r="I1922" t="s">
        <v>33</v>
      </c>
      <c r="J1922" t="s">
        <v>24</v>
      </c>
      <c r="K1922">
        <v>3</v>
      </c>
      <c r="L1922">
        <v>32200</v>
      </c>
      <c r="M1922">
        <v>0</v>
      </c>
      <c r="N1922">
        <v>96600</v>
      </c>
      <c r="O1922" t="s">
        <v>40</v>
      </c>
      <c r="Q1922" t="s">
        <v>26</v>
      </c>
    </row>
    <row r="1923" spans="1:17" x14ac:dyDescent="0.3">
      <c r="A1923" t="s">
        <v>3182</v>
      </c>
      <c r="B1923" t="s">
        <v>1146</v>
      </c>
      <c r="C1923" t="s">
        <v>68</v>
      </c>
      <c r="D1923" t="s">
        <v>103</v>
      </c>
      <c r="E1923">
        <v>63</v>
      </c>
      <c r="F1923" t="s">
        <v>21</v>
      </c>
      <c r="G1923" t="s">
        <v>21</v>
      </c>
      <c r="H1923" t="s">
        <v>22</v>
      </c>
      <c r="I1923" t="s">
        <v>23</v>
      </c>
      <c r="J1923" t="s">
        <v>34</v>
      </c>
      <c r="K1923">
        <v>4</v>
      </c>
      <c r="L1923">
        <v>9800</v>
      </c>
      <c r="M1923">
        <v>15</v>
      </c>
      <c r="N1923">
        <v>33320</v>
      </c>
      <c r="O1923" t="s">
        <v>105</v>
      </c>
      <c r="P1923">
        <v>2</v>
      </c>
      <c r="Q1923" t="s">
        <v>65</v>
      </c>
    </row>
    <row r="1924" spans="1:17" x14ac:dyDescent="0.3">
      <c r="A1924" t="s">
        <v>3183</v>
      </c>
      <c r="B1924" t="s">
        <v>1007</v>
      </c>
      <c r="C1924" t="s">
        <v>38</v>
      </c>
      <c r="E1924">
        <v>22</v>
      </c>
      <c r="F1924" t="s">
        <v>1253</v>
      </c>
      <c r="G1924" t="s">
        <v>104</v>
      </c>
      <c r="H1924" t="s">
        <v>32</v>
      </c>
      <c r="I1924" t="s">
        <v>53</v>
      </c>
      <c r="J1924" t="s">
        <v>64</v>
      </c>
      <c r="K1924">
        <v>1</v>
      </c>
      <c r="L1924">
        <v>36000</v>
      </c>
      <c r="M1924">
        <v>0</v>
      </c>
      <c r="N1924">
        <v>36000</v>
      </c>
      <c r="O1924" t="s">
        <v>35</v>
      </c>
      <c r="P1924">
        <v>2</v>
      </c>
      <c r="Q1924" t="s">
        <v>41</v>
      </c>
    </row>
    <row r="1925" spans="1:17" x14ac:dyDescent="0.3">
      <c r="A1925" t="s">
        <v>3184</v>
      </c>
      <c r="B1925" t="s">
        <v>2067</v>
      </c>
      <c r="C1925" t="s">
        <v>68</v>
      </c>
      <c r="D1925" t="s">
        <v>39</v>
      </c>
      <c r="E1925">
        <v>34</v>
      </c>
      <c r="F1925" t="s">
        <v>44</v>
      </c>
      <c r="G1925" t="s">
        <v>100</v>
      </c>
      <c r="H1925" t="s">
        <v>62</v>
      </c>
      <c r="I1925" t="s">
        <v>63</v>
      </c>
      <c r="J1925" t="s">
        <v>89</v>
      </c>
      <c r="K1925">
        <v>5</v>
      </c>
      <c r="L1925">
        <v>12100</v>
      </c>
      <c r="M1925">
        <v>5</v>
      </c>
      <c r="N1925">
        <v>57475</v>
      </c>
      <c r="O1925" t="s">
        <v>35</v>
      </c>
      <c r="P1925">
        <v>1</v>
      </c>
      <c r="Q1925" t="s">
        <v>26</v>
      </c>
    </row>
    <row r="1926" spans="1:17" x14ac:dyDescent="0.3">
      <c r="A1926" t="s">
        <v>3185</v>
      </c>
      <c r="B1926" t="s">
        <v>2294</v>
      </c>
      <c r="C1926" t="s">
        <v>38</v>
      </c>
      <c r="D1926" t="s">
        <v>20</v>
      </c>
      <c r="E1926">
        <v>32</v>
      </c>
      <c r="F1926" t="s">
        <v>30</v>
      </c>
      <c r="G1926" t="s">
        <v>57</v>
      </c>
      <c r="H1926" t="s">
        <v>62</v>
      </c>
      <c r="I1926" t="s">
        <v>140</v>
      </c>
      <c r="J1926" t="s">
        <v>72</v>
      </c>
      <c r="K1926">
        <v>9</v>
      </c>
      <c r="L1926">
        <v>28000</v>
      </c>
      <c r="M1926">
        <v>25</v>
      </c>
      <c r="N1926">
        <v>189000</v>
      </c>
      <c r="O1926" t="s">
        <v>105</v>
      </c>
      <c r="P1926">
        <v>4</v>
      </c>
      <c r="Q1926" t="s">
        <v>26</v>
      </c>
    </row>
    <row r="1927" spans="1:17" x14ac:dyDescent="0.3">
      <c r="A1927" t="s">
        <v>3186</v>
      </c>
      <c r="B1927" t="s">
        <v>222</v>
      </c>
      <c r="C1927" t="s">
        <v>38</v>
      </c>
      <c r="D1927" t="s">
        <v>83</v>
      </c>
      <c r="E1927">
        <v>22</v>
      </c>
      <c r="F1927" t="s">
        <v>77</v>
      </c>
      <c r="G1927" t="s">
        <v>95</v>
      </c>
      <c r="H1927" t="s">
        <v>22</v>
      </c>
      <c r="I1927" t="s">
        <v>23</v>
      </c>
      <c r="J1927" t="s">
        <v>80</v>
      </c>
      <c r="K1927">
        <v>5</v>
      </c>
      <c r="L1927">
        <v>11000</v>
      </c>
      <c r="M1927">
        <v>20</v>
      </c>
      <c r="N1927">
        <v>44000</v>
      </c>
      <c r="O1927" t="s">
        <v>40</v>
      </c>
      <c r="P1927">
        <v>3</v>
      </c>
      <c r="Q1927" t="s">
        <v>41</v>
      </c>
    </row>
    <row r="1928" spans="1:17" x14ac:dyDescent="0.3">
      <c r="A1928" t="s">
        <v>3187</v>
      </c>
      <c r="B1928" t="s">
        <v>3188</v>
      </c>
      <c r="C1928" t="s">
        <v>29</v>
      </c>
      <c r="E1928">
        <v>19</v>
      </c>
      <c r="F1928" t="s">
        <v>21</v>
      </c>
      <c r="G1928" t="s">
        <v>21</v>
      </c>
      <c r="H1928" t="s">
        <v>62</v>
      </c>
      <c r="I1928" t="s">
        <v>140</v>
      </c>
      <c r="J1928" t="s">
        <v>64</v>
      </c>
      <c r="K1928">
        <v>6</v>
      </c>
      <c r="L1928">
        <v>7700</v>
      </c>
      <c r="M1928">
        <v>10</v>
      </c>
      <c r="N1928">
        <v>41580</v>
      </c>
      <c r="O1928" t="s">
        <v>85</v>
      </c>
      <c r="P1928">
        <v>1</v>
      </c>
      <c r="Q1928" t="s">
        <v>65</v>
      </c>
    </row>
    <row r="1929" spans="1:17" x14ac:dyDescent="0.3">
      <c r="A1929" t="s">
        <v>3189</v>
      </c>
      <c r="B1929" t="s">
        <v>2928</v>
      </c>
      <c r="C1929" t="s">
        <v>88</v>
      </c>
      <c r="D1929" t="s">
        <v>39</v>
      </c>
      <c r="E1929">
        <v>58</v>
      </c>
      <c r="F1929" t="s">
        <v>77</v>
      </c>
      <c r="G1929" t="s">
        <v>95</v>
      </c>
      <c r="H1929" t="s">
        <v>32</v>
      </c>
      <c r="I1929" t="s">
        <v>53</v>
      </c>
      <c r="J1929" t="s">
        <v>80</v>
      </c>
      <c r="K1929">
        <v>7</v>
      </c>
      <c r="L1929">
        <v>15000</v>
      </c>
      <c r="M1929">
        <v>15</v>
      </c>
      <c r="N1929">
        <v>89250</v>
      </c>
      <c r="O1929" t="s">
        <v>35</v>
      </c>
      <c r="P1929">
        <v>1</v>
      </c>
      <c r="Q1929" t="s">
        <v>65</v>
      </c>
    </row>
    <row r="1930" spans="1:17" x14ac:dyDescent="0.3">
      <c r="A1930" t="s">
        <v>3190</v>
      </c>
      <c r="B1930" t="s">
        <v>2745</v>
      </c>
      <c r="C1930" t="s">
        <v>60</v>
      </c>
      <c r="D1930" t="s">
        <v>39</v>
      </c>
      <c r="E1930">
        <v>31</v>
      </c>
      <c r="F1930" t="s">
        <v>21</v>
      </c>
      <c r="G1930" t="s">
        <v>21</v>
      </c>
      <c r="H1930" t="s">
        <v>32</v>
      </c>
      <c r="I1930" t="s">
        <v>53</v>
      </c>
      <c r="J1930" t="s">
        <v>34</v>
      </c>
      <c r="K1930">
        <v>2</v>
      </c>
      <c r="L1930">
        <v>49200</v>
      </c>
      <c r="M1930">
        <v>10</v>
      </c>
      <c r="N1930">
        <v>88560</v>
      </c>
      <c r="O1930" t="s">
        <v>40</v>
      </c>
      <c r="P1930">
        <v>4</v>
      </c>
      <c r="Q1930" t="s">
        <v>65</v>
      </c>
    </row>
    <row r="1931" spans="1:17" x14ac:dyDescent="0.3">
      <c r="A1931" t="s">
        <v>3191</v>
      </c>
      <c r="B1931" t="s">
        <v>2260</v>
      </c>
      <c r="C1931" t="s">
        <v>19</v>
      </c>
      <c r="E1931">
        <v>44</v>
      </c>
      <c r="F1931" t="s">
        <v>440</v>
      </c>
      <c r="G1931" t="s">
        <v>61</v>
      </c>
      <c r="H1931" t="s">
        <v>62</v>
      </c>
      <c r="I1931" t="s">
        <v>140</v>
      </c>
      <c r="J1931" t="s">
        <v>80</v>
      </c>
      <c r="K1931">
        <v>5</v>
      </c>
      <c r="L1931">
        <v>32200</v>
      </c>
      <c r="M1931">
        <v>25</v>
      </c>
      <c r="N1931">
        <v>120750</v>
      </c>
      <c r="O1931" t="s">
        <v>40</v>
      </c>
      <c r="P1931">
        <v>1</v>
      </c>
      <c r="Q1931" t="s">
        <v>65</v>
      </c>
    </row>
    <row r="1932" spans="1:17" x14ac:dyDescent="0.3">
      <c r="A1932" t="s">
        <v>3192</v>
      </c>
      <c r="B1932" t="s">
        <v>765</v>
      </c>
      <c r="C1932" t="s">
        <v>29</v>
      </c>
      <c r="D1932" t="s">
        <v>20</v>
      </c>
      <c r="E1932">
        <v>56</v>
      </c>
      <c r="F1932" t="s">
        <v>77</v>
      </c>
      <c r="G1932" t="s">
        <v>95</v>
      </c>
      <c r="H1932" t="s">
        <v>46</v>
      </c>
      <c r="I1932" t="s">
        <v>79</v>
      </c>
      <c r="J1932" t="s">
        <v>34</v>
      </c>
      <c r="K1932">
        <v>6</v>
      </c>
      <c r="L1932">
        <v>46600</v>
      </c>
      <c r="M1932">
        <v>15</v>
      </c>
      <c r="N1932" t="s">
        <v>3193</v>
      </c>
      <c r="O1932" t="s">
        <v>73</v>
      </c>
      <c r="P1932">
        <v>4</v>
      </c>
      <c r="Q1932" t="s">
        <v>41</v>
      </c>
    </row>
    <row r="1933" spans="1:17" x14ac:dyDescent="0.3">
      <c r="A1933" t="s">
        <v>3194</v>
      </c>
      <c r="B1933" t="s">
        <v>186</v>
      </c>
      <c r="C1933" t="s">
        <v>94</v>
      </c>
      <c r="D1933" t="s">
        <v>103</v>
      </c>
      <c r="E1933">
        <v>33</v>
      </c>
      <c r="F1933" t="s">
        <v>107</v>
      </c>
      <c r="G1933" t="s">
        <v>104</v>
      </c>
      <c r="H1933" t="s">
        <v>22</v>
      </c>
      <c r="I1933" t="s">
        <v>84</v>
      </c>
      <c r="J1933" t="s">
        <v>89</v>
      </c>
      <c r="K1933">
        <v>9</v>
      </c>
      <c r="L1933">
        <v>24300</v>
      </c>
      <c r="M1933">
        <v>10</v>
      </c>
      <c r="N1933">
        <v>196830</v>
      </c>
      <c r="O1933" t="s">
        <v>25</v>
      </c>
      <c r="Q1933" t="s">
        <v>41</v>
      </c>
    </row>
    <row r="1934" spans="1:17" x14ac:dyDescent="0.3">
      <c r="A1934" t="s">
        <v>3195</v>
      </c>
      <c r="B1934" t="s">
        <v>932</v>
      </c>
      <c r="C1934" t="s">
        <v>88</v>
      </c>
      <c r="E1934">
        <v>26</v>
      </c>
      <c r="F1934" t="s">
        <v>44</v>
      </c>
      <c r="G1934" t="s">
        <v>100</v>
      </c>
      <c r="H1934" t="s">
        <v>32</v>
      </c>
      <c r="I1934" t="s">
        <v>53</v>
      </c>
      <c r="J1934" t="s">
        <v>34</v>
      </c>
      <c r="K1934">
        <v>3</v>
      </c>
      <c r="L1934">
        <v>41600</v>
      </c>
      <c r="M1934">
        <v>0</v>
      </c>
      <c r="N1934">
        <v>124800</v>
      </c>
      <c r="O1934" t="s">
        <v>25</v>
      </c>
      <c r="P1934">
        <v>2</v>
      </c>
      <c r="Q1934" t="s">
        <v>65</v>
      </c>
    </row>
    <row r="1935" spans="1:17" x14ac:dyDescent="0.3">
      <c r="A1935" t="s">
        <v>3196</v>
      </c>
      <c r="B1935" t="s">
        <v>3197</v>
      </c>
      <c r="C1935" t="s">
        <v>60</v>
      </c>
      <c r="E1935">
        <v>46</v>
      </c>
      <c r="F1935" t="s">
        <v>30</v>
      </c>
      <c r="G1935" t="s">
        <v>31</v>
      </c>
      <c r="H1935" t="s">
        <v>62</v>
      </c>
      <c r="I1935" t="s">
        <v>63</v>
      </c>
      <c r="J1935" t="s">
        <v>64</v>
      </c>
      <c r="K1935">
        <v>6</v>
      </c>
      <c r="L1935">
        <v>16800</v>
      </c>
      <c r="M1935">
        <v>0</v>
      </c>
      <c r="N1935">
        <v>100800</v>
      </c>
      <c r="O1935" t="s">
        <v>105</v>
      </c>
      <c r="P1935">
        <v>5</v>
      </c>
      <c r="Q1935" t="s">
        <v>41</v>
      </c>
    </row>
    <row r="1936" spans="1:17" x14ac:dyDescent="0.3">
      <c r="A1936" t="s">
        <v>3198</v>
      </c>
      <c r="B1936" t="s">
        <v>1999</v>
      </c>
      <c r="C1936" t="s">
        <v>29</v>
      </c>
      <c r="D1936" t="s">
        <v>39</v>
      </c>
      <c r="E1936">
        <v>32</v>
      </c>
      <c r="F1936" t="s">
        <v>56</v>
      </c>
      <c r="G1936" t="s">
        <v>57</v>
      </c>
      <c r="H1936" t="s">
        <v>22</v>
      </c>
      <c r="I1936" t="s">
        <v>84</v>
      </c>
      <c r="J1936" t="s">
        <v>64</v>
      </c>
      <c r="K1936">
        <v>8</v>
      </c>
      <c r="L1936">
        <v>32900</v>
      </c>
      <c r="M1936">
        <v>20</v>
      </c>
      <c r="N1936">
        <v>210560</v>
      </c>
      <c r="O1936" t="s">
        <v>85</v>
      </c>
      <c r="Q1936" t="s">
        <v>26</v>
      </c>
    </row>
    <row r="1937" spans="1:17" x14ac:dyDescent="0.3">
      <c r="A1937" t="s">
        <v>3199</v>
      </c>
      <c r="B1937" t="s">
        <v>3200</v>
      </c>
      <c r="C1937" t="s">
        <v>29</v>
      </c>
      <c r="D1937" t="s">
        <v>39</v>
      </c>
      <c r="E1937">
        <v>36</v>
      </c>
      <c r="F1937" t="s">
        <v>61</v>
      </c>
      <c r="G1937" t="s">
        <v>61</v>
      </c>
      <c r="H1937" t="s">
        <v>32</v>
      </c>
      <c r="I1937" t="s">
        <v>53</v>
      </c>
      <c r="J1937" t="s">
        <v>89</v>
      </c>
      <c r="K1937">
        <v>1</v>
      </c>
      <c r="L1937">
        <v>21000</v>
      </c>
      <c r="M1937">
        <v>25</v>
      </c>
      <c r="N1937">
        <v>15750</v>
      </c>
      <c r="O1937" t="s">
        <v>48</v>
      </c>
      <c r="P1937">
        <v>2</v>
      </c>
      <c r="Q1937" t="s">
        <v>65</v>
      </c>
    </row>
    <row r="1938" spans="1:17" x14ac:dyDescent="0.3">
      <c r="A1938" t="s">
        <v>3201</v>
      </c>
      <c r="B1938" t="s">
        <v>3202</v>
      </c>
      <c r="C1938" t="s">
        <v>71</v>
      </c>
      <c r="D1938" t="s">
        <v>20</v>
      </c>
      <c r="E1938">
        <v>53</v>
      </c>
      <c r="F1938" t="s">
        <v>77</v>
      </c>
      <c r="G1938" t="s">
        <v>78</v>
      </c>
      <c r="H1938" t="s">
        <v>32</v>
      </c>
      <c r="I1938" t="s">
        <v>53</v>
      </c>
      <c r="J1938" t="s">
        <v>34</v>
      </c>
      <c r="K1938">
        <v>5</v>
      </c>
      <c r="L1938">
        <v>4800</v>
      </c>
      <c r="M1938">
        <v>5</v>
      </c>
      <c r="N1938">
        <v>22800</v>
      </c>
      <c r="O1938" t="s">
        <v>73</v>
      </c>
      <c r="Q1938" t="s">
        <v>26</v>
      </c>
    </row>
    <row r="1939" spans="1:17" x14ac:dyDescent="0.3">
      <c r="A1939" t="s">
        <v>3203</v>
      </c>
      <c r="B1939" t="s">
        <v>530</v>
      </c>
      <c r="C1939" t="s">
        <v>94</v>
      </c>
      <c r="D1939" t="s">
        <v>20</v>
      </c>
      <c r="E1939">
        <v>48</v>
      </c>
      <c r="F1939" t="s">
        <v>21</v>
      </c>
      <c r="G1939" t="s">
        <v>21</v>
      </c>
      <c r="H1939" t="s">
        <v>32</v>
      </c>
      <c r="I1939" t="s">
        <v>53</v>
      </c>
      <c r="J1939" t="s">
        <v>34</v>
      </c>
      <c r="K1939">
        <v>2</v>
      </c>
      <c r="L1939">
        <v>39900</v>
      </c>
      <c r="M1939">
        <v>10</v>
      </c>
      <c r="N1939">
        <v>71820</v>
      </c>
      <c r="O1939" t="s">
        <v>25</v>
      </c>
      <c r="P1939">
        <v>1</v>
      </c>
      <c r="Q1939" t="s">
        <v>65</v>
      </c>
    </row>
    <row r="1940" spans="1:17" x14ac:dyDescent="0.3">
      <c r="A1940" t="s">
        <v>3204</v>
      </c>
      <c r="B1940" t="s">
        <v>1225</v>
      </c>
      <c r="C1940" t="s">
        <v>19</v>
      </c>
      <c r="D1940" t="s">
        <v>20</v>
      </c>
      <c r="E1940">
        <v>63</v>
      </c>
      <c r="F1940" t="s">
        <v>30</v>
      </c>
      <c r="G1940" t="s">
        <v>57</v>
      </c>
      <c r="H1940" t="s">
        <v>32</v>
      </c>
      <c r="I1940" t="s">
        <v>53</v>
      </c>
      <c r="J1940" t="s">
        <v>80</v>
      </c>
      <c r="K1940">
        <v>6</v>
      </c>
      <c r="L1940">
        <v>10200</v>
      </c>
      <c r="M1940">
        <v>15</v>
      </c>
      <c r="N1940">
        <v>52020</v>
      </c>
      <c r="O1940" t="s">
        <v>25</v>
      </c>
      <c r="P1940">
        <v>5</v>
      </c>
      <c r="Q1940" t="s">
        <v>65</v>
      </c>
    </row>
    <row r="1941" spans="1:17" x14ac:dyDescent="0.3">
      <c r="A1941" t="s">
        <v>3205</v>
      </c>
      <c r="B1941" t="s">
        <v>3206</v>
      </c>
      <c r="C1941" t="s">
        <v>38</v>
      </c>
      <c r="D1941" t="s">
        <v>83</v>
      </c>
      <c r="E1941">
        <v>47</v>
      </c>
      <c r="F1941" t="s">
        <v>61</v>
      </c>
      <c r="G1941" t="s">
        <v>61</v>
      </c>
      <c r="H1941" t="s">
        <v>62</v>
      </c>
      <c r="I1941" t="s">
        <v>63</v>
      </c>
      <c r="J1941" t="s">
        <v>80</v>
      </c>
      <c r="K1941">
        <v>3</v>
      </c>
      <c r="L1941">
        <v>25400</v>
      </c>
      <c r="M1941">
        <v>10</v>
      </c>
      <c r="N1941">
        <v>68580</v>
      </c>
      <c r="O1941" t="s">
        <v>35</v>
      </c>
      <c r="Q1941" t="s">
        <v>26</v>
      </c>
    </row>
    <row r="1942" spans="1:17" x14ac:dyDescent="0.3">
      <c r="A1942" t="s">
        <v>3207</v>
      </c>
      <c r="B1942" t="s">
        <v>1080</v>
      </c>
      <c r="C1942" t="s">
        <v>121</v>
      </c>
      <c r="D1942" t="s">
        <v>39</v>
      </c>
      <c r="E1942">
        <v>48</v>
      </c>
      <c r="F1942" t="s">
        <v>202</v>
      </c>
      <c r="G1942" t="s">
        <v>52</v>
      </c>
      <c r="H1942" t="s">
        <v>46</v>
      </c>
      <c r="I1942" t="s">
        <v>47</v>
      </c>
      <c r="J1942" t="s">
        <v>64</v>
      </c>
      <c r="K1942">
        <v>10</v>
      </c>
      <c r="L1942">
        <v>19400</v>
      </c>
      <c r="M1942">
        <v>0</v>
      </c>
      <c r="N1942">
        <v>194000</v>
      </c>
      <c r="O1942" t="s">
        <v>85</v>
      </c>
      <c r="P1942">
        <v>1</v>
      </c>
      <c r="Q1942" t="s">
        <v>74</v>
      </c>
    </row>
    <row r="1943" spans="1:17" x14ac:dyDescent="0.3">
      <c r="A1943" t="s">
        <v>3208</v>
      </c>
      <c r="B1943" t="s">
        <v>133</v>
      </c>
      <c r="C1943" t="s">
        <v>38</v>
      </c>
      <c r="E1943">
        <v>27</v>
      </c>
      <c r="F1943" t="s">
        <v>61</v>
      </c>
      <c r="G1943" t="s">
        <v>61</v>
      </c>
      <c r="H1943" t="s">
        <v>32</v>
      </c>
      <c r="I1943" t="s">
        <v>53</v>
      </c>
      <c r="J1943" t="s">
        <v>24</v>
      </c>
      <c r="K1943">
        <v>7</v>
      </c>
      <c r="L1943">
        <v>31000</v>
      </c>
      <c r="M1943">
        <v>0</v>
      </c>
      <c r="N1943" t="s">
        <v>3209</v>
      </c>
      <c r="O1943" t="s">
        <v>48</v>
      </c>
      <c r="Q1943" t="s">
        <v>26</v>
      </c>
    </row>
    <row r="1944" spans="1:17" x14ac:dyDescent="0.3">
      <c r="A1944" t="s">
        <v>3210</v>
      </c>
      <c r="B1944" t="s">
        <v>3211</v>
      </c>
      <c r="C1944" t="s">
        <v>71</v>
      </c>
      <c r="D1944" t="s">
        <v>83</v>
      </c>
      <c r="E1944">
        <v>48</v>
      </c>
      <c r="F1944" t="s">
        <v>44</v>
      </c>
      <c r="G1944" t="s">
        <v>100</v>
      </c>
      <c r="H1944" t="s">
        <v>22</v>
      </c>
      <c r="I1944" t="s">
        <v>84</v>
      </c>
      <c r="J1944" t="s">
        <v>34</v>
      </c>
      <c r="K1944">
        <v>10</v>
      </c>
      <c r="L1944">
        <v>25100</v>
      </c>
      <c r="M1944">
        <v>15</v>
      </c>
      <c r="N1944">
        <v>213350</v>
      </c>
      <c r="O1944" t="s">
        <v>40</v>
      </c>
      <c r="Q1944" t="s">
        <v>65</v>
      </c>
    </row>
    <row r="1945" spans="1:17" x14ac:dyDescent="0.3">
      <c r="A1945" t="s">
        <v>3212</v>
      </c>
      <c r="B1945" t="s">
        <v>3213</v>
      </c>
      <c r="C1945" t="s">
        <v>60</v>
      </c>
      <c r="D1945" t="s">
        <v>39</v>
      </c>
      <c r="E1945">
        <v>46</v>
      </c>
      <c r="F1945" t="s">
        <v>277</v>
      </c>
      <c r="G1945" t="s">
        <v>45</v>
      </c>
      <c r="H1945" t="s">
        <v>46</v>
      </c>
      <c r="I1945" t="s">
        <v>47</v>
      </c>
      <c r="J1945" t="s">
        <v>24</v>
      </c>
      <c r="K1945">
        <v>4</v>
      </c>
      <c r="L1945">
        <v>8500</v>
      </c>
      <c r="M1945">
        <v>15</v>
      </c>
      <c r="N1945">
        <v>28900</v>
      </c>
      <c r="O1945" t="s">
        <v>40</v>
      </c>
      <c r="Q1945" t="s">
        <v>26</v>
      </c>
    </row>
    <row r="1946" spans="1:17" x14ac:dyDescent="0.3">
      <c r="A1946" t="s">
        <v>3214</v>
      </c>
      <c r="B1946" t="s">
        <v>139</v>
      </c>
      <c r="C1946" t="s">
        <v>88</v>
      </c>
      <c r="D1946" t="s">
        <v>20</v>
      </c>
      <c r="E1946">
        <v>-3</v>
      </c>
      <c r="F1946" t="s">
        <v>77</v>
      </c>
      <c r="G1946" t="s">
        <v>95</v>
      </c>
      <c r="H1946" t="s">
        <v>32</v>
      </c>
      <c r="I1946" t="s">
        <v>33</v>
      </c>
      <c r="J1946" t="s">
        <v>89</v>
      </c>
      <c r="K1946">
        <v>10</v>
      </c>
      <c r="L1946">
        <v>29800</v>
      </c>
      <c r="M1946">
        <v>5</v>
      </c>
      <c r="N1946">
        <v>283100</v>
      </c>
      <c r="O1946" t="s">
        <v>105</v>
      </c>
      <c r="P1946">
        <v>2</v>
      </c>
      <c r="Q1946" t="s">
        <v>26</v>
      </c>
    </row>
    <row r="1947" spans="1:17" x14ac:dyDescent="0.3">
      <c r="A1947" t="s">
        <v>3215</v>
      </c>
      <c r="B1947" t="s">
        <v>2321</v>
      </c>
      <c r="C1947" t="s">
        <v>71</v>
      </c>
      <c r="D1947" t="s">
        <v>103</v>
      </c>
      <c r="E1947">
        <v>23</v>
      </c>
      <c r="F1947" t="s">
        <v>684</v>
      </c>
      <c r="G1947" t="s">
        <v>61</v>
      </c>
      <c r="H1947" t="s">
        <v>46</v>
      </c>
      <c r="I1947" t="s">
        <v>47</v>
      </c>
      <c r="J1947" t="s">
        <v>72</v>
      </c>
      <c r="K1947">
        <v>9</v>
      </c>
      <c r="L1947">
        <v>16600</v>
      </c>
      <c r="M1947">
        <v>20</v>
      </c>
      <c r="N1947">
        <v>119520</v>
      </c>
      <c r="O1947" t="s">
        <v>105</v>
      </c>
      <c r="Q1947" t="s">
        <v>26</v>
      </c>
    </row>
    <row r="1948" spans="1:17" x14ac:dyDescent="0.3">
      <c r="A1948" t="s">
        <v>3216</v>
      </c>
      <c r="B1948" t="s">
        <v>1587</v>
      </c>
      <c r="C1948" t="s">
        <v>68</v>
      </c>
      <c r="D1948" t="s">
        <v>83</v>
      </c>
      <c r="E1948">
        <v>21</v>
      </c>
      <c r="F1948" t="s">
        <v>61</v>
      </c>
      <c r="G1948" t="s">
        <v>61</v>
      </c>
      <c r="H1948" t="s">
        <v>62</v>
      </c>
      <c r="I1948" t="s">
        <v>63</v>
      </c>
      <c r="J1948" t="s">
        <v>64</v>
      </c>
      <c r="K1948">
        <v>7</v>
      </c>
      <c r="L1948">
        <v>45400</v>
      </c>
      <c r="M1948">
        <v>5</v>
      </c>
      <c r="N1948">
        <v>301910</v>
      </c>
      <c r="O1948" t="s">
        <v>105</v>
      </c>
      <c r="Q1948" t="s">
        <v>65</v>
      </c>
    </row>
    <row r="1949" spans="1:17" x14ac:dyDescent="0.3">
      <c r="A1949" t="s">
        <v>3217</v>
      </c>
      <c r="B1949" t="s">
        <v>2894</v>
      </c>
      <c r="C1949" t="s">
        <v>121</v>
      </c>
      <c r="D1949" t="s">
        <v>39</v>
      </c>
      <c r="E1949">
        <v>47</v>
      </c>
      <c r="F1949" t="s">
        <v>77</v>
      </c>
      <c r="G1949" t="s">
        <v>95</v>
      </c>
      <c r="H1949" t="s">
        <v>22</v>
      </c>
      <c r="I1949" t="s">
        <v>84</v>
      </c>
      <c r="J1949" t="s">
        <v>24</v>
      </c>
      <c r="K1949">
        <v>2</v>
      </c>
      <c r="L1949">
        <v>9900</v>
      </c>
      <c r="M1949">
        <v>10</v>
      </c>
      <c r="N1949">
        <v>17820</v>
      </c>
      <c r="O1949" t="s">
        <v>40</v>
      </c>
      <c r="Q1949" t="s">
        <v>74</v>
      </c>
    </row>
    <row r="1950" spans="1:17" x14ac:dyDescent="0.3">
      <c r="A1950" t="s">
        <v>3218</v>
      </c>
      <c r="B1950" t="s">
        <v>3219</v>
      </c>
      <c r="C1950" t="s">
        <v>94</v>
      </c>
      <c r="D1950" t="s">
        <v>20</v>
      </c>
      <c r="E1950">
        <v>39</v>
      </c>
      <c r="F1950" t="s">
        <v>21</v>
      </c>
      <c r="G1950" t="s">
        <v>21</v>
      </c>
      <c r="H1950" t="s">
        <v>22</v>
      </c>
      <c r="I1950" t="s">
        <v>23</v>
      </c>
      <c r="J1950" t="s">
        <v>72</v>
      </c>
      <c r="K1950">
        <v>2</v>
      </c>
      <c r="L1950">
        <v>22600</v>
      </c>
      <c r="M1950">
        <v>20</v>
      </c>
      <c r="N1950">
        <v>36160</v>
      </c>
      <c r="O1950" t="s">
        <v>105</v>
      </c>
      <c r="Q1950" t="s">
        <v>65</v>
      </c>
    </row>
    <row r="1951" spans="1:17" x14ac:dyDescent="0.3">
      <c r="A1951" t="s">
        <v>3220</v>
      </c>
      <c r="B1951" t="s">
        <v>3221</v>
      </c>
      <c r="C1951" t="s">
        <v>121</v>
      </c>
      <c r="D1951" t="s">
        <v>39</v>
      </c>
      <c r="E1951">
        <v>43</v>
      </c>
      <c r="F1951" t="s">
        <v>44</v>
      </c>
      <c r="G1951" t="s">
        <v>45</v>
      </c>
      <c r="H1951" t="s">
        <v>22</v>
      </c>
      <c r="I1951" t="s">
        <v>84</v>
      </c>
      <c r="J1951" t="s">
        <v>34</v>
      </c>
      <c r="K1951">
        <v>10</v>
      </c>
      <c r="L1951">
        <v>35500</v>
      </c>
      <c r="M1951">
        <v>10</v>
      </c>
      <c r="N1951">
        <v>319500</v>
      </c>
      <c r="O1951" t="s">
        <v>48</v>
      </c>
      <c r="Q1951" t="s">
        <v>41</v>
      </c>
    </row>
    <row r="1952" spans="1:17" x14ac:dyDescent="0.3">
      <c r="A1952" t="s">
        <v>3222</v>
      </c>
      <c r="B1952" t="s">
        <v>3223</v>
      </c>
      <c r="C1952" t="s">
        <v>88</v>
      </c>
      <c r="D1952" t="s">
        <v>83</v>
      </c>
      <c r="E1952">
        <v>49</v>
      </c>
      <c r="F1952" t="s">
        <v>21</v>
      </c>
      <c r="G1952" t="s">
        <v>21</v>
      </c>
      <c r="H1952" t="s">
        <v>46</v>
      </c>
      <c r="I1952" t="s">
        <v>47</v>
      </c>
      <c r="J1952" t="s">
        <v>72</v>
      </c>
      <c r="K1952">
        <v>1</v>
      </c>
      <c r="L1952">
        <v>2700</v>
      </c>
      <c r="M1952">
        <v>0</v>
      </c>
      <c r="N1952">
        <v>2700</v>
      </c>
      <c r="O1952" t="s">
        <v>25</v>
      </c>
      <c r="P1952">
        <v>2</v>
      </c>
      <c r="Q1952" t="s">
        <v>65</v>
      </c>
    </row>
    <row r="1953" spans="1:17" x14ac:dyDescent="0.3">
      <c r="A1953" t="s">
        <v>3224</v>
      </c>
      <c r="B1953" t="s">
        <v>3225</v>
      </c>
      <c r="C1953" t="s">
        <v>60</v>
      </c>
      <c r="D1953" t="s">
        <v>20</v>
      </c>
      <c r="E1953">
        <v>31</v>
      </c>
      <c r="F1953" t="s">
        <v>44</v>
      </c>
      <c r="G1953" t="s">
        <v>100</v>
      </c>
      <c r="H1953" t="s">
        <v>32</v>
      </c>
      <c r="I1953" t="s">
        <v>33</v>
      </c>
      <c r="J1953" t="s">
        <v>24</v>
      </c>
      <c r="K1953" t="s">
        <v>443</v>
      </c>
      <c r="L1953">
        <v>9100</v>
      </c>
      <c r="M1953">
        <v>25</v>
      </c>
      <c r="N1953">
        <v>68250</v>
      </c>
      <c r="O1953" t="s">
        <v>25</v>
      </c>
      <c r="P1953">
        <v>3</v>
      </c>
      <c r="Q1953" t="s">
        <v>65</v>
      </c>
    </row>
    <row r="1954" spans="1:17" x14ac:dyDescent="0.3">
      <c r="A1954" t="s">
        <v>3226</v>
      </c>
      <c r="B1954" t="s">
        <v>2764</v>
      </c>
      <c r="C1954" t="s">
        <v>68</v>
      </c>
      <c r="D1954" t="s">
        <v>39</v>
      </c>
      <c r="E1954">
        <v>42</v>
      </c>
      <c r="F1954" t="s">
        <v>77</v>
      </c>
      <c r="G1954" t="s">
        <v>95</v>
      </c>
      <c r="H1954" t="s">
        <v>22</v>
      </c>
      <c r="I1954" t="s">
        <v>23</v>
      </c>
      <c r="J1954" t="s">
        <v>24</v>
      </c>
      <c r="K1954">
        <v>8</v>
      </c>
      <c r="L1954">
        <v>42000</v>
      </c>
      <c r="M1954">
        <v>0</v>
      </c>
      <c r="N1954">
        <v>336000</v>
      </c>
      <c r="O1954" t="s">
        <v>105</v>
      </c>
      <c r="P1954">
        <v>4</v>
      </c>
      <c r="Q1954" t="s">
        <v>74</v>
      </c>
    </row>
    <row r="1955" spans="1:17" x14ac:dyDescent="0.3">
      <c r="A1955" t="s">
        <v>3227</v>
      </c>
      <c r="B1955" t="s">
        <v>3228</v>
      </c>
      <c r="C1955" t="s">
        <v>19</v>
      </c>
      <c r="D1955" t="s">
        <v>39</v>
      </c>
      <c r="E1955">
        <v>47</v>
      </c>
      <c r="F1955" t="s">
        <v>77</v>
      </c>
      <c r="G1955" t="s">
        <v>78</v>
      </c>
      <c r="H1955" t="s">
        <v>46</v>
      </c>
      <c r="I1955" t="s">
        <v>47</v>
      </c>
      <c r="J1955" t="s">
        <v>34</v>
      </c>
      <c r="K1955">
        <v>4</v>
      </c>
      <c r="L1955">
        <v>27300</v>
      </c>
      <c r="M1955">
        <v>0</v>
      </c>
      <c r="N1955">
        <v>109200</v>
      </c>
      <c r="O1955" t="s">
        <v>105</v>
      </c>
      <c r="Q1955" t="s">
        <v>74</v>
      </c>
    </row>
    <row r="1956" spans="1:17" x14ac:dyDescent="0.3">
      <c r="A1956" t="s">
        <v>3229</v>
      </c>
      <c r="B1956" t="s">
        <v>3230</v>
      </c>
      <c r="C1956" t="s">
        <v>71</v>
      </c>
      <c r="E1956">
        <v>41</v>
      </c>
      <c r="F1956" t="s">
        <v>21</v>
      </c>
      <c r="G1956" t="s">
        <v>21</v>
      </c>
      <c r="H1956" t="s">
        <v>22</v>
      </c>
      <c r="I1956" t="s">
        <v>23</v>
      </c>
      <c r="J1956" t="s">
        <v>34</v>
      </c>
      <c r="K1956">
        <v>7</v>
      </c>
      <c r="L1956">
        <v>47300</v>
      </c>
      <c r="M1956">
        <v>25</v>
      </c>
      <c r="N1956">
        <v>248325</v>
      </c>
      <c r="O1956" t="s">
        <v>40</v>
      </c>
      <c r="P1956">
        <v>1</v>
      </c>
      <c r="Q1956" t="s">
        <v>41</v>
      </c>
    </row>
    <row r="1957" spans="1:17" x14ac:dyDescent="0.3">
      <c r="A1957" t="s">
        <v>3231</v>
      </c>
      <c r="B1957" t="s">
        <v>1002</v>
      </c>
      <c r="C1957" t="s">
        <v>29</v>
      </c>
      <c r="D1957" t="s">
        <v>39</v>
      </c>
      <c r="E1957">
        <v>34</v>
      </c>
      <c r="F1957" t="s">
        <v>44</v>
      </c>
      <c r="G1957" t="s">
        <v>45</v>
      </c>
      <c r="H1957" t="s">
        <v>32</v>
      </c>
      <c r="I1957" t="s">
        <v>33</v>
      </c>
      <c r="J1957" t="s">
        <v>34</v>
      </c>
      <c r="K1957">
        <v>9</v>
      </c>
      <c r="L1957">
        <v>15800</v>
      </c>
      <c r="M1957">
        <v>15</v>
      </c>
      <c r="N1957">
        <v>120870</v>
      </c>
      <c r="O1957" t="s">
        <v>25</v>
      </c>
      <c r="Q1957" t="s">
        <v>74</v>
      </c>
    </row>
    <row r="1958" spans="1:17" x14ac:dyDescent="0.3">
      <c r="A1958" t="s">
        <v>3232</v>
      </c>
      <c r="B1958" t="s">
        <v>3233</v>
      </c>
      <c r="C1958" t="s">
        <v>94</v>
      </c>
      <c r="D1958" t="s">
        <v>83</v>
      </c>
      <c r="E1958">
        <v>46</v>
      </c>
      <c r="F1958" t="s">
        <v>61</v>
      </c>
      <c r="G1958" t="s">
        <v>61</v>
      </c>
      <c r="H1958" t="s">
        <v>62</v>
      </c>
      <c r="I1958" t="s">
        <v>63</v>
      </c>
      <c r="J1958" t="s">
        <v>64</v>
      </c>
      <c r="K1958">
        <v>3</v>
      </c>
      <c r="L1958">
        <v>27600</v>
      </c>
      <c r="M1958">
        <v>20</v>
      </c>
      <c r="N1958">
        <v>66240</v>
      </c>
      <c r="O1958" t="s">
        <v>85</v>
      </c>
      <c r="P1958">
        <v>1</v>
      </c>
      <c r="Q1958" t="s">
        <v>65</v>
      </c>
    </row>
    <row r="1959" spans="1:17" x14ac:dyDescent="0.3">
      <c r="A1959" t="s">
        <v>3234</v>
      </c>
      <c r="B1959" t="s">
        <v>3235</v>
      </c>
      <c r="C1959" t="s">
        <v>88</v>
      </c>
      <c r="E1959">
        <v>21</v>
      </c>
      <c r="F1959" t="s">
        <v>77</v>
      </c>
      <c r="G1959" t="s">
        <v>78</v>
      </c>
      <c r="H1959" t="s">
        <v>46</v>
      </c>
      <c r="I1959" t="s">
        <v>47</v>
      </c>
      <c r="J1959" t="s">
        <v>34</v>
      </c>
      <c r="K1959">
        <v>2</v>
      </c>
      <c r="L1959">
        <v>30700</v>
      </c>
      <c r="M1959">
        <v>20</v>
      </c>
      <c r="N1959">
        <v>49120</v>
      </c>
      <c r="O1959" t="s">
        <v>40</v>
      </c>
      <c r="P1959">
        <v>3</v>
      </c>
      <c r="Q1959" t="s">
        <v>41</v>
      </c>
    </row>
    <row r="1960" spans="1:17" x14ac:dyDescent="0.3">
      <c r="A1960" t="s">
        <v>3236</v>
      </c>
      <c r="B1960" t="s">
        <v>3237</v>
      </c>
      <c r="C1960" t="s">
        <v>38</v>
      </c>
      <c r="D1960" t="s">
        <v>39</v>
      </c>
      <c r="E1960">
        <v>43</v>
      </c>
      <c r="F1960" t="s">
        <v>61</v>
      </c>
      <c r="G1960" t="s">
        <v>61</v>
      </c>
      <c r="H1960" t="s">
        <v>46</v>
      </c>
      <c r="I1960" t="s">
        <v>79</v>
      </c>
      <c r="J1960" t="s">
        <v>34</v>
      </c>
      <c r="K1960">
        <v>8</v>
      </c>
      <c r="L1960">
        <v>44500</v>
      </c>
      <c r="M1960">
        <v>25</v>
      </c>
      <c r="N1960">
        <v>267000</v>
      </c>
      <c r="O1960" t="s">
        <v>48</v>
      </c>
      <c r="Q1960" t="s">
        <v>74</v>
      </c>
    </row>
    <row r="1961" spans="1:17" x14ac:dyDescent="0.3">
      <c r="A1961" t="s">
        <v>3238</v>
      </c>
      <c r="B1961" t="s">
        <v>536</v>
      </c>
      <c r="C1961" t="s">
        <v>94</v>
      </c>
      <c r="E1961">
        <v>57</v>
      </c>
      <c r="F1961" t="s">
        <v>51</v>
      </c>
      <c r="G1961" t="s">
        <v>104</v>
      </c>
      <c r="H1961" t="s">
        <v>32</v>
      </c>
      <c r="I1961" t="s">
        <v>33</v>
      </c>
      <c r="J1961" t="s">
        <v>89</v>
      </c>
      <c r="K1961">
        <v>7</v>
      </c>
      <c r="L1961">
        <v>30900</v>
      </c>
      <c r="M1961">
        <v>0</v>
      </c>
      <c r="N1961">
        <v>216300</v>
      </c>
      <c r="O1961" t="s">
        <v>85</v>
      </c>
      <c r="P1961">
        <v>1</v>
      </c>
      <c r="Q1961" t="s">
        <v>74</v>
      </c>
    </row>
    <row r="1962" spans="1:17" x14ac:dyDescent="0.3">
      <c r="A1962" t="s">
        <v>3239</v>
      </c>
      <c r="B1962" t="s">
        <v>3240</v>
      </c>
      <c r="C1962" t="s">
        <v>121</v>
      </c>
      <c r="D1962" t="s">
        <v>20</v>
      </c>
      <c r="E1962">
        <v>42</v>
      </c>
      <c r="F1962" t="s">
        <v>44</v>
      </c>
      <c r="G1962" t="s">
        <v>100</v>
      </c>
      <c r="H1962" t="s">
        <v>22</v>
      </c>
      <c r="I1962" t="s">
        <v>23</v>
      </c>
      <c r="J1962" t="s">
        <v>72</v>
      </c>
      <c r="K1962">
        <v>2</v>
      </c>
      <c r="L1962">
        <v>26800</v>
      </c>
      <c r="M1962">
        <v>10</v>
      </c>
      <c r="N1962">
        <v>48240</v>
      </c>
      <c r="O1962" t="s">
        <v>40</v>
      </c>
      <c r="P1962">
        <v>1</v>
      </c>
      <c r="Q1962" t="s">
        <v>26</v>
      </c>
    </row>
    <row r="1963" spans="1:17" x14ac:dyDescent="0.3">
      <c r="A1963" t="s">
        <v>3241</v>
      </c>
      <c r="B1963" t="s">
        <v>2312</v>
      </c>
      <c r="C1963" t="s">
        <v>68</v>
      </c>
      <c r="D1963" t="s">
        <v>103</v>
      </c>
      <c r="E1963">
        <v>30</v>
      </c>
      <c r="F1963" t="s">
        <v>44</v>
      </c>
      <c r="G1963" t="s">
        <v>45</v>
      </c>
      <c r="H1963" t="s">
        <v>22</v>
      </c>
      <c r="I1963" t="s">
        <v>84</v>
      </c>
      <c r="J1963" t="s">
        <v>80</v>
      </c>
      <c r="K1963">
        <v>10</v>
      </c>
      <c r="L1963">
        <v>11200</v>
      </c>
      <c r="M1963">
        <v>5</v>
      </c>
      <c r="N1963">
        <v>106400</v>
      </c>
      <c r="O1963" t="s">
        <v>40</v>
      </c>
      <c r="P1963">
        <v>4</v>
      </c>
      <c r="Q1963" t="s">
        <v>26</v>
      </c>
    </row>
    <row r="1964" spans="1:17" x14ac:dyDescent="0.3">
      <c r="A1964" t="s">
        <v>3242</v>
      </c>
      <c r="B1964" t="s">
        <v>2603</v>
      </c>
      <c r="C1964" t="s">
        <v>88</v>
      </c>
      <c r="D1964" t="s">
        <v>39</v>
      </c>
      <c r="E1964">
        <v>63</v>
      </c>
      <c r="F1964" t="s">
        <v>51</v>
      </c>
      <c r="G1964" t="s">
        <v>104</v>
      </c>
      <c r="H1964" t="s">
        <v>46</v>
      </c>
      <c r="I1964" t="s">
        <v>79</v>
      </c>
      <c r="J1964" t="s">
        <v>89</v>
      </c>
      <c r="K1964">
        <v>2</v>
      </c>
      <c r="L1964">
        <v>12900</v>
      </c>
      <c r="M1964">
        <v>0</v>
      </c>
      <c r="N1964">
        <v>25800</v>
      </c>
      <c r="O1964" t="s">
        <v>48</v>
      </c>
      <c r="P1964">
        <v>1</v>
      </c>
      <c r="Q1964" t="s">
        <v>26</v>
      </c>
    </row>
    <row r="1965" spans="1:17" x14ac:dyDescent="0.3">
      <c r="A1965" t="s">
        <v>3243</v>
      </c>
      <c r="B1965" t="s">
        <v>1651</v>
      </c>
      <c r="C1965" t="s">
        <v>71</v>
      </c>
      <c r="D1965" t="s">
        <v>20</v>
      </c>
      <c r="E1965">
        <v>38</v>
      </c>
      <c r="F1965" t="s">
        <v>77</v>
      </c>
      <c r="G1965" t="s">
        <v>78</v>
      </c>
      <c r="H1965" t="s">
        <v>32</v>
      </c>
      <c r="I1965" t="s">
        <v>33</v>
      </c>
      <c r="J1965" t="s">
        <v>24</v>
      </c>
      <c r="K1965">
        <v>1</v>
      </c>
      <c r="L1965">
        <v>47300</v>
      </c>
      <c r="M1965">
        <v>25</v>
      </c>
      <c r="N1965">
        <v>35475</v>
      </c>
      <c r="O1965" t="s">
        <v>105</v>
      </c>
      <c r="P1965">
        <v>3</v>
      </c>
      <c r="Q1965" t="s">
        <v>41</v>
      </c>
    </row>
    <row r="1966" spans="1:17" x14ac:dyDescent="0.3">
      <c r="A1966" t="s">
        <v>3244</v>
      </c>
      <c r="B1966" t="s">
        <v>3233</v>
      </c>
      <c r="C1966" t="s">
        <v>19</v>
      </c>
      <c r="D1966" t="s">
        <v>103</v>
      </c>
      <c r="E1966">
        <v>-3</v>
      </c>
      <c r="F1966" t="s">
        <v>21</v>
      </c>
      <c r="G1966" t="s">
        <v>21</v>
      </c>
      <c r="H1966" t="s">
        <v>46</v>
      </c>
      <c r="I1966" t="s">
        <v>79</v>
      </c>
      <c r="J1966" t="s">
        <v>24</v>
      </c>
      <c r="K1966">
        <v>3</v>
      </c>
      <c r="L1966">
        <v>17100</v>
      </c>
      <c r="M1966">
        <v>15</v>
      </c>
      <c r="N1966">
        <v>43605</v>
      </c>
      <c r="O1966" t="s">
        <v>48</v>
      </c>
      <c r="P1966">
        <v>4</v>
      </c>
      <c r="Q1966" t="s">
        <v>41</v>
      </c>
    </row>
    <row r="1967" spans="1:17" x14ac:dyDescent="0.3">
      <c r="A1967" t="s">
        <v>3245</v>
      </c>
      <c r="B1967" t="s">
        <v>1277</v>
      </c>
      <c r="C1967" t="s">
        <v>113</v>
      </c>
      <c r="D1967" t="s">
        <v>39</v>
      </c>
      <c r="E1967">
        <v>26</v>
      </c>
      <c r="F1967" t="s">
        <v>107</v>
      </c>
      <c r="G1967" t="s">
        <v>104</v>
      </c>
      <c r="H1967" t="s">
        <v>22</v>
      </c>
      <c r="I1967" t="s">
        <v>84</v>
      </c>
      <c r="J1967" t="s">
        <v>64</v>
      </c>
      <c r="K1967">
        <v>8</v>
      </c>
      <c r="L1967">
        <v>28700</v>
      </c>
      <c r="M1967">
        <v>5</v>
      </c>
      <c r="N1967">
        <v>218120</v>
      </c>
      <c r="O1967" t="s">
        <v>85</v>
      </c>
      <c r="Q1967" t="s">
        <v>65</v>
      </c>
    </row>
    <row r="1968" spans="1:17" x14ac:dyDescent="0.3">
      <c r="A1968" t="s">
        <v>3246</v>
      </c>
      <c r="B1968" t="s">
        <v>797</v>
      </c>
      <c r="C1968" t="s">
        <v>88</v>
      </c>
      <c r="E1968">
        <v>37</v>
      </c>
      <c r="F1968" t="s">
        <v>77</v>
      </c>
      <c r="G1968" t="s">
        <v>95</v>
      </c>
      <c r="H1968" t="s">
        <v>46</v>
      </c>
      <c r="I1968" t="s">
        <v>47</v>
      </c>
      <c r="J1968" t="s">
        <v>34</v>
      </c>
      <c r="K1968">
        <v>7</v>
      </c>
      <c r="L1968">
        <v>38700</v>
      </c>
      <c r="M1968">
        <v>15</v>
      </c>
      <c r="N1968">
        <v>230265</v>
      </c>
      <c r="O1968" t="s">
        <v>40</v>
      </c>
      <c r="P1968">
        <v>1</v>
      </c>
      <c r="Q1968" t="s">
        <v>41</v>
      </c>
    </row>
    <row r="1969" spans="1:17" x14ac:dyDescent="0.3">
      <c r="A1969" t="s">
        <v>3247</v>
      </c>
      <c r="B1969" t="s">
        <v>3248</v>
      </c>
      <c r="C1969" t="s">
        <v>38</v>
      </c>
      <c r="D1969" t="s">
        <v>20</v>
      </c>
      <c r="E1969">
        <v>60</v>
      </c>
      <c r="F1969" t="s">
        <v>30</v>
      </c>
      <c r="G1969" t="s">
        <v>31</v>
      </c>
      <c r="H1969" t="s">
        <v>46</v>
      </c>
      <c r="I1969" t="s">
        <v>47</v>
      </c>
      <c r="J1969" t="s">
        <v>72</v>
      </c>
      <c r="K1969">
        <v>7</v>
      </c>
      <c r="L1969">
        <v>2400</v>
      </c>
      <c r="M1969">
        <v>20</v>
      </c>
      <c r="N1969">
        <v>13440</v>
      </c>
      <c r="O1969" t="s">
        <v>85</v>
      </c>
      <c r="P1969">
        <v>1</v>
      </c>
      <c r="Q1969" t="s">
        <v>41</v>
      </c>
    </row>
    <row r="1970" spans="1:17" x14ac:dyDescent="0.3">
      <c r="A1970" t="s">
        <v>3249</v>
      </c>
      <c r="B1970" t="s">
        <v>1050</v>
      </c>
      <c r="C1970" t="s">
        <v>94</v>
      </c>
      <c r="D1970" t="s">
        <v>39</v>
      </c>
      <c r="E1970">
        <v>47</v>
      </c>
      <c r="F1970" t="s">
        <v>77</v>
      </c>
      <c r="G1970" t="s">
        <v>78</v>
      </c>
      <c r="H1970" t="s">
        <v>32</v>
      </c>
      <c r="I1970" t="s">
        <v>33</v>
      </c>
      <c r="J1970" t="s">
        <v>72</v>
      </c>
      <c r="K1970">
        <v>6</v>
      </c>
      <c r="L1970">
        <v>23000</v>
      </c>
      <c r="M1970">
        <v>10</v>
      </c>
      <c r="N1970">
        <v>124200</v>
      </c>
      <c r="O1970" t="s">
        <v>48</v>
      </c>
      <c r="Q1970" t="s">
        <v>26</v>
      </c>
    </row>
    <row r="1971" spans="1:17" x14ac:dyDescent="0.3">
      <c r="A1971" t="s">
        <v>3250</v>
      </c>
      <c r="B1971" t="s">
        <v>3251</v>
      </c>
      <c r="C1971" t="s">
        <v>19</v>
      </c>
      <c r="D1971" t="s">
        <v>83</v>
      </c>
      <c r="E1971">
        <v>48</v>
      </c>
      <c r="F1971" t="s">
        <v>61</v>
      </c>
      <c r="G1971" t="s">
        <v>61</v>
      </c>
      <c r="H1971" t="s">
        <v>62</v>
      </c>
      <c r="I1971" t="s">
        <v>140</v>
      </c>
      <c r="J1971" t="s">
        <v>24</v>
      </c>
      <c r="K1971">
        <v>10</v>
      </c>
      <c r="L1971">
        <v>31400</v>
      </c>
      <c r="M1971">
        <v>5</v>
      </c>
      <c r="N1971">
        <v>298300</v>
      </c>
      <c r="O1971" t="s">
        <v>85</v>
      </c>
      <c r="Q1971" t="s">
        <v>65</v>
      </c>
    </row>
    <row r="1972" spans="1:17" x14ac:dyDescent="0.3">
      <c r="A1972" t="s">
        <v>3252</v>
      </c>
      <c r="B1972" t="s">
        <v>18</v>
      </c>
      <c r="C1972" t="s">
        <v>38</v>
      </c>
      <c r="D1972" t="s">
        <v>103</v>
      </c>
      <c r="E1972">
        <v>65</v>
      </c>
      <c r="F1972" t="s">
        <v>51</v>
      </c>
      <c r="G1972" t="s">
        <v>52</v>
      </c>
      <c r="H1972" t="s">
        <v>32</v>
      </c>
      <c r="I1972" t="s">
        <v>33</v>
      </c>
      <c r="J1972" t="s">
        <v>89</v>
      </c>
      <c r="K1972">
        <v>1</v>
      </c>
      <c r="L1972">
        <v>16300</v>
      </c>
      <c r="M1972">
        <v>5</v>
      </c>
      <c r="N1972">
        <v>15485</v>
      </c>
      <c r="O1972" t="s">
        <v>35</v>
      </c>
      <c r="P1972">
        <v>2</v>
      </c>
      <c r="Q1972" t="s">
        <v>65</v>
      </c>
    </row>
    <row r="1973" spans="1:17" x14ac:dyDescent="0.3">
      <c r="A1973" t="s">
        <v>3253</v>
      </c>
      <c r="B1973" t="s">
        <v>1468</v>
      </c>
      <c r="C1973" t="s">
        <v>94</v>
      </c>
      <c r="D1973" t="s">
        <v>103</v>
      </c>
      <c r="E1973">
        <v>64</v>
      </c>
      <c r="F1973" t="s">
        <v>61</v>
      </c>
      <c r="G1973" t="s">
        <v>61</v>
      </c>
      <c r="H1973" t="s">
        <v>22</v>
      </c>
      <c r="I1973" t="s">
        <v>23</v>
      </c>
      <c r="J1973" t="s">
        <v>64</v>
      </c>
      <c r="K1973">
        <v>7</v>
      </c>
      <c r="L1973">
        <v>42100</v>
      </c>
      <c r="M1973">
        <v>20</v>
      </c>
      <c r="N1973">
        <v>235760</v>
      </c>
      <c r="O1973" t="s">
        <v>105</v>
      </c>
      <c r="P1973">
        <v>5</v>
      </c>
      <c r="Q1973" t="s">
        <v>74</v>
      </c>
    </row>
    <row r="1974" spans="1:17" x14ac:dyDescent="0.3">
      <c r="A1974" t="s">
        <v>3254</v>
      </c>
      <c r="B1974" t="s">
        <v>3255</v>
      </c>
      <c r="C1974" t="s">
        <v>121</v>
      </c>
      <c r="D1974" t="s">
        <v>20</v>
      </c>
      <c r="E1974">
        <v>29</v>
      </c>
      <c r="F1974" t="s">
        <v>51</v>
      </c>
      <c r="G1974" t="s">
        <v>52</v>
      </c>
      <c r="H1974" t="s">
        <v>22</v>
      </c>
      <c r="I1974" t="s">
        <v>23</v>
      </c>
      <c r="J1974" t="s">
        <v>34</v>
      </c>
      <c r="K1974">
        <v>5</v>
      </c>
      <c r="L1974">
        <v>21700</v>
      </c>
      <c r="M1974">
        <v>25</v>
      </c>
      <c r="N1974">
        <v>81375</v>
      </c>
      <c r="O1974" t="s">
        <v>73</v>
      </c>
      <c r="Q1974" t="s">
        <v>65</v>
      </c>
    </row>
    <row r="1975" spans="1:17" x14ac:dyDescent="0.3">
      <c r="A1975" t="s">
        <v>3256</v>
      </c>
      <c r="B1975" t="s">
        <v>998</v>
      </c>
      <c r="C1975" t="s">
        <v>94</v>
      </c>
      <c r="D1975" t="s">
        <v>20</v>
      </c>
      <c r="E1975">
        <v>58</v>
      </c>
      <c r="F1975" t="s">
        <v>44</v>
      </c>
      <c r="G1975" t="s">
        <v>45</v>
      </c>
      <c r="H1975" t="s">
        <v>62</v>
      </c>
      <c r="I1975" t="s">
        <v>63</v>
      </c>
      <c r="J1975" t="s">
        <v>34</v>
      </c>
      <c r="K1975">
        <v>9</v>
      </c>
      <c r="L1975">
        <v>37600</v>
      </c>
      <c r="M1975">
        <v>15</v>
      </c>
      <c r="N1975">
        <v>287640</v>
      </c>
      <c r="O1975" t="s">
        <v>35</v>
      </c>
      <c r="P1975">
        <v>5</v>
      </c>
      <c r="Q1975" t="s">
        <v>65</v>
      </c>
    </row>
    <row r="1976" spans="1:17" x14ac:dyDescent="0.3">
      <c r="A1976" t="s">
        <v>3257</v>
      </c>
      <c r="B1976" t="s">
        <v>944</v>
      </c>
      <c r="C1976" t="s">
        <v>94</v>
      </c>
      <c r="D1976" t="s">
        <v>83</v>
      </c>
      <c r="E1976">
        <v>63</v>
      </c>
      <c r="F1976" t="s">
        <v>51</v>
      </c>
      <c r="G1976" t="s">
        <v>52</v>
      </c>
      <c r="H1976" t="s">
        <v>32</v>
      </c>
      <c r="I1976" t="s">
        <v>33</v>
      </c>
      <c r="J1976" t="s">
        <v>64</v>
      </c>
      <c r="K1976">
        <v>1</v>
      </c>
      <c r="L1976">
        <v>41900</v>
      </c>
      <c r="M1976">
        <v>20</v>
      </c>
      <c r="N1976">
        <v>33520</v>
      </c>
      <c r="O1976" t="s">
        <v>40</v>
      </c>
      <c r="P1976">
        <v>2</v>
      </c>
      <c r="Q1976" t="s">
        <v>41</v>
      </c>
    </row>
    <row r="1977" spans="1:17" x14ac:dyDescent="0.3">
      <c r="A1977" t="s">
        <v>3258</v>
      </c>
      <c r="B1977" t="s">
        <v>377</v>
      </c>
      <c r="C1977" t="s">
        <v>94</v>
      </c>
      <c r="D1977" t="s">
        <v>39</v>
      </c>
      <c r="E1977">
        <v>48</v>
      </c>
      <c r="F1977" t="s">
        <v>44</v>
      </c>
      <c r="G1977" t="s">
        <v>45</v>
      </c>
      <c r="H1977" t="s">
        <v>22</v>
      </c>
      <c r="I1977" t="s">
        <v>84</v>
      </c>
      <c r="J1977" t="s">
        <v>24</v>
      </c>
      <c r="K1977">
        <v>7</v>
      </c>
      <c r="L1977">
        <v>24100</v>
      </c>
      <c r="M1977">
        <v>15</v>
      </c>
      <c r="N1977">
        <v>143395</v>
      </c>
      <c r="O1977" t="s">
        <v>105</v>
      </c>
      <c r="P1977">
        <v>4</v>
      </c>
      <c r="Q1977" t="s">
        <v>65</v>
      </c>
    </row>
    <row r="1978" spans="1:17" x14ac:dyDescent="0.3">
      <c r="A1978" t="s">
        <v>3259</v>
      </c>
      <c r="B1978" t="s">
        <v>1215</v>
      </c>
      <c r="C1978" t="s">
        <v>121</v>
      </c>
      <c r="D1978" t="s">
        <v>83</v>
      </c>
      <c r="E1978">
        <v>48</v>
      </c>
      <c r="F1978" t="s">
        <v>21</v>
      </c>
      <c r="G1978" t="s">
        <v>21</v>
      </c>
      <c r="H1978" t="s">
        <v>22</v>
      </c>
      <c r="I1978" t="s">
        <v>84</v>
      </c>
      <c r="J1978" t="s">
        <v>64</v>
      </c>
      <c r="K1978">
        <v>9</v>
      </c>
      <c r="L1978">
        <v>5300</v>
      </c>
      <c r="M1978">
        <v>10</v>
      </c>
      <c r="N1978">
        <v>42930</v>
      </c>
      <c r="O1978" t="s">
        <v>40</v>
      </c>
      <c r="Q1978" t="s">
        <v>26</v>
      </c>
    </row>
    <row r="1979" spans="1:17" x14ac:dyDescent="0.3">
      <c r="A1979" t="s">
        <v>3260</v>
      </c>
      <c r="B1979" t="s">
        <v>3261</v>
      </c>
      <c r="C1979" t="s">
        <v>121</v>
      </c>
      <c r="D1979" t="s">
        <v>20</v>
      </c>
      <c r="E1979">
        <v>61</v>
      </c>
      <c r="F1979" t="s">
        <v>21</v>
      </c>
      <c r="G1979" t="s">
        <v>21</v>
      </c>
      <c r="H1979" t="s">
        <v>62</v>
      </c>
      <c r="I1979" t="s">
        <v>140</v>
      </c>
      <c r="J1979" t="s">
        <v>24</v>
      </c>
      <c r="K1979">
        <v>2</v>
      </c>
      <c r="L1979">
        <v>8400</v>
      </c>
      <c r="M1979">
        <v>10</v>
      </c>
      <c r="N1979">
        <v>15120</v>
      </c>
      <c r="O1979" t="s">
        <v>48</v>
      </c>
      <c r="P1979">
        <v>3</v>
      </c>
      <c r="Q1979" t="s">
        <v>65</v>
      </c>
    </row>
    <row r="1980" spans="1:17" x14ac:dyDescent="0.3">
      <c r="A1980" t="s">
        <v>3262</v>
      </c>
      <c r="B1980" t="s">
        <v>99</v>
      </c>
      <c r="C1980" t="s">
        <v>38</v>
      </c>
      <c r="D1980" t="s">
        <v>20</v>
      </c>
      <c r="E1980">
        <v>60</v>
      </c>
      <c r="F1980" t="s">
        <v>77</v>
      </c>
      <c r="G1980" t="s">
        <v>95</v>
      </c>
      <c r="H1980" t="s">
        <v>62</v>
      </c>
      <c r="I1980" t="s">
        <v>63</v>
      </c>
      <c r="J1980" t="s">
        <v>34</v>
      </c>
      <c r="K1980">
        <v>2</v>
      </c>
      <c r="L1980">
        <v>44100</v>
      </c>
      <c r="M1980">
        <v>25</v>
      </c>
      <c r="N1980">
        <v>66150</v>
      </c>
      <c r="O1980" t="s">
        <v>73</v>
      </c>
      <c r="P1980">
        <v>5</v>
      </c>
      <c r="Q1980" t="s">
        <v>26</v>
      </c>
    </row>
    <row r="1981" spans="1:17" x14ac:dyDescent="0.3">
      <c r="A1981" t="s">
        <v>3263</v>
      </c>
      <c r="B1981" t="s">
        <v>2126</v>
      </c>
      <c r="C1981" t="s">
        <v>60</v>
      </c>
      <c r="D1981" t="s">
        <v>20</v>
      </c>
      <c r="E1981">
        <v>52</v>
      </c>
      <c r="F1981" t="s">
        <v>21</v>
      </c>
      <c r="G1981" t="s">
        <v>21</v>
      </c>
      <c r="H1981" t="s">
        <v>22</v>
      </c>
      <c r="I1981" t="s">
        <v>84</v>
      </c>
      <c r="J1981" t="s">
        <v>89</v>
      </c>
      <c r="K1981" t="s">
        <v>165</v>
      </c>
      <c r="L1981">
        <v>21900</v>
      </c>
      <c r="M1981">
        <v>5</v>
      </c>
      <c r="N1981">
        <v>20805</v>
      </c>
      <c r="O1981" t="s">
        <v>85</v>
      </c>
      <c r="P1981">
        <v>2</v>
      </c>
      <c r="Q1981" t="s">
        <v>65</v>
      </c>
    </row>
    <row r="1982" spans="1:17" x14ac:dyDescent="0.3">
      <c r="A1982" t="s">
        <v>3264</v>
      </c>
      <c r="B1982" t="s">
        <v>2486</v>
      </c>
      <c r="C1982" t="s">
        <v>68</v>
      </c>
      <c r="D1982" t="s">
        <v>39</v>
      </c>
      <c r="E1982">
        <v>56</v>
      </c>
      <c r="F1982" t="s">
        <v>30</v>
      </c>
      <c r="G1982" t="s">
        <v>31</v>
      </c>
      <c r="H1982" t="s">
        <v>22</v>
      </c>
      <c r="I1982" t="s">
        <v>84</v>
      </c>
      <c r="J1982" t="s">
        <v>34</v>
      </c>
      <c r="K1982">
        <v>10</v>
      </c>
      <c r="L1982">
        <v>20700</v>
      </c>
      <c r="M1982">
        <v>25</v>
      </c>
      <c r="N1982">
        <v>155250</v>
      </c>
      <c r="O1982" t="s">
        <v>25</v>
      </c>
      <c r="P1982">
        <v>4</v>
      </c>
      <c r="Q1982" t="s">
        <v>41</v>
      </c>
    </row>
    <row r="1983" spans="1:17" x14ac:dyDescent="0.3">
      <c r="A1983" t="s">
        <v>3265</v>
      </c>
      <c r="B1983" t="s">
        <v>3266</v>
      </c>
      <c r="C1983" t="s">
        <v>121</v>
      </c>
      <c r="E1983">
        <v>51</v>
      </c>
      <c r="F1983" t="s">
        <v>427</v>
      </c>
      <c r="G1983" t="s">
        <v>78</v>
      </c>
      <c r="H1983" t="s">
        <v>22</v>
      </c>
      <c r="I1983" t="s">
        <v>23</v>
      </c>
      <c r="J1983" t="s">
        <v>24</v>
      </c>
      <c r="K1983">
        <v>1</v>
      </c>
      <c r="L1983">
        <v>42100</v>
      </c>
      <c r="M1983">
        <v>0</v>
      </c>
      <c r="N1983">
        <v>42100</v>
      </c>
      <c r="O1983" t="s">
        <v>25</v>
      </c>
      <c r="P1983">
        <v>3</v>
      </c>
      <c r="Q1983" t="s">
        <v>41</v>
      </c>
    </row>
    <row r="1984" spans="1:17" x14ac:dyDescent="0.3">
      <c r="A1984" t="s">
        <v>3267</v>
      </c>
      <c r="B1984" t="s">
        <v>985</v>
      </c>
      <c r="C1984" t="s">
        <v>38</v>
      </c>
      <c r="E1984">
        <v>42</v>
      </c>
      <c r="F1984" t="s">
        <v>30</v>
      </c>
      <c r="G1984" t="s">
        <v>31</v>
      </c>
      <c r="H1984" t="s">
        <v>32</v>
      </c>
      <c r="I1984" t="s">
        <v>53</v>
      </c>
      <c r="J1984" t="s">
        <v>24</v>
      </c>
      <c r="K1984">
        <v>2</v>
      </c>
      <c r="L1984">
        <v>43300</v>
      </c>
      <c r="M1984">
        <v>25</v>
      </c>
      <c r="N1984">
        <v>64950</v>
      </c>
      <c r="O1984" t="s">
        <v>25</v>
      </c>
      <c r="P1984">
        <v>1</v>
      </c>
      <c r="Q1984" t="s">
        <v>41</v>
      </c>
    </row>
    <row r="1985" spans="1:17" x14ac:dyDescent="0.3">
      <c r="A1985" t="s">
        <v>3268</v>
      </c>
      <c r="B1985" t="s">
        <v>3269</v>
      </c>
      <c r="C1985" t="s">
        <v>68</v>
      </c>
      <c r="D1985" t="s">
        <v>103</v>
      </c>
      <c r="E1985">
        <v>56</v>
      </c>
      <c r="F1985" t="s">
        <v>44</v>
      </c>
      <c r="G1985" t="s">
        <v>100</v>
      </c>
      <c r="H1985" t="s">
        <v>32</v>
      </c>
      <c r="I1985" t="s">
        <v>33</v>
      </c>
      <c r="J1985" t="s">
        <v>80</v>
      </c>
      <c r="K1985">
        <v>4</v>
      </c>
      <c r="L1985">
        <v>11000</v>
      </c>
      <c r="M1985">
        <v>25</v>
      </c>
      <c r="N1985">
        <v>33000</v>
      </c>
      <c r="O1985" t="s">
        <v>85</v>
      </c>
      <c r="P1985">
        <v>1</v>
      </c>
      <c r="Q1985" t="s">
        <v>26</v>
      </c>
    </row>
    <row r="1986" spans="1:17" x14ac:dyDescent="0.3">
      <c r="A1986" t="s">
        <v>3270</v>
      </c>
      <c r="B1986" t="s">
        <v>968</v>
      </c>
      <c r="C1986" t="s">
        <v>88</v>
      </c>
      <c r="D1986" t="s">
        <v>103</v>
      </c>
      <c r="E1986">
        <v>37</v>
      </c>
      <c r="F1986" t="s">
        <v>77</v>
      </c>
      <c r="G1986" t="s">
        <v>95</v>
      </c>
      <c r="H1986" t="s">
        <v>46</v>
      </c>
      <c r="I1986" t="s">
        <v>47</v>
      </c>
      <c r="J1986" t="s">
        <v>80</v>
      </c>
      <c r="K1986">
        <v>2</v>
      </c>
      <c r="L1986">
        <v>46300</v>
      </c>
      <c r="M1986">
        <v>10</v>
      </c>
      <c r="N1986">
        <v>83340</v>
      </c>
      <c r="O1986" t="s">
        <v>85</v>
      </c>
      <c r="P1986">
        <v>4</v>
      </c>
      <c r="Q1986" t="s">
        <v>74</v>
      </c>
    </row>
    <row r="1987" spans="1:17" x14ac:dyDescent="0.3">
      <c r="A1987" t="s">
        <v>3271</v>
      </c>
      <c r="B1987" t="s">
        <v>3272</v>
      </c>
      <c r="C1987" t="s">
        <v>94</v>
      </c>
      <c r="D1987" t="s">
        <v>20</v>
      </c>
      <c r="E1987">
        <v>29</v>
      </c>
      <c r="F1987" t="s">
        <v>61</v>
      </c>
      <c r="G1987" t="s">
        <v>61</v>
      </c>
      <c r="H1987" t="s">
        <v>32</v>
      </c>
      <c r="I1987" t="s">
        <v>53</v>
      </c>
      <c r="J1987" t="s">
        <v>24</v>
      </c>
      <c r="K1987">
        <v>4</v>
      </c>
      <c r="L1987">
        <v>40900</v>
      </c>
      <c r="M1987">
        <v>0</v>
      </c>
      <c r="N1987">
        <v>163600</v>
      </c>
      <c r="O1987" t="s">
        <v>48</v>
      </c>
      <c r="Q1987" t="s">
        <v>26</v>
      </c>
    </row>
    <row r="1988" spans="1:17" x14ac:dyDescent="0.3">
      <c r="A1988" t="s">
        <v>3273</v>
      </c>
      <c r="B1988" t="s">
        <v>1002</v>
      </c>
      <c r="C1988" t="s">
        <v>60</v>
      </c>
      <c r="D1988" t="s">
        <v>83</v>
      </c>
      <c r="E1988">
        <v>35</v>
      </c>
      <c r="F1988" t="s">
        <v>684</v>
      </c>
      <c r="G1988" t="s">
        <v>61</v>
      </c>
      <c r="H1988" t="s">
        <v>46</v>
      </c>
      <c r="I1988" t="s">
        <v>47</v>
      </c>
      <c r="J1988" t="s">
        <v>80</v>
      </c>
      <c r="K1988">
        <v>4</v>
      </c>
      <c r="L1988">
        <v>14500</v>
      </c>
      <c r="M1988">
        <v>10</v>
      </c>
      <c r="N1988">
        <v>52200</v>
      </c>
      <c r="O1988" t="s">
        <v>35</v>
      </c>
      <c r="Q1988" t="s">
        <v>41</v>
      </c>
    </row>
    <row r="1989" spans="1:17" x14ac:dyDescent="0.3">
      <c r="A1989" t="s">
        <v>3274</v>
      </c>
      <c r="B1989" t="s">
        <v>2048</v>
      </c>
      <c r="C1989" t="s">
        <v>68</v>
      </c>
      <c r="E1989">
        <v>28</v>
      </c>
      <c r="F1989" t="s">
        <v>51</v>
      </c>
      <c r="G1989" t="s">
        <v>52</v>
      </c>
      <c r="H1989" t="s">
        <v>32</v>
      </c>
      <c r="I1989" t="s">
        <v>53</v>
      </c>
      <c r="J1989" t="s">
        <v>24</v>
      </c>
      <c r="K1989">
        <v>2</v>
      </c>
      <c r="L1989">
        <v>41200</v>
      </c>
      <c r="M1989">
        <v>0</v>
      </c>
      <c r="N1989">
        <v>82400</v>
      </c>
      <c r="O1989" t="s">
        <v>73</v>
      </c>
      <c r="Q1989" t="s">
        <v>26</v>
      </c>
    </row>
    <row r="1990" spans="1:17" x14ac:dyDescent="0.3">
      <c r="A1990" t="s">
        <v>3275</v>
      </c>
      <c r="B1990" t="s">
        <v>960</v>
      </c>
      <c r="C1990" t="s">
        <v>94</v>
      </c>
      <c r="D1990" t="s">
        <v>103</v>
      </c>
      <c r="E1990">
        <v>61</v>
      </c>
      <c r="F1990" t="s">
        <v>107</v>
      </c>
      <c r="G1990" t="s">
        <v>104</v>
      </c>
      <c r="H1990" t="s">
        <v>62</v>
      </c>
      <c r="I1990" t="s">
        <v>63</v>
      </c>
      <c r="J1990" t="s">
        <v>24</v>
      </c>
      <c r="K1990">
        <v>7</v>
      </c>
      <c r="L1990">
        <v>34500</v>
      </c>
      <c r="M1990">
        <v>0</v>
      </c>
      <c r="N1990">
        <v>241500</v>
      </c>
      <c r="O1990" t="s">
        <v>105</v>
      </c>
      <c r="P1990">
        <v>3</v>
      </c>
      <c r="Q1990" t="s">
        <v>41</v>
      </c>
    </row>
    <row r="1991" spans="1:17" x14ac:dyDescent="0.3">
      <c r="A1991" t="s">
        <v>3276</v>
      </c>
      <c r="B1991" t="s">
        <v>415</v>
      </c>
      <c r="C1991" t="s">
        <v>71</v>
      </c>
      <c r="D1991" t="s">
        <v>39</v>
      </c>
      <c r="E1991">
        <v>35</v>
      </c>
      <c r="F1991" t="s">
        <v>61</v>
      </c>
      <c r="G1991" t="s">
        <v>61</v>
      </c>
      <c r="H1991" t="s">
        <v>32</v>
      </c>
      <c r="I1991" t="s">
        <v>33</v>
      </c>
      <c r="J1991" t="s">
        <v>72</v>
      </c>
      <c r="K1991">
        <v>7</v>
      </c>
      <c r="L1991">
        <v>10600</v>
      </c>
      <c r="M1991">
        <v>5</v>
      </c>
      <c r="N1991">
        <v>70490</v>
      </c>
      <c r="O1991" t="s">
        <v>48</v>
      </c>
      <c r="Q1991" t="s">
        <v>41</v>
      </c>
    </row>
    <row r="1992" spans="1:17" x14ac:dyDescent="0.3">
      <c r="A1992" t="s">
        <v>3277</v>
      </c>
      <c r="B1992" t="s">
        <v>742</v>
      </c>
      <c r="C1992" t="s">
        <v>94</v>
      </c>
      <c r="D1992" t="s">
        <v>83</v>
      </c>
      <c r="E1992">
        <v>58</v>
      </c>
      <c r="F1992" t="s">
        <v>77</v>
      </c>
      <c r="G1992" t="s">
        <v>78</v>
      </c>
      <c r="H1992" t="s">
        <v>62</v>
      </c>
      <c r="I1992" t="s">
        <v>140</v>
      </c>
      <c r="J1992" t="s">
        <v>24</v>
      </c>
      <c r="K1992">
        <v>1</v>
      </c>
      <c r="L1992">
        <v>21300</v>
      </c>
      <c r="M1992">
        <v>5</v>
      </c>
      <c r="N1992">
        <v>20235</v>
      </c>
      <c r="O1992" t="s">
        <v>35</v>
      </c>
      <c r="P1992">
        <v>4</v>
      </c>
      <c r="Q1992" t="s">
        <v>26</v>
      </c>
    </row>
    <row r="1993" spans="1:17" x14ac:dyDescent="0.3">
      <c r="A1993" t="s">
        <v>3278</v>
      </c>
      <c r="B1993" t="s">
        <v>782</v>
      </c>
      <c r="C1993" t="s">
        <v>19</v>
      </c>
      <c r="D1993" t="s">
        <v>83</v>
      </c>
      <c r="E1993">
        <v>61</v>
      </c>
      <c r="F1993" t="s">
        <v>277</v>
      </c>
      <c r="G1993" t="s">
        <v>100</v>
      </c>
      <c r="H1993" t="s">
        <v>32</v>
      </c>
      <c r="I1993" t="s">
        <v>53</v>
      </c>
      <c r="J1993" t="s">
        <v>72</v>
      </c>
      <c r="K1993">
        <v>4</v>
      </c>
      <c r="L1993">
        <v>31900</v>
      </c>
      <c r="M1993">
        <v>5</v>
      </c>
      <c r="N1993">
        <v>121220</v>
      </c>
      <c r="O1993" t="s">
        <v>105</v>
      </c>
      <c r="P1993">
        <v>4</v>
      </c>
      <c r="Q1993" t="s">
        <v>74</v>
      </c>
    </row>
    <row r="1994" spans="1:17" x14ac:dyDescent="0.3">
      <c r="A1994" t="s">
        <v>3279</v>
      </c>
      <c r="B1994" t="s">
        <v>696</v>
      </c>
      <c r="C1994" t="s">
        <v>113</v>
      </c>
      <c r="D1994" t="s">
        <v>103</v>
      </c>
      <c r="E1994">
        <v>22</v>
      </c>
      <c r="F1994" t="s">
        <v>51</v>
      </c>
      <c r="G1994" t="s">
        <v>104</v>
      </c>
      <c r="H1994" t="s">
        <v>46</v>
      </c>
      <c r="I1994" t="s">
        <v>47</v>
      </c>
      <c r="J1994" t="s">
        <v>34</v>
      </c>
      <c r="K1994">
        <v>4</v>
      </c>
      <c r="L1994">
        <v>23400</v>
      </c>
      <c r="M1994">
        <v>25</v>
      </c>
      <c r="N1994">
        <v>70200</v>
      </c>
      <c r="O1994" t="s">
        <v>48</v>
      </c>
      <c r="P1994">
        <v>3</v>
      </c>
      <c r="Q1994" t="s">
        <v>41</v>
      </c>
    </row>
    <row r="1995" spans="1:17" x14ac:dyDescent="0.3">
      <c r="A1995" t="s">
        <v>3280</v>
      </c>
      <c r="B1995" t="s">
        <v>3281</v>
      </c>
      <c r="C1995" t="s">
        <v>121</v>
      </c>
      <c r="E1995">
        <v>62</v>
      </c>
      <c r="F1995" t="s">
        <v>51</v>
      </c>
      <c r="G1995" t="s">
        <v>52</v>
      </c>
      <c r="H1995" t="s">
        <v>22</v>
      </c>
      <c r="I1995" t="s">
        <v>23</v>
      </c>
      <c r="J1995" t="s">
        <v>64</v>
      </c>
      <c r="K1995">
        <v>5</v>
      </c>
      <c r="L1995">
        <v>2500</v>
      </c>
      <c r="M1995">
        <v>5</v>
      </c>
      <c r="N1995">
        <v>11875</v>
      </c>
      <c r="O1995" t="s">
        <v>48</v>
      </c>
      <c r="Q1995" t="s">
        <v>65</v>
      </c>
    </row>
    <row r="1996" spans="1:17" x14ac:dyDescent="0.3">
      <c r="A1996" t="s">
        <v>3282</v>
      </c>
      <c r="B1996" t="s">
        <v>3283</v>
      </c>
      <c r="C1996" t="s">
        <v>121</v>
      </c>
      <c r="D1996" t="s">
        <v>39</v>
      </c>
      <c r="E1996">
        <v>29</v>
      </c>
      <c r="F1996" t="s">
        <v>44</v>
      </c>
      <c r="G1996" t="s">
        <v>100</v>
      </c>
      <c r="H1996" t="s">
        <v>46</v>
      </c>
      <c r="I1996" t="s">
        <v>79</v>
      </c>
      <c r="J1996" t="s">
        <v>89</v>
      </c>
      <c r="K1996">
        <v>3</v>
      </c>
      <c r="L1996">
        <v>5200</v>
      </c>
      <c r="M1996">
        <v>25</v>
      </c>
      <c r="N1996">
        <v>11700</v>
      </c>
      <c r="O1996" t="s">
        <v>85</v>
      </c>
      <c r="P1996">
        <v>4</v>
      </c>
      <c r="Q1996" t="s">
        <v>74</v>
      </c>
    </row>
    <row r="1997" spans="1:17" x14ac:dyDescent="0.3">
      <c r="A1997" t="s">
        <v>3284</v>
      </c>
      <c r="B1997" t="s">
        <v>2733</v>
      </c>
      <c r="C1997" t="s">
        <v>121</v>
      </c>
      <c r="E1997">
        <v>48</v>
      </c>
      <c r="F1997" t="s">
        <v>61</v>
      </c>
      <c r="G1997" t="s">
        <v>61</v>
      </c>
      <c r="H1997" t="s">
        <v>62</v>
      </c>
      <c r="I1997" t="s">
        <v>63</v>
      </c>
      <c r="J1997" t="s">
        <v>89</v>
      </c>
      <c r="K1997">
        <v>4</v>
      </c>
      <c r="L1997">
        <v>45800</v>
      </c>
      <c r="M1997">
        <v>25</v>
      </c>
      <c r="N1997">
        <v>137400</v>
      </c>
      <c r="O1997" t="s">
        <v>40</v>
      </c>
      <c r="P1997">
        <v>2</v>
      </c>
      <c r="Q1997" t="s">
        <v>26</v>
      </c>
    </row>
    <row r="1998" spans="1:17" x14ac:dyDescent="0.3">
      <c r="A1998" t="s">
        <v>3285</v>
      </c>
      <c r="B1998" t="s">
        <v>1450</v>
      </c>
      <c r="C1998" t="s">
        <v>94</v>
      </c>
      <c r="D1998" t="s">
        <v>103</v>
      </c>
      <c r="E1998">
        <v>53</v>
      </c>
      <c r="F1998" t="s">
        <v>61</v>
      </c>
      <c r="G1998" t="s">
        <v>61</v>
      </c>
      <c r="H1998" t="s">
        <v>62</v>
      </c>
      <c r="I1998" t="s">
        <v>63</v>
      </c>
      <c r="J1998" t="s">
        <v>80</v>
      </c>
      <c r="K1998">
        <v>9</v>
      </c>
      <c r="L1998">
        <v>49300</v>
      </c>
      <c r="M1998">
        <v>25</v>
      </c>
      <c r="N1998">
        <v>332775</v>
      </c>
      <c r="O1998" t="s">
        <v>105</v>
      </c>
      <c r="P1998">
        <v>4</v>
      </c>
      <c r="Q1998" t="s">
        <v>74</v>
      </c>
    </row>
    <row r="1999" spans="1:17" x14ac:dyDescent="0.3">
      <c r="A1999" t="s">
        <v>3286</v>
      </c>
      <c r="B1999" t="s">
        <v>360</v>
      </c>
      <c r="C1999" t="s">
        <v>71</v>
      </c>
      <c r="D1999" t="s">
        <v>103</v>
      </c>
      <c r="E1999">
        <v>32</v>
      </c>
      <c r="F1999" t="s">
        <v>30</v>
      </c>
      <c r="G1999" t="s">
        <v>31</v>
      </c>
      <c r="H1999" t="s">
        <v>62</v>
      </c>
      <c r="I1999" t="s">
        <v>140</v>
      </c>
      <c r="J1999" t="s">
        <v>72</v>
      </c>
      <c r="K1999">
        <v>1</v>
      </c>
      <c r="L1999">
        <v>44800</v>
      </c>
      <c r="M1999">
        <v>5</v>
      </c>
      <c r="N1999" t="s">
        <v>3287</v>
      </c>
      <c r="O1999" t="s">
        <v>25</v>
      </c>
      <c r="P1999">
        <v>5</v>
      </c>
      <c r="Q1999" t="s">
        <v>74</v>
      </c>
    </row>
    <row r="2000" spans="1:17" x14ac:dyDescent="0.3">
      <c r="A2000" t="s">
        <v>3288</v>
      </c>
      <c r="B2000" t="s">
        <v>3289</v>
      </c>
      <c r="C2000" t="s">
        <v>88</v>
      </c>
      <c r="D2000" t="s">
        <v>83</v>
      </c>
      <c r="E2000">
        <v>51</v>
      </c>
      <c r="F2000" t="s">
        <v>427</v>
      </c>
      <c r="G2000" t="s">
        <v>95</v>
      </c>
      <c r="H2000" t="s">
        <v>32</v>
      </c>
      <c r="I2000" t="s">
        <v>53</v>
      </c>
      <c r="J2000" t="s">
        <v>64</v>
      </c>
      <c r="K2000">
        <v>2</v>
      </c>
      <c r="L2000">
        <v>46300</v>
      </c>
      <c r="M2000">
        <v>15</v>
      </c>
      <c r="N2000">
        <v>78710</v>
      </c>
      <c r="O2000" t="s">
        <v>105</v>
      </c>
      <c r="Q2000" t="s">
        <v>65</v>
      </c>
    </row>
    <row r="2001" spans="1:17" x14ac:dyDescent="0.3">
      <c r="A2001" t="s">
        <v>3290</v>
      </c>
      <c r="B2001" t="s">
        <v>1568</v>
      </c>
      <c r="C2001" t="s">
        <v>71</v>
      </c>
      <c r="D2001" t="s">
        <v>83</v>
      </c>
      <c r="E2001">
        <v>34</v>
      </c>
      <c r="F2001" t="s">
        <v>44</v>
      </c>
      <c r="G2001" t="s">
        <v>100</v>
      </c>
      <c r="H2001" t="s">
        <v>22</v>
      </c>
      <c r="I2001" t="s">
        <v>23</v>
      </c>
      <c r="J2001" t="s">
        <v>34</v>
      </c>
      <c r="K2001">
        <v>1</v>
      </c>
      <c r="L2001">
        <v>16900</v>
      </c>
      <c r="M2001">
        <v>15</v>
      </c>
      <c r="N2001">
        <v>14365</v>
      </c>
      <c r="O2001" t="s">
        <v>105</v>
      </c>
      <c r="Q2001" t="s">
        <v>26</v>
      </c>
    </row>
    <row r="2002" spans="1:17" x14ac:dyDescent="0.3">
      <c r="A2002" t="s">
        <v>279</v>
      </c>
      <c r="B2002" t="s">
        <v>280</v>
      </c>
      <c r="C2002" t="s">
        <v>29</v>
      </c>
      <c r="D2002" t="s">
        <v>103</v>
      </c>
      <c r="E2002">
        <v>65</v>
      </c>
      <c r="F2002" t="s">
        <v>61</v>
      </c>
      <c r="G2002" t="s">
        <v>61</v>
      </c>
      <c r="H2002" t="s">
        <v>62</v>
      </c>
      <c r="I2002" t="s">
        <v>140</v>
      </c>
      <c r="J2002" t="s">
        <v>34</v>
      </c>
      <c r="K2002">
        <v>4</v>
      </c>
      <c r="L2002">
        <v>30400</v>
      </c>
      <c r="M2002">
        <v>10</v>
      </c>
      <c r="N2002" t="s">
        <v>281</v>
      </c>
      <c r="O2002" t="s">
        <v>48</v>
      </c>
      <c r="P2002">
        <v>1</v>
      </c>
      <c r="Q2002" t="s">
        <v>41</v>
      </c>
    </row>
    <row r="2003" spans="1:17" x14ac:dyDescent="0.3">
      <c r="A2003" t="s">
        <v>282</v>
      </c>
      <c r="B2003" t="s">
        <v>283</v>
      </c>
      <c r="C2003" t="s">
        <v>29</v>
      </c>
      <c r="E2003">
        <v>19</v>
      </c>
      <c r="F2003" t="s">
        <v>21</v>
      </c>
      <c r="G2003" t="s">
        <v>21</v>
      </c>
      <c r="H2003" t="s">
        <v>22</v>
      </c>
      <c r="I2003" t="s">
        <v>84</v>
      </c>
      <c r="J2003" t="s">
        <v>80</v>
      </c>
      <c r="K2003">
        <v>2</v>
      </c>
      <c r="L2003">
        <v>49500</v>
      </c>
      <c r="M2003">
        <v>10</v>
      </c>
      <c r="N2003">
        <v>89100</v>
      </c>
      <c r="O2003" t="s">
        <v>25</v>
      </c>
      <c r="Q2003" t="s">
        <v>41</v>
      </c>
    </row>
    <row r="2004" spans="1:17" x14ac:dyDescent="0.3">
      <c r="A2004" t="s">
        <v>284</v>
      </c>
      <c r="B2004" t="s">
        <v>285</v>
      </c>
      <c r="C2004" t="s">
        <v>19</v>
      </c>
      <c r="D2004" t="s">
        <v>39</v>
      </c>
      <c r="E2004">
        <v>50</v>
      </c>
      <c r="F2004" t="s">
        <v>61</v>
      </c>
      <c r="G2004" t="s">
        <v>61</v>
      </c>
      <c r="H2004" t="s">
        <v>46</v>
      </c>
      <c r="I2004" t="s">
        <v>47</v>
      </c>
      <c r="J2004" t="s">
        <v>34</v>
      </c>
      <c r="K2004">
        <v>1</v>
      </c>
      <c r="L2004">
        <v>10800</v>
      </c>
      <c r="M2004">
        <v>0</v>
      </c>
      <c r="N2004">
        <v>10800</v>
      </c>
      <c r="O2004" t="s">
        <v>40</v>
      </c>
      <c r="P2004">
        <v>5</v>
      </c>
      <c r="Q2004" t="s">
        <v>41</v>
      </c>
    </row>
    <row r="2005" spans="1:17" x14ac:dyDescent="0.3">
      <c r="A2005" t="s">
        <v>286</v>
      </c>
      <c r="B2005" t="s">
        <v>287</v>
      </c>
      <c r="C2005" t="s">
        <v>94</v>
      </c>
      <c r="E2005">
        <v>32</v>
      </c>
      <c r="F2005" t="s">
        <v>61</v>
      </c>
      <c r="G2005" t="s">
        <v>61</v>
      </c>
      <c r="H2005" t="s">
        <v>46</v>
      </c>
      <c r="I2005" t="s">
        <v>79</v>
      </c>
      <c r="J2005" t="s">
        <v>24</v>
      </c>
      <c r="K2005">
        <v>2</v>
      </c>
      <c r="L2005">
        <v>2400</v>
      </c>
      <c r="M2005">
        <v>15</v>
      </c>
      <c r="N2005">
        <v>4080</v>
      </c>
      <c r="O2005" t="s">
        <v>105</v>
      </c>
      <c r="Q2005" t="s">
        <v>65</v>
      </c>
    </row>
    <row r="2006" spans="1:17" x14ac:dyDescent="0.3">
      <c r="A2006" t="s">
        <v>288</v>
      </c>
      <c r="B2006" t="s">
        <v>289</v>
      </c>
      <c r="C2006" t="s">
        <v>71</v>
      </c>
      <c r="E2006">
        <v>36</v>
      </c>
      <c r="F2006" t="s">
        <v>21</v>
      </c>
      <c r="G2006" t="s">
        <v>21</v>
      </c>
      <c r="H2006" t="s">
        <v>22</v>
      </c>
      <c r="I2006" t="s">
        <v>23</v>
      </c>
      <c r="J2006" t="s">
        <v>34</v>
      </c>
      <c r="K2006">
        <v>7</v>
      </c>
      <c r="L2006">
        <v>11800</v>
      </c>
      <c r="M2006">
        <v>25</v>
      </c>
      <c r="N2006">
        <v>61950</v>
      </c>
      <c r="O2006" t="s">
        <v>85</v>
      </c>
      <c r="Q2006" t="s">
        <v>41</v>
      </c>
    </row>
    <row r="2007" spans="1:17" x14ac:dyDescent="0.3">
      <c r="A2007" t="s">
        <v>290</v>
      </c>
      <c r="B2007" t="s">
        <v>291</v>
      </c>
      <c r="C2007" t="s">
        <v>19</v>
      </c>
      <c r="D2007" t="s">
        <v>20</v>
      </c>
      <c r="E2007">
        <v>48</v>
      </c>
      <c r="F2007" t="s">
        <v>77</v>
      </c>
      <c r="G2007" t="s">
        <v>78</v>
      </c>
      <c r="H2007" t="s">
        <v>62</v>
      </c>
      <c r="I2007" t="s">
        <v>63</v>
      </c>
      <c r="J2007" t="s">
        <v>64</v>
      </c>
      <c r="K2007">
        <v>3</v>
      </c>
      <c r="L2007">
        <v>47400</v>
      </c>
      <c r="M2007">
        <v>0</v>
      </c>
      <c r="N2007">
        <v>142200</v>
      </c>
      <c r="O2007" t="s">
        <v>25</v>
      </c>
      <c r="Q2007" t="s">
        <v>74</v>
      </c>
    </row>
    <row r="2008" spans="1:17" x14ac:dyDescent="0.3">
      <c r="A2008" t="s">
        <v>292</v>
      </c>
      <c r="B2008" t="s">
        <v>293</v>
      </c>
      <c r="C2008" t="s">
        <v>60</v>
      </c>
      <c r="E2008">
        <v>58</v>
      </c>
      <c r="F2008" t="s">
        <v>61</v>
      </c>
      <c r="G2008" t="s">
        <v>61</v>
      </c>
      <c r="H2008" t="s">
        <v>32</v>
      </c>
      <c r="I2008" t="s">
        <v>33</v>
      </c>
      <c r="J2008" t="s">
        <v>89</v>
      </c>
      <c r="K2008">
        <v>8</v>
      </c>
      <c r="L2008">
        <v>13100</v>
      </c>
      <c r="M2008">
        <v>25</v>
      </c>
      <c r="N2008">
        <v>78600</v>
      </c>
      <c r="O2008" t="s">
        <v>105</v>
      </c>
      <c r="Q2008" t="s">
        <v>74</v>
      </c>
    </row>
    <row r="2009" spans="1:17" x14ac:dyDescent="0.3">
      <c r="A2009" t="s">
        <v>294</v>
      </c>
      <c r="B2009" t="s">
        <v>295</v>
      </c>
      <c r="C2009" t="s">
        <v>94</v>
      </c>
      <c r="D2009" t="s">
        <v>39</v>
      </c>
      <c r="E2009">
        <v>32</v>
      </c>
      <c r="F2009" t="s">
        <v>61</v>
      </c>
      <c r="G2009" t="s">
        <v>61</v>
      </c>
      <c r="H2009" t="s">
        <v>46</v>
      </c>
      <c r="I2009" t="s">
        <v>79</v>
      </c>
      <c r="J2009" t="s">
        <v>24</v>
      </c>
      <c r="K2009">
        <v>8</v>
      </c>
      <c r="L2009">
        <v>31300</v>
      </c>
      <c r="M2009">
        <v>10</v>
      </c>
      <c r="N2009">
        <v>225360</v>
      </c>
      <c r="O2009" t="s">
        <v>73</v>
      </c>
      <c r="P2009">
        <v>4</v>
      </c>
      <c r="Q2009" t="s">
        <v>74</v>
      </c>
    </row>
    <row r="2010" spans="1:17" x14ac:dyDescent="0.3">
      <c r="A2010" t="s">
        <v>296</v>
      </c>
      <c r="B2010" t="s">
        <v>297</v>
      </c>
      <c r="C2010" t="s">
        <v>29</v>
      </c>
      <c r="D2010" t="s">
        <v>103</v>
      </c>
      <c r="E2010">
        <v>22</v>
      </c>
      <c r="F2010" t="s">
        <v>51</v>
      </c>
      <c r="G2010" t="s">
        <v>52</v>
      </c>
      <c r="H2010" t="s">
        <v>22</v>
      </c>
      <c r="I2010" t="s">
        <v>23</v>
      </c>
      <c r="J2010" t="s">
        <v>72</v>
      </c>
      <c r="K2010">
        <v>1</v>
      </c>
      <c r="L2010">
        <v>39900</v>
      </c>
      <c r="M2010">
        <v>20</v>
      </c>
      <c r="N2010">
        <v>31920</v>
      </c>
      <c r="O2010" t="s">
        <v>25</v>
      </c>
      <c r="P2010">
        <v>3</v>
      </c>
      <c r="Q2010" t="s">
        <v>26</v>
      </c>
    </row>
    <row r="2011" spans="1:17" x14ac:dyDescent="0.3">
      <c r="A2011" t="s">
        <v>298</v>
      </c>
      <c r="B2011" t="s">
        <v>299</v>
      </c>
      <c r="C2011" t="s">
        <v>88</v>
      </c>
      <c r="D2011" t="s">
        <v>39</v>
      </c>
      <c r="E2011">
        <v>57</v>
      </c>
      <c r="F2011" t="s">
        <v>61</v>
      </c>
      <c r="G2011" t="s">
        <v>61</v>
      </c>
      <c r="H2011" t="s">
        <v>62</v>
      </c>
      <c r="I2011" t="s">
        <v>140</v>
      </c>
      <c r="J2011" t="s">
        <v>34</v>
      </c>
      <c r="K2011">
        <v>7</v>
      </c>
      <c r="L2011">
        <v>4700</v>
      </c>
      <c r="M2011">
        <v>15</v>
      </c>
      <c r="N2011">
        <v>27965</v>
      </c>
      <c r="O2011" t="s">
        <v>25</v>
      </c>
      <c r="Q2011" t="s">
        <v>41</v>
      </c>
    </row>
    <row r="2012" spans="1:17" x14ac:dyDescent="0.3">
      <c r="A2012" t="s">
        <v>300</v>
      </c>
      <c r="B2012" t="s">
        <v>301</v>
      </c>
      <c r="C2012" t="s">
        <v>71</v>
      </c>
      <c r="E2012">
        <v>47</v>
      </c>
      <c r="F2012" t="s">
        <v>77</v>
      </c>
      <c r="G2012" t="s">
        <v>78</v>
      </c>
      <c r="H2012" t="s">
        <v>46</v>
      </c>
      <c r="I2012" t="s">
        <v>79</v>
      </c>
      <c r="J2012" t="s">
        <v>80</v>
      </c>
      <c r="K2012">
        <v>1</v>
      </c>
      <c r="L2012">
        <v>37900</v>
      </c>
      <c r="M2012">
        <v>25</v>
      </c>
      <c r="N2012">
        <v>28425</v>
      </c>
      <c r="O2012" t="s">
        <v>35</v>
      </c>
      <c r="P2012">
        <v>1</v>
      </c>
      <c r="Q2012" t="s">
        <v>41</v>
      </c>
    </row>
    <row r="2013" spans="1:17" x14ac:dyDescent="0.3">
      <c r="A2013" t="s">
        <v>302</v>
      </c>
      <c r="B2013" t="s">
        <v>303</v>
      </c>
      <c r="C2013" t="s">
        <v>113</v>
      </c>
      <c r="D2013" t="s">
        <v>83</v>
      </c>
      <c r="E2013">
        <v>63</v>
      </c>
      <c r="F2013" t="s">
        <v>44</v>
      </c>
      <c r="G2013" t="s">
        <v>100</v>
      </c>
      <c r="H2013" t="s">
        <v>62</v>
      </c>
      <c r="I2013" t="s">
        <v>140</v>
      </c>
      <c r="J2013" t="s">
        <v>64</v>
      </c>
      <c r="K2013">
        <v>4</v>
      </c>
      <c r="L2013">
        <v>2100</v>
      </c>
      <c r="M2013">
        <v>20</v>
      </c>
      <c r="N2013">
        <v>6720</v>
      </c>
      <c r="O2013" t="s">
        <v>35</v>
      </c>
      <c r="Q2013" t="s">
        <v>41</v>
      </c>
    </row>
    <row r="2014" spans="1:17" x14ac:dyDescent="0.3">
      <c r="A2014" t="s">
        <v>304</v>
      </c>
      <c r="B2014" t="s">
        <v>208</v>
      </c>
      <c r="C2014" t="s">
        <v>19</v>
      </c>
      <c r="E2014">
        <v>47</v>
      </c>
      <c r="F2014" t="s">
        <v>77</v>
      </c>
      <c r="G2014" t="s">
        <v>95</v>
      </c>
      <c r="H2014" t="s">
        <v>22</v>
      </c>
      <c r="I2014" t="s">
        <v>84</v>
      </c>
      <c r="J2014" t="s">
        <v>64</v>
      </c>
      <c r="K2014">
        <v>2</v>
      </c>
      <c r="L2014">
        <v>18200</v>
      </c>
      <c r="M2014">
        <v>5</v>
      </c>
      <c r="N2014">
        <v>34580</v>
      </c>
      <c r="O2014" t="s">
        <v>40</v>
      </c>
      <c r="P2014">
        <v>2</v>
      </c>
      <c r="Q2014" t="s">
        <v>26</v>
      </c>
    </row>
    <row r="2015" spans="1:17" x14ac:dyDescent="0.3">
      <c r="A2015" t="s">
        <v>305</v>
      </c>
      <c r="B2015" t="s">
        <v>306</v>
      </c>
      <c r="C2015" t="s">
        <v>38</v>
      </c>
      <c r="D2015" t="s">
        <v>39</v>
      </c>
      <c r="E2015">
        <v>51</v>
      </c>
      <c r="F2015" t="s">
        <v>44</v>
      </c>
      <c r="G2015" t="s">
        <v>45</v>
      </c>
      <c r="H2015" t="s">
        <v>22</v>
      </c>
      <c r="I2015" t="s">
        <v>84</v>
      </c>
      <c r="J2015" t="s">
        <v>89</v>
      </c>
      <c r="K2015">
        <v>7</v>
      </c>
      <c r="L2015">
        <v>5800</v>
      </c>
      <c r="M2015">
        <v>5</v>
      </c>
      <c r="N2015">
        <v>38570</v>
      </c>
      <c r="O2015" t="s">
        <v>48</v>
      </c>
      <c r="P2015">
        <v>4</v>
      </c>
      <c r="Q2015" t="s">
        <v>26</v>
      </c>
    </row>
    <row r="2016" spans="1:17" x14ac:dyDescent="0.3">
      <c r="A2016" t="s">
        <v>307</v>
      </c>
      <c r="B2016" t="s">
        <v>308</v>
      </c>
      <c r="C2016" t="s">
        <v>88</v>
      </c>
      <c r="D2016" t="s">
        <v>83</v>
      </c>
      <c r="E2016">
        <v>49</v>
      </c>
      <c r="F2016" t="s">
        <v>44</v>
      </c>
      <c r="G2016" t="s">
        <v>100</v>
      </c>
      <c r="H2016" t="s">
        <v>32</v>
      </c>
      <c r="I2016" t="s">
        <v>33</v>
      </c>
      <c r="J2016" t="s">
        <v>34</v>
      </c>
      <c r="K2016">
        <v>3</v>
      </c>
      <c r="L2016">
        <v>10800</v>
      </c>
      <c r="M2016">
        <v>25</v>
      </c>
      <c r="N2016">
        <v>24300</v>
      </c>
      <c r="O2016" t="s">
        <v>35</v>
      </c>
      <c r="Q2016" t="s">
        <v>41</v>
      </c>
    </row>
    <row r="2017" spans="1:17" x14ac:dyDescent="0.3">
      <c r="A2017" t="s">
        <v>309</v>
      </c>
      <c r="B2017" t="s">
        <v>139</v>
      </c>
      <c r="C2017" t="s">
        <v>88</v>
      </c>
      <c r="D2017" t="s">
        <v>20</v>
      </c>
      <c r="E2017">
        <v>32</v>
      </c>
      <c r="F2017" t="s">
        <v>30</v>
      </c>
      <c r="G2017" t="s">
        <v>57</v>
      </c>
      <c r="H2017" t="s">
        <v>46</v>
      </c>
      <c r="I2017" t="s">
        <v>79</v>
      </c>
      <c r="J2017" t="s">
        <v>64</v>
      </c>
      <c r="K2017">
        <v>8</v>
      </c>
      <c r="L2017">
        <v>34500</v>
      </c>
      <c r="M2017">
        <v>20</v>
      </c>
      <c r="N2017">
        <v>220800</v>
      </c>
      <c r="O2017" t="s">
        <v>85</v>
      </c>
      <c r="P2017">
        <v>1</v>
      </c>
      <c r="Q2017" t="s">
        <v>65</v>
      </c>
    </row>
    <row r="2018" spans="1:17" x14ac:dyDescent="0.3">
      <c r="A2018" t="s">
        <v>310</v>
      </c>
      <c r="B2018" t="s">
        <v>311</v>
      </c>
      <c r="C2018" t="s">
        <v>68</v>
      </c>
      <c r="D2018" t="s">
        <v>103</v>
      </c>
      <c r="E2018">
        <v>38</v>
      </c>
      <c r="F2018" t="s">
        <v>61</v>
      </c>
      <c r="G2018" t="s">
        <v>61</v>
      </c>
      <c r="H2018" t="s">
        <v>22</v>
      </c>
      <c r="I2018" t="s">
        <v>23</v>
      </c>
      <c r="J2018" t="s">
        <v>80</v>
      </c>
      <c r="K2018">
        <v>9</v>
      </c>
      <c r="L2018">
        <v>50000</v>
      </c>
      <c r="M2018">
        <v>10</v>
      </c>
      <c r="N2018">
        <v>405000</v>
      </c>
      <c r="O2018" t="s">
        <v>85</v>
      </c>
      <c r="P2018">
        <v>3</v>
      </c>
      <c r="Q2018" t="s">
        <v>26</v>
      </c>
    </row>
    <row r="2019" spans="1:17" x14ac:dyDescent="0.3">
      <c r="A2019" t="s">
        <v>312</v>
      </c>
      <c r="B2019" t="s">
        <v>313</v>
      </c>
      <c r="C2019" t="s">
        <v>29</v>
      </c>
      <c r="D2019" t="s">
        <v>83</v>
      </c>
      <c r="E2019">
        <v>-3</v>
      </c>
      <c r="F2019" t="s">
        <v>30</v>
      </c>
      <c r="G2019" t="s">
        <v>31</v>
      </c>
      <c r="H2019" t="s">
        <v>22</v>
      </c>
      <c r="I2019" t="s">
        <v>84</v>
      </c>
      <c r="J2019" t="s">
        <v>89</v>
      </c>
      <c r="K2019">
        <v>10</v>
      </c>
      <c r="L2019">
        <v>40400</v>
      </c>
      <c r="M2019">
        <v>15</v>
      </c>
      <c r="N2019">
        <v>343400</v>
      </c>
      <c r="O2019" t="s">
        <v>73</v>
      </c>
      <c r="P2019">
        <v>1</v>
      </c>
      <c r="Q2019" t="s">
        <v>74</v>
      </c>
    </row>
    <row r="2020" spans="1:17" x14ac:dyDescent="0.3">
      <c r="A2020" t="s">
        <v>314</v>
      </c>
      <c r="B2020" t="s">
        <v>315</v>
      </c>
      <c r="C2020" t="s">
        <v>68</v>
      </c>
      <c r="D2020" t="s">
        <v>20</v>
      </c>
      <c r="E2020">
        <v>60</v>
      </c>
      <c r="F2020" t="s">
        <v>30</v>
      </c>
      <c r="G2020" t="s">
        <v>57</v>
      </c>
      <c r="H2020" t="s">
        <v>22</v>
      </c>
      <c r="I2020" t="s">
        <v>23</v>
      </c>
      <c r="J2020" t="s">
        <v>72</v>
      </c>
      <c r="K2020">
        <v>8</v>
      </c>
      <c r="L2020">
        <v>40300</v>
      </c>
      <c r="M2020">
        <v>25</v>
      </c>
      <c r="N2020">
        <v>241800</v>
      </c>
      <c r="O2020" t="s">
        <v>25</v>
      </c>
      <c r="P2020">
        <v>1</v>
      </c>
      <c r="Q2020" t="s">
        <v>65</v>
      </c>
    </row>
    <row r="2021" spans="1:17" x14ac:dyDescent="0.3">
      <c r="A2021" t="s">
        <v>316</v>
      </c>
      <c r="B2021" t="s">
        <v>317</v>
      </c>
      <c r="C2021" t="s">
        <v>94</v>
      </c>
      <c r="D2021" t="s">
        <v>83</v>
      </c>
      <c r="E2021">
        <v>49</v>
      </c>
      <c r="F2021" t="s">
        <v>77</v>
      </c>
      <c r="G2021" t="s">
        <v>78</v>
      </c>
      <c r="H2021" t="s">
        <v>32</v>
      </c>
      <c r="I2021" t="s">
        <v>53</v>
      </c>
      <c r="J2021" t="s">
        <v>72</v>
      </c>
      <c r="K2021">
        <v>9</v>
      </c>
      <c r="L2021">
        <v>18400</v>
      </c>
      <c r="M2021">
        <v>20</v>
      </c>
      <c r="N2021">
        <v>132480</v>
      </c>
      <c r="O2021" t="s">
        <v>162</v>
      </c>
      <c r="P2021">
        <v>5</v>
      </c>
      <c r="Q2021"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CCDA7-D7E5-4B9D-87DC-DF93F8CCF560}">
  <sheetPr codeName="Sheet3"/>
  <dimension ref="A1:R1534"/>
  <sheetViews>
    <sheetView topLeftCell="D1" zoomScaleNormal="100" workbookViewId="0">
      <selection activeCell="R9" sqref="R9"/>
    </sheetView>
  </sheetViews>
  <sheetFormatPr defaultRowHeight="14.4" x14ac:dyDescent="0.3"/>
  <cols>
    <col min="1" max="1" width="10.21875" bestFit="1" customWidth="1"/>
    <col min="2" max="2" width="12.33203125" bestFit="1" customWidth="1"/>
    <col min="3" max="3" width="16.88671875" bestFit="1" customWidth="1"/>
    <col min="4" max="4" width="9.33203125" bestFit="1" customWidth="1"/>
    <col min="5" max="5" width="6.44140625" bestFit="1" customWidth="1"/>
    <col min="6" max="6" width="7.5546875" bestFit="1" customWidth="1"/>
    <col min="7" max="7" width="12.109375" bestFit="1" customWidth="1"/>
    <col min="8" max="8" width="18" bestFit="1" customWidth="1"/>
    <col min="9" max="9" width="15.44140625" bestFit="1" customWidth="1"/>
    <col min="10" max="10" width="20.6640625" bestFit="1" customWidth="1"/>
    <col min="11" max="11" width="10.5546875" bestFit="1" customWidth="1"/>
    <col min="12" max="12" width="11.33203125" style="4" bestFit="1" customWidth="1"/>
    <col min="13" max="13" width="13.77734375" bestFit="1" customWidth="1"/>
    <col min="14" max="14" width="15.33203125" style="4" bestFit="1" customWidth="1"/>
    <col min="15" max="15" width="18.109375" bestFit="1" customWidth="1"/>
    <col min="16" max="16" width="17.21875" bestFit="1" customWidth="1"/>
    <col min="17" max="17" width="15.77734375" bestFit="1" customWidth="1"/>
    <col min="18" max="18" width="15.109375" bestFit="1" customWidth="1"/>
  </cols>
  <sheetData>
    <row r="1" spans="1:18" x14ac:dyDescent="0.3">
      <c r="A1" t="s">
        <v>0</v>
      </c>
      <c r="B1" t="s">
        <v>1</v>
      </c>
      <c r="C1" t="s">
        <v>2</v>
      </c>
      <c r="D1" t="s">
        <v>3</v>
      </c>
      <c r="E1" t="s">
        <v>4</v>
      </c>
      <c r="F1" t="s">
        <v>5</v>
      </c>
      <c r="G1" t="s">
        <v>6</v>
      </c>
      <c r="H1" t="s">
        <v>7</v>
      </c>
      <c r="I1" t="s">
        <v>8</v>
      </c>
      <c r="J1" t="s">
        <v>9</v>
      </c>
      <c r="K1" t="s">
        <v>10</v>
      </c>
      <c r="L1" s="4" t="s">
        <v>11</v>
      </c>
      <c r="M1" t="s">
        <v>12</v>
      </c>
      <c r="N1" s="4" t="s">
        <v>13</v>
      </c>
      <c r="O1" t="s">
        <v>14</v>
      </c>
      <c r="P1" t="s">
        <v>15</v>
      </c>
      <c r="Q1" t="s">
        <v>16</v>
      </c>
      <c r="R1" t="s">
        <v>3291</v>
      </c>
    </row>
    <row r="2" spans="1:18" x14ac:dyDescent="0.3">
      <c r="A2" t="s">
        <v>17</v>
      </c>
      <c r="B2" s="1">
        <v>45971</v>
      </c>
      <c r="C2" t="s">
        <v>19</v>
      </c>
      <c r="D2" t="s">
        <v>20</v>
      </c>
      <c r="E2">
        <v>22</v>
      </c>
      <c r="F2" t="s">
        <v>21</v>
      </c>
      <c r="G2" t="s">
        <v>21</v>
      </c>
      <c r="H2" t="s">
        <v>22</v>
      </c>
      <c r="I2" t="s">
        <v>23</v>
      </c>
      <c r="J2" t="s">
        <v>24</v>
      </c>
      <c r="K2">
        <v>7</v>
      </c>
      <c r="L2" s="4">
        <v>26500</v>
      </c>
      <c r="M2">
        <v>0</v>
      </c>
      <c r="N2" s="4">
        <v>185500</v>
      </c>
      <c r="O2" t="s">
        <v>25</v>
      </c>
      <c r="Q2" t="s">
        <v>26</v>
      </c>
      <c r="R2">
        <v>0</v>
      </c>
    </row>
    <row r="3" spans="1:18" x14ac:dyDescent="0.3">
      <c r="A3" t="s">
        <v>49</v>
      </c>
      <c r="B3" s="1">
        <v>45712</v>
      </c>
      <c r="C3" t="s">
        <v>19</v>
      </c>
      <c r="D3" t="s">
        <v>3292</v>
      </c>
      <c r="E3">
        <v>24</v>
      </c>
      <c r="F3" t="s">
        <v>51</v>
      </c>
      <c r="G3" t="s">
        <v>52</v>
      </c>
      <c r="H3" t="s">
        <v>32</v>
      </c>
      <c r="I3" t="s">
        <v>53</v>
      </c>
      <c r="J3" t="s">
        <v>34</v>
      </c>
      <c r="K3">
        <v>10</v>
      </c>
      <c r="L3" s="4">
        <v>3600</v>
      </c>
      <c r="M3">
        <v>20</v>
      </c>
      <c r="N3" s="4">
        <v>28800</v>
      </c>
      <c r="O3" t="s">
        <v>25</v>
      </c>
      <c r="P3">
        <v>5</v>
      </c>
      <c r="Q3" t="s">
        <v>41</v>
      </c>
      <c r="R3">
        <v>1</v>
      </c>
    </row>
    <row r="4" spans="1:18" x14ac:dyDescent="0.3">
      <c r="A4" t="s">
        <v>54</v>
      </c>
      <c r="B4" s="1">
        <v>46138</v>
      </c>
      <c r="C4" t="s">
        <v>29</v>
      </c>
      <c r="D4" t="s">
        <v>3292</v>
      </c>
      <c r="E4">
        <v>44</v>
      </c>
      <c r="F4" t="s">
        <v>30</v>
      </c>
      <c r="G4" t="s">
        <v>57</v>
      </c>
      <c r="H4" t="s">
        <v>46</v>
      </c>
      <c r="I4" t="s">
        <v>47</v>
      </c>
      <c r="J4" t="s">
        <v>24</v>
      </c>
      <c r="K4">
        <v>3</v>
      </c>
      <c r="L4" s="4">
        <v>46300</v>
      </c>
      <c r="M4">
        <v>0</v>
      </c>
      <c r="N4" s="4">
        <v>138900</v>
      </c>
      <c r="O4" t="s">
        <v>25</v>
      </c>
      <c r="P4">
        <v>1</v>
      </c>
      <c r="Q4" t="s">
        <v>41</v>
      </c>
      <c r="R4">
        <v>1</v>
      </c>
    </row>
    <row r="5" spans="1:18" x14ac:dyDescent="0.3">
      <c r="A5" t="s">
        <v>58</v>
      </c>
      <c r="B5" s="1">
        <v>46194</v>
      </c>
      <c r="C5" t="s">
        <v>60</v>
      </c>
      <c r="D5" t="s">
        <v>3292</v>
      </c>
      <c r="E5">
        <v>39</v>
      </c>
      <c r="F5" t="s">
        <v>61</v>
      </c>
      <c r="G5" t="s">
        <v>61</v>
      </c>
      <c r="H5" t="s">
        <v>62</v>
      </c>
      <c r="I5" t="s">
        <v>63</v>
      </c>
      <c r="J5" t="s">
        <v>64</v>
      </c>
      <c r="K5">
        <v>1</v>
      </c>
      <c r="L5" s="4">
        <v>48800</v>
      </c>
      <c r="M5">
        <v>25</v>
      </c>
      <c r="N5" s="4">
        <v>36600</v>
      </c>
      <c r="O5" t="s">
        <v>85</v>
      </c>
      <c r="P5">
        <v>3</v>
      </c>
      <c r="Q5" t="s">
        <v>65</v>
      </c>
      <c r="R5">
        <v>0</v>
      </c>
    </row>
    <row r="6" spans="1:18" x14ac:dyDescent="0.3">
      <c r="A6" t="s">
        <v>66</v>
      </c>
      <c r="B6" s="1">
        <v>45960</v>
      </c>
      <c r="C6" t="s">
        <v>68</v>
      </c>
      <c r="D6" t="s">
        <v>3292</v>
      </c>
      <c r="E6">
        <v>37</v>
      </c>
      <c r="F6" t="s">
        <v>44</v>
      </c>
      <c r="G6" t="s">
        <v>45</v>
      </c>
      <c r="H6" t="s">
        <v>32</v>
      </c>
      <c r="I6" t="s">
        <v>53</v>
      </c>
      <c r="J6" t="s">
        <v>24</v>
      </c>
      <c r="K6">
        <v>3</v>
      </c>
      <c r="L6" s="4">
        <v>26200</v>
      </c>
      <c r="M6">
        <v>10</v>
      </c>
      <c r="N6" s="4">
        <v>70740</v>
      </c>
      <c r="O6" t="s">
        <v>85</v>
      </c>
      <c r="Q6" t="s">
        <v>65</v>
      </c>
      <c r="R6">
        <v>0</v>
      </c>
    </row>
    <row r="7" spans="1:18" x14ac:dyDescent="0.3">
      <c r="A7" t="s">
        <v>69</v>
      </c>
      <c r="B7" s="1">
        <v>45789</v>
      </c>
      <c r="C7" t="s">
        <v>71</v>
      </c>
      <c r="D7" t="s">
        <v>39</v>
      </c>
      <c r="E7">
        <v>61</v>
      </c>
      <c r="F7" t="s">
        <v>61</v>
      </c>
      <c r="G7" t="s">
        <v>61</v>
      </c>
      <c r="H7" t="s">
        <v>46</v>
      </c>
      <c r="I7" t="s">
        <v>47</v>
      </c>
      <c r="J7" t="s">
        <v>72</v>
      </c>
      <c r="K7">
        <v>2</v>
      </c>
      <c r="L7" s="4">
        <v>35400</v>
      </c>
      <c r="M7">
        <v>15</v>
      </c>
      <c r="N7" s="4">
        <v>60180</v>
      </c>
      <c r="O7" t="s">
        <v>73</v>
      </c>
      <c r="P7">
        <v>2</v>
      </c>
      <c r="Q7" t="s">
        <v>74</v>
      </c>
      <c r="R7">
        <v>0</v>
      </c>
    </row>
    <row r="8" spans="1:18" x14ac:dyDescent="0.3">
      <c r="A8" t="s">
        <v>81</v>
      </c>
      <c r="B8" s="1">
        <v>45739</v>
      </c>
      <c r="C8" t="s">
        <v>38</v>
      </c>
      <c r="D8" t="s">
        <v>20</v>
      </c>
      <c r="E8">
        <v>47</v>
      </c>
      <c r="F8" t="s">
        <v>77</v>
      </c>
      <c r="G8" t="s">
        <v>78</v>
      </c>
      <c r="H8" t="s">
        <v>22</v>
      </c>
      <c r="I8" t="s">
        <v>84</v>
      </c>
      <c r="J8" t="s">
        <v>34</v>
      </c>
      <c r="K8">
        <v>5</v>
      </c>
      <c r="L8" s="4">
        <v>37800</v>
      </c>
      <c r="M8">
        <v>10</v>
      </c>
      <c r="N8" s="4">
        <v>170100</v>
      </c>
      <c r="O8" t="s">
        <v>85</v>
      </c>
      <c r="P8">
        <v>2</v>
      </c>
      <c r="Q8" t="s">
        <v>26</v>
      </c>
      <c r="R8">
        <v>0</v>
      </c>
    </row>
    <row r="9" spans="1:18" x14ac:dyDescent="0.3">
      <c r="A9" t="s">
        <v>86</v>
      </c>
      <c r="B9" s="1">
        <v>46187</v>
      </c>
      <c r="C9" t="s">
        <v>88</v>
      </c>
      <c r="D9" t="s">
        <v>39</v>
      </c>
      <c r="E9">
        <v>34</v>
      </c>
      <c r="F9" t="s">
        <v>21</v>
      </c>
      <c r="G9" t="s">
        <v>21</v>
      </c>
      <c r="H9" t="s">
        <v>32</v>
      </c>
      <c r="I9" t="s">
        <v>33</v>
      </c>
      <c r="J9" t="s">
        <v>89</v>
      </c>
      <c r="K9">
        <v>3</v>
      </c>
      <c r="L9" s="4">
        <v>31600</v>
      </c>
      <c r="M9">
        <v>15</v>
      </c>
      <c r="N9" s="4">
        <v>80580</v>
      </c>
      <c r="O9" t="s">
        <v>85</v>
      </c>
      <c r="P9">
        <v>4</v>
      </c>
      <c r="Q9" t="s">
        <v>65</v>
      </c>
      <c r="R9">
        <v>0</v>
      </c>
    </row>
    <row r="10" spans="1:18" x14ac:dyDescent="0.3">
      <c r="A10" t="s">
        <v>90</v>
      </c>
      <c r="B10" s="1">
        <v>46144</v>
      </c>
      <c r="C10" t="s">
        <v>29</v>
      </c>
      <c r="D10" t="s">
        <v>20</v>
      </c>
      <c r="E10">
        <v>31</v>
      </c>
      <c r="F10" t="s">
        <v>30</v>
      </c>
      <c r="G10" t="s">
        <v>57</v>
      </c>
      <c r="H10" t="s">
        <v>46</v>
      </c>
      <c r="I10" t="s">
        <v>79</v>
      </c>
      <c r="J10" t="s">
        <v>89</v>
      </c>
      <c r="K10">
        <v>10</v>
      </c>
      <c r="L10" s="4">
        <v>43900</v>
      </c>
      <c r="M10">
        <v>25</v>
      </c>
      <c r="N10" s="4">
        <v>329250</v>
      </c>
      <c r="O10" t="s">
        <v>73</v>
      </c>
      <c r="P10">
        <v>5</v>
      </c>
      <c r="Q10" t="s">
        <v>41</v>
      </c>
      <c r="R10">
        <v>1</v>
      </c>
    </row>
    <row r="11" spans="1:18" x14ac:dyDescent="0.3">
      <c r="A11" t="s">
        <v>92</v>
      </c>
      <c r="B11" s="1">
        <v>46298</v>
      </c>
      <c r="C11" t="s">
        <v>94</v>
      </c>
      <c r="D11" t="s">
        <v>20</v>
      </c>
      <c r="E11">
        <v>58</v>
      </c>
      <c r="F11" t="s">
        <v>77</v>
      </c>
      <c r="G11" t="s">
        <v>95</v>
      </c>
      <c r="H11" t="s">
        <v>22</v>
      </c>
      <c r="I11" t="s">
        <v>23</v>
      </c>
      <c r="J11" t="s">
        <v>34</v>
      </c>
      <c r="K11">
        <v>9</v>
      </c>
      <c r="L11" s="4">
        <v>3300</v>
      </c>
      <c r="M11">
        <v>15</v>
      </c>
      <c r="N11" s="4">
        <v>25245</v>
      </c>
      <c r="O11" t="s">
        <v>85</v>
      </c>
      <c r="P11">
        <v>2</v>
      </c>
      <c r="Q11" t="s">
        <v>65</v>
      </c>
      <c r="R11">
        <v>0</v>
      </c>
    </row>
    <row r="12" spans="1:18" x14ac:dyDescent="0.3">
      <c r="A12" t="s">
        <v>98</v>
      </c>
      <c r="B12" s="1">
        <v>46196</v>
      </c>
      <c r="C12" t="s">
        <v>94</v>
      </c>
      <c r="D12" t="s">
        <v>20</v>
      </c>
      <c r="E12">
        <v>47</v>
      </c>
      <c r="F12" t="s">
        <v>44</v>
      </c>
      <c r="G12" t="s">
        <v>100</v>
      </c>
      <c r="H12" t="s">
        <v>32</v>
      </c>
      <c r="I12" t="s">
        <v>53</v>
      </c>
      <c r="J12" t="s">
        <v>72</v>
      </c>
      <c r="K12">
        <v>4</v>
      </c>
      <c r="L12" s="4">
        <v>31600</v>
      </c>
      <c r="M12">
        <v>5</v>
      </c>
      <c r="N12" s="4">
        <v>120080</v>
      </c>
      <c r="O12" t="s">
        <v>85</v>
      </c>
      <c r="P12">
        <v>1</v>
      </c>
      <c r="Q12" t="s">
        <v>65</v>
      </c>
      <c r="R12">
        <v>0</v>
      </c>
    </row>
    <row r="13" spans="1:18" x14ac:dyDescent="0.3">
      <c r="A13" t="s">
        <v>101</v>
      </c>
      <c r="B13" s="1">
        <v>46122</v>
      </c>
      <c r="C13" t="s">
        <v>88</v>
      </c>
      <c r="D13" t="s">
        <v>39</v>
      </c>
      <c r="E13">
        <v>24</v>
      </c>
      <c r="F13" t="s">
        <v>51</v>
      </c>
      <c r="G13" t="s">
        <v>104</v>
      </c>
      <c r="H13" t="s">
        <v>46</v>
      </c>
      <c r="I13" t="s">
        <v>47</v>
      </c>
      <c r="J13" t="s">
        <v>34</v>
      </c>
      <c r="K13">
        <v>3</v>
      </c>
      <c r="L13" s="4">
        <v>42800</v>
      </c>
      <c r="M13">
        <v>0</v>
      </c>
      <c r="N13" s="4">
        <v>128400</v>
      </c>
      <c r="O13" t="s">
        <v>25</v>
      </c>
      <c r="Q13" t="s">
        <v>26</v>
      </c>
      <c r="R13">
        <v>0</v>
      </c>
    </row>
    <row r="14" spans="1:18" x14ac:dyDescent="0.3">
      <c r="A14" t="s">
        <v>108</v>
      </c>
      <c r="B14" s="1">
        <v>45922</v>
      </c>
      <c r="C14" t="s">
        <v>68</v>
      </c>
      <c r="D14" t="s">
        <v>20</v>
      </c>
      <c r="E14">
        <v>51</v>
      </c>
      <c r="F14" t="s">
        <v>61</v>
      </c>
      <c r="G14" t="s">
        <v>61</v>
      </c>
      <c r="H14" t="s">
        <v>32</v>
      </c>
      <c r="I14" t="s">
        <v>33</v>
      </c>
      <c r="J14" t="s">
        <v>24</v>
      </c>
      <c r="K14">
        <v>3</v>
      </c>
      <c r="L14" s="4">
        <v>4600</v>
      </c>
      <c r="M14">
        <v>0</v>
      </c>
      <c r="N14" s="4">
        <v>13800</v>
      </c>
      <c r="O14" t="s">
        <v>73</v>
      </c>
      <c r="P14">
        <v>1</v>
      </c>
      <c r="Q14" t="s">
        <v>41</v>
      </c>
      <c r="R14">
        <v>1</v>
      </c>
    </row>
    <row r="15" spans="1:18" x14ac:dyDescent="0.3">
      <c r="A15" t="s">
        <v>111</v>
      </c>
      <c r="B15" s="1">
        <v>46031</v>
      </c>
      <c r="C15" t="s">
        <v>113</v>
      </c>
      <c r="D15" t="s">
        <v>39</v>
      </c>
      <c r="E15">
        <v>65</v>
      </c>
      <c r="F15" t="s">
        <v>51</v>
      </c>
      <c r="G15" t="s">
        <v>104</v>
      </c>
      <c r="H15" t="s">
        <v>62</v>
      </c>
      <c r="I15" t="s">
        <v>63</v>
      </c>
      <c r="J15" t="s">
        <v>64</v>
      </c>
      <c r="K15">
        <v>2</v>
      </c>
      <c r="L15" s="4">
        <v>14800</v>
      </c>
      <c r="M15">
        <v>5</v>
      </c>
      <c r="N15" s="4">
        <v>28120</v>
      </c>
      <c r="O15" t="s">
        <v>85</v>
      </c>
      <c r="Q15" t="s">
        <v>74</v>
      </c>
      <c r="R15">
        <v>0</v>
      </c>
    </row>
    <row r="16" spans="1:18" x14ac:dyDescent="0.3">
      <c r="A16" t="s">
        <v>114</v>
      </c>
      <c r="B16" s="1">
        <v>45875</v>
      </c>
      <c r="C16" t="s">
        <v>113</v>
      </c>
      <c r="D16" t="s">
        <v>20</v>
      </c>
      <c r="E16">
        <v>57</v>
      </c>
      <c r="F16" t="s">
        <v>21</v>
      </c>
      <c r="G16" t="s">
        <v>21</v>
      </c>
      <c r="H16" t="s">
        <v>22</v>
      </c>
      <c r="I16" t="s">
        <v>23</v>
      </c>
      <c r="J16" t="s">
        <v>89</v>
      </c>
      <c r="K16">
        <v>1</v>
      </c>
      <c r="L16" s="4">
        <v>47000</v>
      </c>
      <c r="M16">
        <v>15</v>
      </c>
      <c r="N16" s="4">
        <v>39950</v>
      </c>
      <c r="O16" t="s">
        <v>73</v>
      </c>
      <c r="Q16" t="s">
        <v>65</v>
      </c>
      <c r="R16">
        <v>0</v>
      </c>
    </row>
    <row r="17" spans="1:18" x14ac:dyDescent="0.3">
      <c r="A17" t="s">
        <v>117</v>
      </c>
      <c r="B17" s="1">
        <v>45856</v>
      </c>
      <c r="C17" t="s">
        <v>29</v>
      </c>
      <c r="D17" t="s">
        <v>39</v>
      </c>
      <c r="E17">
        <v>63</v>
      </c>
      <c r="F17" t="s">
        <v>51</v>
      </c>
      <c r="G17" t="s">
        <v>52</v>
      </c>
      <c r="H17" t="s">
        <v>22</v>
      </c>
      <c r="I17" t="s">
        <v>23</v>
      </c>
      <c r="J17" t="s">
        <v>24</v>
      </c>
      <c r="K17">
        <v>2</v>
      </c>
      <c r="L17" s="4">
        <v>18000</v>
      </c>
      <c r="M17">
        <v>10</v>
      </c>
      <c r="N17" s="4">
        <v>32400</v>
      </c>
      <c r="O17" t="s">
        <v>73</v>
      </c>
      <c r="P17">
        <v>4</v>
      </c>
      <c r="Q17" t="s">
        <v>26</v>
      </c>
      <c r="R17">
        <v>0</v>
      </c>
    </row>
    <row r="18" spans="1:18" x14ac:dyDescent="0.3">
      <c r="A18" t="s">
        <v>119</v>
      </c>
      <c r="B18" s="1">
        <v>45991</v>
      </c>
      <c r="C18" t="s">
        <v>121</v>
      </c>
      <c r="D18" t="s">
        <v>39</v>
      </c>
      <c r="E18">
        <v>30</v>
      </c>
      <c r="F18" t="s">
        <v>51</v>
      </c>
      <c r="G18" t="s">
        <v>104</v>
      </c>
      <c r="H18" t="s">
        <v>62</v>
      </c>
      <c r="I18" t="s">
        <v>63</v>
      </c>
      <c r="J18" t="s">
        <v>80</v>
      </c>
      <c r="K18">
        <v>6</v>
      </c>
      <c r="L18" s="4">
        <v>2700</v>
      </c>
      <c r="M18">
        <v>25</v>
      </c>
      <c r="N18" s="4">
        <v>12150</v>
      </c>
      <c r="O18" t="s">
        <v>85</v>
      </c>
      <c r="P18">
        <v>2</v>
      </c>
      <c r="Q18" t="s">
        <v>41</v>
      </c>
      <c r="R18">
        <v>1</v>
      </c>
    </row>
    <row r="19" spans="1:18" x14ac:dyDescent="0.3">
      <c r="A19" t="s">
        <v>122</v>
      </c>
      <c r="B19" s="1">
        <v>45757</v>
      </c>
      <c r="C19" t="s">
        <v>121</v>
      </c>
      <c r="D19" t="s">
        <v>3292</v>
      </c>
      <c r="E19">
        <v>49</v>
      </c>
      <c r="F19" t="s">
        <v>61</v>
      </c>
      <c r="G19" t="s">
        <v>61</v>
      </c>
      <c r="H19" t="s">
        <v>46</v>
      </c>
      <c r="I19" t="s">
        <v>47</v>
      </c>
      <c r="J19" t="s">
        <v>24</v>
      </c>
      <c r="K19">
        <v>8</v>
      </c>
      <c r="L19" s="4">
        <v>20600</v>
      </c>
      <c r="M19">
        <v>20</v>
      </c>
      <c r="N19" s="4">
        <v>131840</v>
      </c>
      <c r="O19" t="s">
        <v>85</v>
      </c>
      <c r="P19">
        <v>1</v>
      </c>
      <c r="Q19" t="s">
        <v>26</v>
      </c>
      <c r="R19">
        <v>0</v>
      </c>
    </row>
    <row r="20" spans="1:18" x14ac:dyDescent="0.3">
      <c r="A20" t="s">
        <v>124</v>
      </c>
      <c r="B20" s="1">
        <v>45950</v>
      </c>
      <c r="C20" t="s">
        <v>71</v>
      </c>
      <c r="D20" t="s">
        <v>3292</v>
      </c>
      <c r="E20">
        <v>28</v>
      </c>
      <c r="F20" t="s">
        <v>44</v>
      </c>
      <c r="G20" t="s">
        <v>45</v>
      </c>
      <c r="H20" t="s">
        <v>46</v>
      </c>
      <c r="I20" t="s">
        <v>47</v>
      </c>
      <c r="J20" t="s">
        <v>64</v>
      </c>
      <c r="K20">
        <v>1</v>
      </c>
      <c r="L20" s="4">
        <v>5300</v>
      </c>
      <c r="M20">
        <v>15</v>
      </c>
      <c r="N20" s="4">
        <v>4505</v>
      </c>
      <c r="O20" t="s">
        <v>25</v>
      </c>
      <c r="P20">
        <v>4</v>
      </c>
      <c r="Q20" t="s">
        <v>74</v>
      </c>
      <c r="R20">
        <v>0</v>
      </c>
    </row>
    <row r="21" spans="1:18" x14ac:dyDescent="0.3">
      <c r="A21" t="s">
        <v>126</v>
      </c>
      <c r="B21" s="1">
        <v>45834</v>
      </c>
      <c r="C21" t="s">
        <v>94</v>
      </c>
      <c r="D21" t="s">
        <v>39</v>
      </c>
      <c r="E21">
        <v>24</v>
      </c>
      <c r="F21" t="s">
        <v>77</v>
      </c>
      <c r="G21" t="s">
        <v>78</v>
      </c>
      <c r="H21" t="s">
        <v>46</v>
      </c>
      <c r="I21" t="s">
        <v>47</v>
      </c>
      <c r="J21" t="s">
        <v>24</v>
      </c>
      <c r="K21">
        <v>6</v>
      </c>
      <c r="L21" s="4">
        <v>2900</v>
      </c>
      <c r="M21">
        <v>10</v>
      </c>
      <c r="N21" s="4">
        <v>15660</v>
      </c>
      <c r="O21" t="s">
        <v>25</v>
      </c>
      <c r="P21">
        <v>4</v>
      </c>
      <c r="Q21" t="s">
        <v>74</v>
      </c>
      <c r="R21">
        <v>0</v>
      </c>
    </row>
    <row r="22" spans="1:18" x14ac:dyDescent="0.3">
      <c r="A22" t="s">
        <v>128</v>
      </c>
      <c r="B22" s="1">
        <v>45711</v>
      </c>
      <c r="C22" t="s">
        <v>60</v>
      </c>
      <c r="D22" t="s">
        <v>39</v>
      </c>
      <c r="E22">
        <v>40</v>
      </c>
      <c r="F22" t="s">
        <v>77</v>
      </c>
      <c r="G22" t="s">
        <v>95</v>
      </c>
      <c r="H22" t="s">
        <v>22</v>
      </c>
      <c r="I22" t="s">
        <v>23</v>
      </c>
      <c r="J22" t="s">
        <v>89</v>
      </c>
      <c r="K22">
        <v>6</v>
      </c>
      <c r="L22" s="4">
        <v>40600</v>
      </c>
      <c r="M22">
        <v>15</v>
      </c>
      <c r="N22" s="4">
        <v>207060</v>
      </c>
      <c r="O22" t="s">
        <v>73</v>
      </c>
      <c r="P22">
        <v>1</v>
      </c>
      <c r="Q22" t="s">
        <v>65</v>
      </c>
      <c r="R22">
        <v>0</v>
      </c>
    </row>
    <row r="23" spans="1:18" x14ac:dyDescent="0.3">
      <c r="A23" t="s">
        <v>130</v>
      </c>
      <c r="B23" s="1">
        <v>46147</v>
      </c>
      <c r="C23" t="s">
        <v>19</v>
      </c>
      <c r="D23" t="s">
        <v>39</v>
      </c>
      <c r="E23">
        <v>22</v>
      </c>
      <c r="F23" t="s">
        <v>44</v>
      </c>
      <c r="G23" t="s">
        <v>45</v>
      </c>
      <c r="H23" t="s">
        <v>22</v>
      </c>
      <c r="I23" t="s">
        <v>84</v>
      </c>
      <c r="J23" t="s">
        <v>72</v>
      </c>
      <c r="K23">
        <v>3</v>
      </c>
      <c r="L23" s="4">
        <v>22000</v>
      </c>
      <c r="M23">
        <v>25</v>
      </c>
      <c r="N23" s="4">
        <v>49500</v>
      </c>
      <c r="O23" t="s">
        <v>73</v>
      </c>
      <c r="Q23" t="s">
        <v>26</v>
      </c>
      <c r="R23">
        <v>0</v>
      </c>
    </row>
    <row r="24" spans="1:18" x14ac:dyDescent="0.3">
      <c r="A24" t="s">
        <v>132</v>
      </c>
      <c r="B24" s="1">
        <v>46109</v>
      </c>
      <c r="C24" t="s">
        <v>121</v>
      </c>
      <c r="D24" t="s">
        <v>20</v>
      </c>
      <c r="E24">
        <v>29</v>
      </c>
      <c r="F24" t="s">
        <v>21</v>
      </c>
      <c r="G24" t="s">
        <v>21</v>
      </c>
      <c r="H24" t="s">
        <v>46</v>
      </c>
      <c r="I24" t="s">
        <v>79</v>
      </c>
      <c r="J24" t="s">
        <v>89</v>
      </c>
      <c r="K24">
        <v>8</v>
      </c>
      <c r="L24" s="4">
        <v>38100</v>
      </c>
      <c r="M24">
        <v>0</v>
      </c>
      <c r="N24" s="4">
        <v>304800</v>
      </c>
      <c r="O24" t="s">
        <v>73</v>
      </c>
      <c r="P24">
        <v>2</v>
      </c>
      <c r="Q24" t="s">
        <v>26</v>
      </c>
      <c r="R24">
        <v>0</v>
      </c>
    </row>
    <row r="25" spans="1:18" x14ac:dyDescent="0.3">
      <c r="A25" t="s">
        <v>134</v>
      </c>
      <c r="B25" s="1">
        <v>45978</v>
      </c>
      <c r="C25" t="s">
        <v>88</v>
      </c>
      <c r="D25" t="s">
        <v>20</v>
      </c>
      <c r="E25">
        <v>39</v>
      </c>
      <c r="F25" t="s">
        <v>21</v>
      </c>
      <c r="G25" t="s">
        <v>21</v>
      </c>
      <c r="H25" t="s">
        <v>22</v>
      </c>
      <c r="I25" t="s">
        <v>23</v>
      </c>
      <c r="J25" t="s">
        <v>89</v>
      </c>
      <c r="K25">
        <v>8</v>
      </c>
      <c r="L25" s="4">
        <v>49400</v>
      </c>
      <c r="M25">
        <v>10</v>
      </c>
      <c r="N25" s="4">
        <v>355680</v>
      </c>
      <c r="O25" t="s">
        <v>73</v>
      </c>
      <c r="P25">
        <v>5</v>
      </c>
      <c r="Q25" t="s">
        <v>65</v>
      </c>
      <c r="R25">
        <v>0</v>
      </c>
    </row>
    <row r="26" spans="1:18" x14ac:dyDescent="0.3">
      <c r="A26" t="s">
        <v>136</v>
      </c>
      <c r="B26" s="1">
        <v>45771</v>
      </c>
      <c r="C26" t="s">
        <v>29</v>
      </c>
      <c r="D26" t="s">
        <v>20</v>
      </c>
      <c r="E26">
        <v>23</v>
      </c>
      <c r="F26" t="s">
        <v>61</v>
      </c>
      <c r="G26" t="s">
        <v>61</v>
      </c>
      <c r="H26" t="s">
        <v>32</v>
      </c>
      <c r="I26" t="s">
        <v>33</v>
      </c>
      <c r="J26" t="s">
        <v>72</v>
      </c>
      <c r="K26">
        <v>9</v>
      </c>
      <c r="L26" s="4">
        <v>21700</v>
      </c>
      <c r="M26">
        <v>15</v>
      </c>
      <c r="N26" s="4">
        <v>166005</v>
      </c>
      <c r="O26" t="s">
        <v>85</v>
      </c>
      <c r="P26">
        <v>2</v>
      </c>
      <c r="Q26" t="s">
        <v>65</v>
      </c>
      <c r="R26">
        <v>0</v>
      </c>
    </row>
    <row r="27" spans="1:18" x14ac:dyDescent="0.3">
      <c r="A27" t="s">
        <v>141</v>
      </c>
      <c r="B27" s="1">
        <v>46124</v>
      </c>
      <c r="C27" t="s">
        <v>71</v>
      </c>
      <c r="D27" t="s">
        <v>3292</v>
      </c>
      <c r="E27">
        <v>36</v>
      </c>
      <c r="F27" t="s">
        <v>30</v>
      </c>
      <c r="G27" t="s">
        <v>31</v>
      </c>
      <c r="H27" t="s">
        <v>32</v>
      </c>
      <c r="I27" t="s">
        <v>53</v>
      </c>
      <c r="J27" t="s">
        <v>72</v>
      </c>
      <c r="K27">
        <v>2</v>
      </c>
      <c r="L27" s="4">
        <v>19800</v>
      </c>
      <c r="M27">
        <v>20</v>
      </c>
      <c r="N27" s="4">
        <v>31680</v>
      </c>
      <c r="O27" t="s">
        <v>73</v>
      </c>
      <c r="Q27" t="s">
        <v>26</v>
      </c>
      <c r="R27">
        <v>0</v>
      </c>
    </row>
    <row r="28" spans="1:18" x14ac:dyDescent="0.3">
      <c r="A28" t="s">
        <v>143</v>
      </c>
      <c r="B28" s="1">
        <v>46114</v>
      </c>
      <c r="C28" t="s">
        <v>38</v>
      </c>
      <c r="D28" t="s">
        <v>39</v>
      </c>
      <c r="E28">
        <v>43</v>
      </c>
      <c r="F28" t="s">
        <v>51</v>
      </c>
      <c r="G28" t="s">
        <v>104</v>
      </c>
      <c r="H28" t="s">
        <v>32</v>
      </c>
      <c r="I28" t="s">
        <v>53</v>
      </c>
      <c r="J28" t="s">
        <v>72</v>
      </c>
      <c r="K28">
        <v>4</v>
      </c>
      <c r="L28" s="4">
        <v>18700</v>
      </c>
      <c r="M28">
        <v>20</v>
      </c>
      <c r="N28" s="4">
        <v>59840</v>
      </c>
      <c r="O28" t="s">
        <v>73</v>
      </c>
      <c r="Q28" t="s">
        <v>26</v>
      </c>
      <c r="R28">
        <v>0</v>
      </c>
    </row>
    <row r="29" spans="1:18" x14ac:dyDescent="0.3">
      <c r="A29" t="s">
        <v>147</v>
      </c>
      <c r="B29" s="1">
        <v>45828</v>
      </c>
      <c r="C29" t="s">
        <v>94</v>
      </c>
      <c r="D29" t="s">
        <v>39</v>
      </c>
      <c r="E29">
        <v>34</v>
      </c>
      <c r="F29" t="s">
        <v>44</v>
      </c>
      <c r="G29" t="s">
        <v>45</v>
      </c>
      <c r="H29" t="s">
        <v>62</v>
      </c>
      <c r="I29" t="s">
        <v>140</v>
      </c>
      <c r="J29" t="s">
        <v>72</v>
      </c>
      <c r="K29">
        <v>2</v>
      </c>
      <c r="L29" s="4">
        <v>8700</v>
      </c>
      <c r="M29">
        <v>5</v>
      </c>
      <c r="N29" s="4">
        <v>16530</v>
      </c>
      <c r="O29" t="s">
        <v>85</v>
      </c>
      <c r="P29">
        <v>5</v>
      </c>
      <c r="Q29" t="s">
        <v>41</v>
      </c>
      <c r="R29">
        <v>1</v>
      </c>
    </row>
    <row r="30" spans="1:18" x14ac:dyDescent="0.3">
      <c r="A30" t="s">
        <v>149</v>
      </c>
      <c r="B30" s="1">
        <v>45918</v>
      </c>
      <c r="C30" t="s">
        <v>113</v>
      </c>
      <c r="D30" t="s">
        <v>20</v>
      </c>
      <c r="E30">
        <v>51</v>
      </c>
      <c r="F30" t="s">
        <v>51</v>
      </c>
      <c r="G30" t="s">
        <v>52</v>
      </c>
      <c r="H30" t="s">
        <v>46</v>
      </c>
      <c r="I30" t="s">
        <v>47</v>
      </c>
      <c r="J30" t="s">
        <v>34</v>
      </c>
      <c r="K30">
        <v>5</v>
      </c>
      <c r="L30" s="4">
        <v>39700</v>
      </c>
      <c r="M30">
        <v>0</v>
      </c>
      <c r="N30" s="4">
        <v>198500</v>
      </c>
      <c r="O30" t="s">
        <v>85</v>
      </c>
      <c r="Q30" t="s">
        <v>74</v>
      </c>
      <c r="R30">
        <v>0</v>
      </c>
    </row>
    <row r="31" spans="1:18" x14ac:dyDescent="0.3">
      <c r="A31" t="s">
        <v>151</v>
      </c>
      <c r="B31" s="1">
        <v>46067</v>
      </c>
      <c r="C31" t="s">
        <v>71</v>
      </c>
      <c r="D31" t="s">
        <v>39</v>
      </c>
      <c r="E31">
        <v>61</v>
      </c>
      <c r="F31" t="s">
        <v>21</v>
      </c>
      <c r="G31" t="s">
        <v>21</v>
      </c>
      <c r="H31" t="s">
        <v>32</v>
      </c>
      <c r="I31" t="s">
        <v>53</v>
      </c>
      <c r="J31" t="s">
        <v>80</v>
      </c>
      <c r="K31">
        <v>2</v>
      </c>
      <c r="L31" s="4">
        <v>13500</v>
      </c>
      <c r="M31">
        <v>5</v>
      </c>
      <c r="N31" s="4">
        <v>25650</v>
      </c>
      <c r="O31" t="s">
        <v>85</v>
      </c>
      <c r="Q31" t="s">
        <v>74</v>
      </c>
      <c r="R31">
        <v>0</v>
      </c>
    </row>
    <row r="32" spans="1:18" x14ac:dyDescent="0.3">
      <c r="A32" t="s">
        <v>153</v>
      </c>
      <c r="B32" s="1">
        <v>45981</v>
      </c>
      <c r="C32" t="s">
        <v>38</v>
      </c>
      <c r="D32" t="s">
        <v>20</v>
      </c>
      <c r="E32">
        <v>44</v>
      </c>
      <c r="F32" t="s">
        <v>44</v>
      </c>
      <c r="G32" t="s">
        <v>45</v>
      </c>
      <c r="H32" t="s">
        <v>46</v>
      </c>
      <c r="I32" t="s">
        <v>47</v>
      </c>
      <c r="J32" t="s">
        <v>24</v>
      </c>
      <c r="K32">
        <v>9</v>
      </c>
      <c r="L32" s="4">
        <v>10300</v>
      </c>
      <c r="M32">
        <v>5</v>
      </c>
      <c r="N32" s="4">
        <v>88065</v>
      </c>
      <c r="O32" t="s">
        <v>25</v>
      </c>
      <c r="P32">
        <v>1</v>
      </c>
      <c r="Q32" t="s">
        <v>26</v>
      </c>
      <c r="R32">
        <v>0</v>
      </c>
    </row>
    <row r="33" spans="1:18" x14ac:dyDescent="0.3">
      <c r="A33" t="s">
        <v>158</v>
      </c>
      <c r="B33" s="1">
        <v>46235</v>
      </c>
      <c r="C33" t="s">
        <v>29</v>
      </c>
      <c r="D33" t="s">
        <v>20</v>
      </c>
      <c r="E33">
        <v>55</v>
      </c>
      <c r="F33" t="s">
        <v>77</v>
      </c>
      <c r="G33" t="s">
        <v>95</v>
      </c>
      <c r="H33" t="s">
        <v>46</v>
      </c>
      <c r="I33" t="s">
        <v>79</v>
      </c>
      <c r="J33" t="s">
        <v>72</v>
      </c>
      <c r="K33">
        <v>3</v>
      </c>
      <c r="L33" s="4">
        <v>30300</v>
      </c>
      <c r="M33">
        <v>25</v>
      </c>
      <c r="N33" s="4">
        <v>68175</v>
      </c>
      <c r="O33" t="s">
        <v>73</v>
      </c>
      <c r="P33">
        <v>4</v>
      </c>
      <c r="Q33" t="s">
        <v>74</v>
      </c>
      <c r="R33">
        <v>0</v>
      </c>
    </row>
    <row r="34" spans="1:18" x14ac:dyDescent="0.3">
      <c r="A34" t="s">
        <v>160</v>
      </c>
      <c r="B34" s="1">
        <v>45672</v>
      </c>
      <c r="C34" t="s">
        <v>68</v>
      </c>
      <c r="D34" t="s">
        <v>39</v>
      </c>
      <c r="E34">
        <v>23</v>
      </c>
      <c r="F34" t="s">
        <v>61</v>
      </c>
      <c r="G34" t="s">
        <v>61</v>
      </c>
      <c r="H34" t="s">
        <v>32</v>
      </c>
      <c r="I34" t="s">
        <v>53</v>
      </c>
      <c r="J34" t="s">
        <v>24</v>
      </c>
      <c r="K34">
        <v>10</v>
      </c>
      <c r="L34" s="4">
        <v>10900</v>
      </c>
      <c r="M34">
        <v>25</v>
      </c>
      <c r="N34" s="4">
        <v>81750</v>
      </c>
      <c r="O34" t="s">
        <v>3293</v>
      </c>
      <c r="Q34" t="s">
        <v>74</v>
      </c>
      <c r="R34">
        <v>0</v>
      </c>
    </row>
    <row r="35" spans="1:18" x14ac:dyDescent="0.3">
      <c r="A35" t="s">
        <v>163</v>
      </c>
      <c r="B35" s="1">
        <v>45880</v>
      </c>
      <c r="C35" t="s">
        <v>94</v>
      </c>
      <c r="D35" t="s">
        <v>39</v>
      </c>
      <c r="E35">
        <v>21</v>
      </c>
      <c r="F35" t="s">
        <v>44</v>
      </c>
      <c r="G35" t="s">
        <v>45</v>
      </c>
      <c r="H35" t="s">
        <v>22</v>
      </c>
      <c r="I35" t="s">
        <v>23</v>
      </c>
      <c r="J35" t="s">
        <v>24</v>
      </c>
      <c r="K35">
        <v>1</v>
      </c>
      <c r="L35" s="4">
        <v>26200</v>
      </c>
      <c r="M35">
        <v>15</v>
      </c>
      <c r="N35" s="4">
        <v>22270</v>
      </c>
      <c r="O35" t="s">
        <v>85</v>
      </c>
      <c r="P35">
        <v>2</v>
      </c>
      <c r="Q35" t="s">
        <v>74</v>
      </c>
      <c r="R35">
        <v>0</v>
      </c>
    </row>
    <row r="36" spans="1:18" x14ac:dyDescent="0.3">
      <c r="A36" t="s">
        <v>166</v>
      </c>
      <c r="B36" s="1">
        <v>46044</v>
      </c>
      <c r="C36" t="s">
        <v>68</v>
      </c>
      <c r="D36" t="s">
        <v>39</v>
      </c>
      <c r="E36">
        <v>34</v>
      </c>
      <c r="F36" t="s">
        <v>77</v>
      </c>
      <c r="G36" t="s">
        <v>78</v>
      </c>
      <c r="H36" t="s">
        <v>32</v>
      </c>
      <c r="I36" t="s">
        <v>53</v>
      </c>
      <c r="J36" t="s">
        <v>24</v>
      </c>
      <c r="K36">
        <v>7</v>
      </c>
      <c r="L36" s="4">
        <v>24500</v>
      </c>
      <c r="M36">
        <v>5</v>
      </c>
      <c r="N36" s="4">
        <v>162925</v>
      </c>
      <c r="O36" t="s">
        <v>25</v>
      </c>
      <c r="P36">
        <v>2</v>
      </c>
      <c r="Q36" t="s">
        <v>74</v>
      </c>
      <c r="R36">
        <v>0</v>
      </c>
    </row>
    <row r="37" spans="1:18" x14ac:dyDescent="0.3">
      <c r="A37" t="s">
        <v>168</v>
      </c>
      <c r="B37" s="1">
        <v>45757</v>
      </c>
      <c r="C37" t="s">
        <v>29</v>
      </c>
      <c r="D37" t="s">
        <v>20</v>
      </c>
      <c r="E37">
        <v>64</v>
      </c>
      <c r="F37" t="s">
        <v>44</v>
      </c>
      <c r="G37" t="s">
        <v>100</v>
      </c>
      <c r="H37" t="s">
        <v>62</v>
      </c>
      <c r="I37" t="s">
        <v>140</v>
      </c>
      <c r="J37" t="s">
        <v>64</v>
      </c>
      <c r="K37">
        <v>1</v>
      </c>
      <c r="L37" s="4">
        <v>6000</v>
      </c>
      <c r="M37">
        <v>5</v>
      </c>
      <c r="N37" s="4">
        <v>5700</v>
      </c>
      <c r="O37" t="s">
        <v>85</v>
      </c>
      <c r="Q37" t="s">
        <v>26</v>
      </c>
      <c r="R37">
        <v>0</v>
      </c>
    </row>
    <row r="38" spans="1:18" x14ac:dyDescent="0.3">
      <c r="A38" t="s">
        <v>169</v>
      </c>
      <c r="B38" s="1">
        <v>45816</v>
      </c>
      <c r="C38" t="s">
        <v>60</v>
      </c>
      <c r="D38" t="s">
        <v>20</v>
      </c>
      <c r="E38">
        <v>21</v>
      </c>
      <c r="F38" t="s">
        <v>30</v>
      </c>
      <c r="G38" t="s">
        <v>31</v>
      </c>
      <c r="H38" t="s">
        <v>22</v>
      </c>
      <c r="I38" t="s">
        <v>23</v>
      </c>
      <c r="J38" t="s">
        <v>80</v>
      </c>
      <c r="K38">
        <v>1</v>
      </c>
      <c r="L38" s="4">
        <v>9800</v>
      </c>
      <c r="M38">
        <v>0</v>
      </c>
      <c r="N38" s="4">
        <v>9800</v>
      </c>
      <c r="O38" t="s">
        <v>85</v>
      </c>
      <c r="P38">
        <v>4</v>
      </c>
      <c r="Q38" t="s">
        <v>65</v>
      </c>
      <c r="R38">
        <v>0</v>
      </c>
    </row>
    <row r="39" spans="1:18" x14ac:dyDescent="0.3">
      <c r="A39" t="s">
        <v>171</v>
      </c>
      <c r="B39" s="1">
        <v>46157</v>
      </c>
      <c r="C39" t="s">
        <v>88</v>
      </c>
      <c r="D39" t="s">
        <v>39</v>
      </c>
      <c r="E39">
        <v>34</v>
      </c>
      <c r="F39" t="s">
        <v>44</v>
      </c>
      <c r="G39" t="s">
        <v>100</v>
      </c>
      <c r="H39" t="s">
        <v>22</v>
      </c>
      <c r="I39" t="s">
        <v>23</v>
      </c>
      <c r="J39" t="s">
        <v>34</v>
      </c>
      <c r="K39">
        <v>2</v>
      </c>
      <c r="L39" s="4">
        <v>26400</v>
      </c>
      <c r="M39">
        <v>20</v>
      </c>
      <c r="N39" s="4">
        <v>42240</v>
      </c>
      <c r="O39" t="s">
        <v>85</v>
      </c>
      <c r="P39">
        <v>2</v>
      </c>
      <c r="Q39" t="s">
        <v>74</v>
      </c>
      <c r="R39">
        <v>0</v>
      </c>
    </row>
    <row r="40" spans="1:18" x14ac:dyDescent="0.3">
      <c r="A40" t="s">
        <v>178</v>
      </c>
      <c r="B40" s="1">
        <v>45686</v>
      </c>
      <c r="C40" t="s">
        <v>29</v>
      </c>
      <c r="D40" t="s">
        <v>3292</v>
      </c>
      <c r="E40">
        <v>56</v>
      </c>
      <c r="F40" t="s">
        <v>77</v>
      </c>
      <c r="G40" t="s">
        <v>78</v>
      </c>
      <c r="H40" t="s">
        <v>22</v>
      </c>
      <c r="I40" t="s">
        <v>84</v>
      </c>
      <c r="J40" t="s">
        <v>64</v>
      </c>
      <c r="K40">
        <v>5</v>
      </c>
      <c r="L40" s="4">
        <v>37900</v>
      </c>
      <c r="M40">
        <v>15</v>
      </c>
      <c r="N40" s="4">
        <v>161075</v>
      </c>
      <c r="O40" t="s">
        <v>85</v>
      </c>
      <c r="P40">
        <v>2</v>
      </c>
      <c r="Q40" t="s">
        <v>65</v>
      </c>
      <c r="R40">
        <v>0</v>
      </c>
    </row>
    <row r="41" spans="1:18" x14ac:dyDescent="0.3">
      <c r="A41" t="s">
        <v>180</v>
      </c>
      <c r="B41" s="1">
        <v>45669</v>
      </c>
      <c r="C41" t="s">
        <v>60</v>
      </c>
      <c r="D41" t="s">
        <v>20</v>
      </c>
      <c r="E41">
        <v>28</v>
      </c>
      <c r="F41" t="s">
        <v>77</v>
      </c>
      <c r="G41" t="s">
        <v>78</v>
      </c>
      <c r="H41" t="s">
        <v>46</v>
      </c>
      <c r="I41" t="s">
        <v>47</v>
      </c>
      <c r="J41" t="s">
        <v>72</v>
      </c>
      <c r="K41">
        <v>8</v>
      </c>
      <c r="L41" s="4">
        <v>26600</v>
      </c>
      <c r="M41">
        <v>15</v>
      </c>
      <c r="N41" s="4">
        <v>180880</v>
      </c>
      <c r="O41" t="s">
        <v>85</v>
      </c>
      <c r="Q41" t="s">
        <v>65</v>
      </c>
      <c r="R41">
        <v>0</v>
      </c>
    </row>
    <row r="42" spans="1:18" x14ac:dyDescent="0.3">
      <c r="A42" t="s">
        <v>182</v>
      </c>
      <c r="B42" s="1">
        <v>45818</v>
      </c>
      <c r="C42" t="s">
        <v>88</v>
      </c>
      <c r="D42" t="s">
        <v>20</v>
      </c>
      <c r="E42">
        <v>39</v>
      </c>
      <c r="F42" t="s">
        <v>21</v>
      </c>
      <c r="G42" t="s">
        <v>21</v>
      </c>
      <c r="H42" t="s">
        <v>32</v>
      </c>
      <c r="I42" t="s">
        <v>53</v>
      </c>
      <c r="J42" t="s">
        <v>89</v>
      </c>
      <c r="K42">
        <v>5</v>
      </c>
      <c r="L42" s="4">
        <v>33700</v>
      </c>
      <c r="M42">
        <v>20</v>
      </c>
      <c r="N42" s="4">
        <v>134800</v>
      </c>
      <c r="O42" t="s">
        <v>73</v>
      </c>
      <c r="P42">
        <v>5</v>
      </c>
      <c r="Q42" t="s">
        <v>74</v>
      </c>
      <c r="R42">
        <v>0</v>
      </c>
    </row>
    <row r="43" spans="1:18" x14ac:dyDescent="0.3">
      <c r="A43" t="s">
        <v>185</v>
      </c>
      <c r="B43" s="1">
        <v>45728</v>
      </c>
      <c r="C43" t="s">
        <v>29</v>
      </c>
      <c r="D43" t="s">
        <v>20</v>
      </c>
      <c r="E43">
        <v>53</v>
      </c>
      <c r="F43" t="s">
        <v>77</v>
      </c>
      <c r="G43" t="s">
        <v>78</v>
      </c>
      <c r="H43" t="s">
        <v>32</v>
      </c>
      <c r="I43" t="s">
        <v>53</v>
      </c>
      <c r="J43" t="s">
        <v>72</v>
      </c>
      <c r="K43">
        <v>5</v>
      </c>
      <c r="L43" s="4">
        <v>28100</v>
      </c>
      <c r="M43">
        <v>0</v>
      </c>
      <c r="N43" s="4">
        <v>140500</v>
      </c>
      <c r="O43" t="s">
        <v>73</v>
      </c>
      <c r="P43">
        <v>2</v>
      </c>
      <c r="Q43" t="s">
        <v>74</v>
      </c>
      <c r="R43">
        <v>0</v>
      </c>
    </row>
    <row r="44" spans="1:18" x14ac:dyDescent="0.3">
      <c r="A44" t="s">
        <v>190</v>
      </c>
      <c r="B44" s="1">
        <v>45731</v>
      </c>
      <c r="C44" t="s">
        <v>60</v>
      </c>
      <c r="D44" t="s">
        <v>39</v>
      </c>
      <c r="E44">
        <v>59</v>
      </c>
      <c r="F44" t="s">
        <v>77</v>
      </c>
      <c r="G44" t="s">
        <v>78</v>
      </c>
      <c r="H44" t="s">
        <v>22</v>
      </c>
      <c r="I44" t="s">
        <v>84</v>
      </c>
      <c r="J44" t="s">
        <v>24</v>
      </c>
      <c r="K44">
        <v>3</v>
      </c>
      <c r="L44" s="4">
        <v>34200</v>
      </c>
      <c r="M44">
        <v>20</v>
      </c>
      <c r="N44" s="4">
        <v>82080</v>
      </c>
      <c r="O44" t="s">
        <v>85</v>
      </c>
      <c r="P44">
        <v>4</v>
      </c>
      <c r="Q44" t="s">
        <v>26</v>
      </c>
      <c r="R44">
        <v>0</v>
      </c>
    </row>
    <row r="45" spans="1:18" x14ac:dyDescent="0.3">
      <c r="A45" t="s">
        <v>192</v>
      </c>
      <c r="B45" s="1">
        <v>46145</v>
      </c>
      <c r="C45" t="s">
        <v>68</v>
      </c>
      <c r="D45" t="s">
        <v>20</v>
      </c>
      <c r="E45">
        <v>25</v>
      </c>
      <c r="F45" t="s">
        <v>44</v>
      </c>
      <c r="G45" t="s">
        <v>100</v>
      </c>
      <c r="H45" t="s">
        <v>46</v>
      </c>
      <c r="I45" t="s">
        <v>47</v>
      </c>
      <c r="J45" t="s">
        <v>89</v>
      </c>
      <c r="K45">
        <v>9</v>
      </c>
      <c r="L45" s="4">
        <v>42900</v>
      </c>
      <c r="M45">
        <v>5</v>
      </c>
      <c r="N45" s="4">
        <v>366795</v>
      </c>
      <c r="O45" t="s">
        <v>73</v>
      </c>
      <c r="P45">
        <v>2</v>
      </c>
      <c r="Q45" t="s">
        <v>26</v>
      </c>
      <c r="R45">
        <v>0</v>
      </c>
    </row>
    <row r="46" spans="1:18" x14ac:dyDescent="0.3">
      <c r="A46" t="s">
        <v>196</v>
      </c>
      <c r="B46" s="1">
        <v>45963</v>
      </c>
      <c r="C46" t="s">
        <v>94</v>
      </c>
      <c r="D46" t="s">
        <v>20</v>
      </c>
      <c r="E46">
        <v>34</v>
      </c>
      <c r="F46" t="s">
        <v>30</v>
      </c>
      <c r="G46" t="s">
        <v>31</v>
      </c>
      <c r="H46" t="s">
        <v>46</v>
      </c>
      <c r="I46" t="s">
        <v>47</v>
      </c>
      <c r="J46" t="s">
        <v>89</v>
      </c>
      <c r="K46">
        <v>6</v>
      </c>
      <c r="L46" s="4">
        <v>49400</v>
      </c>
      <c r="M46">
        <v>15</v>
      </c>
      <c r="N46" s="4">
        <v>251940</v>
      </c>
      <c r="O46" t="s">
        <v>85</v>
      </c>
      <c r="P46">
        <v>4</v>
      </c>
      <c r="Q46" t="s">
        <v>41</v>
      </c>
      <c r="R46">
        <v>1</v>
      </c>
    </row>
    <row r="47" spans="1:18" x14ac:dyDescent="0.3">
      <c r="A47" t="s">
        <v>198</v>
      </c>
      <c r="B47" s="1">
        <v>45958</v>
      </c>
      <c r="C47" t="s">
        <v>88</v>
      </c>
      <c r="D47" t="s">
        <v>39</v>
      </c>
      <c r="E47">
        <v>60</v>
      </c>
      <c r="F47" t="s">
        <v>30</v>
      </c>
      <c r="G47" t="s">
        <v>31</v>
      </c>
      <c r="H47" t="s">
        <v>46</v>
      </c>
      <c r="I47" t="s">
        <v>47</v>
      </c>
      <c r="J47" t="s">
        <v>89</v>
      </c>
      <c r="K47">
        <v>2</v>
      </c>
      <c r="L47" s="4">
        <v>40400</v>
      </c>
      <c r="M47">
        <v>5</v>
      </c>
      <c r="N47" s="4">
        <v>76760</v>
      </c>
      <c r="O47" t="s">
        <v>73</v>
      </c>
      <c r="P47">
        <v>1</v>
      </c>
      <c r="Q47" t="s">
        <v>74</v>
      </c>
      <c r="R47">
        <v>0</v>
      </c>
    </row>
    <row r="48" spans="1:18" x14ac:dyDescent="0.3">
      <c r="A48" t="s">
        <v>203</v>
      </c>
      <c r="B48" s="1">
        <v>46107</v>
      </c>
      <c r="C48" t="s">
        <v>113</v>
      </c>
      <c r="D48" t="s">
        <v>3292</v>
      </c>
      <c r="E48">
        <v>30</v>
      </c>
      <c r="F48" t="s">
        <v>51</v>
      </c>
      <c r="G48" t="s">
        <v>52</v>
      </c>
      <c r="H48" t="s">
        <v>62</v>
      </c>
      <c r="I48" t="s">
        <v>140</v>
      </c>
      <c r="J48" t="s">
        <v>89</v>
      </c>
      <c r="K48">
        <v>3</v>
      </c>
      <c r="L48" s="4">
        <v>34900</v>
      </c>
      <c r="M48">
        <v>0</v>
      </c>
      <c r="N48" s="4">
        <v>104700</v>
      </c>
      <c r="O48" t="s">
        <v>73</v>
      </c>
      <c r="Q48" t="s">
        <v>65</v>
      </c>
      <c r="R48">
        <v>0</v>
      </c>
    </row>
    <row r="49" spans="1:18" x14ac:dyDescent="0.3">
      <c r="A49" t="s">
        <v>209</v>
      </c>
      <c r="B49" s="1">
        <v>45894</v>
      </c>
      <c r="C49" t="s">
        <v>94</v>
      </c>
      <c r="D49" t="s">
        <v>20</v>
      </c>
      <c r="E49">
        <v>64</v>
      </c>
      <c r="F49" t="s">
        <v>44</v>
      </c>
      <c r="G49" t="s">
        <v>100</v>
      </c>
      <c r="H49" t="s">
        <v>62</v>
      </c>
      <c r="I49" t="s">
        <v>63</v>
      </c>
      <c r="J49" t="s">
        <v>64</v>
      </c>
      <c r="K49">
        <v>4</v>
      </c>
      <c r="L49" s="4">
        <v>49000</v>
      </c>
      <c r="M49">
        <v>0</v>
      </c>
      <c r="N49" s="4">
        <v>196000</v>
      </c>
      <c r="O49" t="s">
        <v>3293</v>
      </c>
      <c r="P49">
        <v>1</v>
      </c>
      <c r="Q49" t="s">
        <v>26</v>
      </c>
      <c r="R49">
        <v>0</v>
      </c>
    </row>
    <row r="50" spans="1:18" x14ac:dyDescent="0.3">
      <c r="A50" t="s">
        <v>214</v>
      </c>
      <c r="B50" s="1">
        <v>46156</v>
      </c>
      <c r="C50" t="s">
        <v>29</v>
      </c>
      <c r="D50" t="s">
        <v>39</v>
      </c>
      <c r="E50">
        <v>44</v>
      </c>
      <c r="F50" t="s">
        <v>77</v>
      </c>
      <c r="G50" t="s">
        <v>78</v>
      </c>
      <c r="H50" t="s">
        <v>62</v>
      </c>
      <c r="I50" t="s">
        <v>63</v>
      </c>
      <c r="J50" t="s">
        <v>89</v>
      </c>
      <c r="K50">
        <v>7</v>
      </c>
      <c r="L50" s="4">
        <v>19100</v>
      </c>
      <c r="M50">
        <v>10</v>
      </c>
      <c r="N50" s="4">
        <v>120330</v>
      </c>
      <c r="O50" t="s">
        <v>73</v>
      </c>
      <c r="P50">
        <v>3</v>
      </c>
      <c r="Q50" t="s">
        <v>41</v>
      </c>
      <c r="R50">
        <v>1</v>
      </c>
    </row>
    <row r="51" spans="1:18" x14ac:dyDescent="0.3">
      <c r="A51" t="s">
        <v>216</v>
      </c>
      <c r="B51" s="1">
        <v>45766</v>
      </c>
      <c r="C51" t="s">
        <v>29</v>
      </c>
      <c r="D51" t="s">
        <v>20</v>
      </c>
      <c r="E51">
        <v>64</v>
      </c>
      <c r="F51" t="s">
        <v>77</v>
      </c>
      <c r="G51" t="s">
        <v>78</v>
      </c>
      <c r="H51" t="s">
        <v>32</v>
      </c>
      <c r="I51" t="s">
        <v>53</v>
      </c>
      <c r="J51" t="s">
        <v>64</v>
      </c>
      <c r="K51">
        <v>4</v>
      </c>
      <c r="L51" s="4">
        <v>13800</v>
      </c>
      <c r="M51">
        <v>20</v>
      </c>
      <c r="N51" s="4">
        <v>44160</v>
      </c>
      <c r="O51" t="s">
        <v>85</v>
      </c>
      <c r="P51">
        <v>4</v>
      </c>
      <c r="Q51" t="s">
        <v>65</v>
      </c>
      <c r="R51">
        <v>0</v>
      </c>
    </row>
    <row r="52" spans="1:18" x14ac:dyDescent="0.3">
      <c r="A52" t="s">
        <v>218</v>
      </c>
      <c r="B52" s="1">
        <v>45711</v>
      </c>
      <c r="C52" t="s">
        <v>60</v>
      </c>
      <c r="D52" t="s">
        <v>20</v>
      </c>
      <c r="E52">
        <v>46</v>
      </c>
      <c r="F52" t="s">
        <v>21</v>
      </c>
      <c r="G52" t="s">
        <v>21</v>
      </c>
      <c r="H52" t="s">
        <v>32</v>
      </c>
      <c r="I52" t="s">
        <v>33</v>
      </c>
      <c r="J52" t="s">
        <v>34</v>
      </c>
      <c r="K52">
        <v>3</v>
      </c>
      <c r="L52" s="4">
        <v>33700</v>
      </c>
      <c r="M52">
        <v>10</v>
      </c>
      <c r="N52" s="4">
        <v>90990</v>
      </c>
      <c r="O52" t="s">
        <v>73</v>
      </c>
      <c r="Q52" t="s">
        <v>26</v>
      </c>
      <c r="R52">
        <v>0</v>
      </c>
    </row>
    <row r="53" spans="1:18" x14ac:dyDescent="0.3">
      <c r="A53" t="s">
        <v>221</v>
      </c>
      <c r="B53" s="1">
        <v>45974</v>
      </c>
      <c r="C53" t="s">
        <v>88</v>
      </c>
      <c r="D53" t="s">
        <v>3292</v>
      </c>
      <c r="E53">
        <v>48</v>
      </c>
      <c r="F53" t="s">
        <v>51</v>
      </c>
      <c r="G53" t="s">
        <v>52</v>
      </c>
      <c r="H53" t="s">
        <v>46</v>
      </c>
      <c r="I53" t="s">
        <v>47</v>
      </c>
      <c r="J53" t="s">
        <v>89</v>
      </c>
      <c r="K53">
        <v>10</v>
      </c>
      <c r="L53" s="4">
        <v>19900</v>
      </c>
      <c r="M53">
        <v>0</v>
      </c>
      <c r="N53" s="4">
        <v>199000</v>
      </c>
      <c r="O53" t="s">
        <v>73</v>
      </c>
      <c r="P53">
        <v>1</v>
      </c>
      <c r="Q53" t="s">
        <v>65</v>
      </c>
      <c r="R53">
        <v>0</v>
      </c>
    </row>
    <row r="54" spans="1:18" x14ac:dyDescent="0.3">
      <c r="A54" t="s">
        <v>223</v>
      </c>
      <c r="B54" s="1">
        <v>45783</v>
      </c>
      <c r="C54" t="s">
        <v>121</v>
      </c>
      <c r="D54" t="s">
        <v>20</v>
      </c>
      <c r="E54">
        <v>51</v>
      </c>
      <c r="F54" t="s">
        <v>30</v>
      </c>
      <c r="G54" t="s">
        <v>57</v>
      </c>
      <c r="H54" t="s">
        <v>46</v>
      </c>
      <c r="I54" t="s">
        <v>79</v>
      </c>
      <c r="J54" t="s">
        <v>34</v>
      </c>
      <c r="K54">
        <v>10</v>
      </c>
      <c r="L54" s="4">
        <v>18100</v>
      </c>
      <c r="M54">
        <v>5</v>
      </c>
      <c r="N54" s="4">
        <v>171950</v>
      </c>
      <c r="O54" t="s">
        <v>85</v>
      </c>
      <c r="P54">
        <v>5</v>
      </c>
      <c r="Q54" t="s">
        <v>41</v>
      </c>
      <c r="R54">
        <v>1</v>
      </c>
    </row>
    <row r="55" spans="1:18" x14ac:dyDescent="0.3">
      <c r="A55" t="s">
        <v>225</v>
      </c>
      <c r="B55" s="1">
        <v>45795</v>
      </c>
      <c r="C55" t="s">
        <v>71</v>
      </c>
      <c r="D55" t="s">
        <v>20</v>
      </c>
      <c r="E55">
        <v>65</v>
      </c>
      <c r="F55" t="s">
        <v>21</v>
      </c>
      <c r="G55" t="s">
        <v>21</v>
      </c>
      <c r="H55" t="s">
        <v>22</v>
      </c>
      <c r="I55" t="s">
        <v>23</v>
      </c>
      <c r="J55" t="s">
        <v>24</v>
      </c>
      <c r="K55">
        <v>5</v>
      </c>
      <c r="L55" s="4">
        <v>21000</v>
      </c>
      <c r="M55">
        <v>10</v>
      </c>
      <c r="N55" s="4">
        <v>94500</v>
      </c>
      <c r="O55" t="s">
        <v>3293</v>
      </c>
      <c r="P55">
        <v>4</v>
      </c>
      <c r="Q55" t="s">
        <v>74</v>
      </c>
      <c r="R55">
        <v>0</v>
      </c>
    </row>
    <row r="56" spans="1:18" x14ac:dyDescent="0.3">
      <c r="A56" t="s">
        <v>227</v>
      </c>
      <c r="B56" s="1">
        <v>46109</v>
      </c>
      <c r="C56" t="s">
        <v>60</v>
      </c>
      <c r="D56" t="s">
        <v>20</v>
      </c>
      <c r="E56">
        <v>41</v>
      </c>
      <c r="F56" t="s">
        <v>61</v>
      </c>
      <c r="G56" t="s">
        <v>61</v>
      </c>
      <c r="H56" t="s">
        <v>62</v>
      </c>
      <c r="I56" t="s">
        <v>140</v>
      </c>
      <c r="J56" t="s">
        <v>72</v>
      </c>
      <c r="K56">
        <v>3</v>
      </c>
      <c r="L56" s="4">
        <v>3000</v>
      </c>
      <c r="M56">
        <v>15</v>
      </c>
      <c r="N56" s="4">
        <v>7650</v>
      </c>
      <c r="O56" t="s">
        <v>85</v>
      </c>
      <c r="P56">
        <v>4</v>
      </c>
      <c r="Q56" t="s">
        <v>26</v>
      </c>
      <c r="R56">
        <v>0</v>
      </c>
    </row>
    <row r="57" spans="1:18" x14ac:dyDescent="0.3">
      <c r="A57" t="s">
        <v>229</v>
      </c>
      <c r="B57" s="1">
        <v>46151</v>
      </c>
      <c r="C57" t="s">
        <v>121</v>
      </c>
      <c r="D57" t="s">
        <v>39</v>
      </c>
      <c r="E57">
        <v>46</v>
      </c>
      <c r="F57" t="s">
        <v>30</v>
      </c>
      <c r="G57" t="s">
        <v>31</v>
      </c>
      <c r="H57" t="s">
        <v>62</v>
      </c>
      <c r="I57" t="s">
        <v>63</v>
      </c>
      <c r="J57" t="s">
        <v>34</v>
      </c>
      <c r="K57">
        <v>2</v>
      </c>
      <c r="L57" s="4">
        <v>34000</v>
      </c>
      <c r="M57">
        <v>10</v>
      </c>
      <c r="N57" s="4">
        <v>61200</v>
      </c>
      <c r="O57" t="s">
        <v>25</v>
      </c>
      <c r="P57">
        <v>2</v>
      </c>
      <c r="Q57" t="s">
        <v>65</v>
      </c>
      <c r="R57">
        <v>0</v>
      </c>
    </row>
    <row r="58" spans="1:18" x14ac:dyDescent="0.3">
      <c r="A58" t="s">
        <v>233</v>
      </c>
      <c r="B58" s="1">
        <v>45715</v>
      </c>
      <c r="C58" t="s">
        <v>71</v>
      </c>
      <c r="D58" t="s">
        <v>3292</v>
      </c>
      <c r="E58">
        <v>26</v>
      </c>
      <c r="F58" t="s">
        <v>51</v>
      </c>
      <c r="G58" t="s">
        <v>52</v>
      </c>
      <c r="H58" t="s">
        <v>32</v>
      </c>
      <c r="I58" t="s">
        <v>33</v>
      </c>
      <c r="J58" t="s">
        <v>89</v>
      </c>
      <c r="K58">
        <v>4</v>
      </c>
      <c r="L58" s="4">
        <v>8900</v>
      </c>
      <c r="M58">
        <v>10</v>
      </c>
      <c r="N58" s="4">
        <v>32040</v>
      </c>
      <c r="O58" t="s">
        <v>85</v>
      </c>
      <c r="Q58" t="s">
        <v>41</v>
      </c>
      <c r="R58">
        <v>1</v>
      </c>
    </row>
    <row r="59" spans="1:18" x14ac:dyDescent="0.3">
      <c r="A59" t="s">
        <v>235</v>
      </c>
      <c r="B59" s="1">
        <v>46023</v>
      </c>
      <c r="C59" t="s">
        <v>94</v>
      </c>
      <c r="D59" t="s">
        <v>3292</v>
      </c>
      <c r="E59">
        <v>19</v>
      </c>
      <c r="F59" t="s">
        <v>21</v>
      </c>
      <c r="G59" t="s">
        <v>21</v>
      </c>
      <c r="H59" t="s">
        <v>22</v>
      </c>
      <c r="I59" t="s">
        <v>84</v>
      </c>
      <c r="J59" t="s">
        <v>72</v>
      </c>
      <c r="K59">
        <v>3</v>
      </c>
      <c r="L59" s="4">
        <v>15400</v>
      </c>
      <c r="M59">
        <v>25</v>
      </c>
      <c r="N59" s="4">
        <v>34650</v>
      </c>
      <c r="O59" t="s">
        <v>85</v>
      </c>
      <c r="Q59" t="s">
        <v>41</v>
      </c>
      <c r="R59">
        <v>1</v>
      </c>
    </row>
    <row r="60" spans="1:18" x14ac:dyDescent="0.3">
      <c r="A60" t="s">
        <v>237</v>
      </c>
      <c r="B60" s="1">
        <v>45900</v>
      </c>
      <c r="C60" t="s">
        <v>60</v>
      </c>
      <c r="D60" t="s">
        <v>39</v>
      </c>
      <c r="E60">
        <v>40</v>
      </c>
      <c r="F60" t="s">
        <v>30</v>
      </c>
      <c r="G60" t="s">
        <v>31</v>
      </c>
      <c r="H60" t="s">
        <v>22</v>
      </c>
      <c r="I60" t="s">
        <v>84</v>
      </c>
      <c r="J60" t="s">
        <v>34</v>
      </c>
      <c r="K60">
        <v>5</v>
      </c>
      <c r="L60" s="4">
        <v>25200</v>
      </c>
      <c r="M60">
        <v>5</v>
      </c>
      <c r="N60" s="4">
        <v>119700</v>
      </c>
      <c r="O60" t="s">
        <v>73</v>
      </c>
      <c r="P60">
        <v>1</v>
      </c>
      <c r="Q60" t="s">
        <v>65</v>
      </c>
      <c r="R60">
        <v>0</v>
      </c>
    </row>
    <row r="61" spans="1:18" x14ac:dyDescent="0.3">
      <c r="A61" t="s">
        <v>239</v>
      </c>
      <c r="B61" s="1">
        <v>45718</v>
      </c>
      <c r="C61" t="s">
        <v>88</v>
      </c>
      <c r="D61" t="s">
        <v>39</v>
      </c>
      <c r="E61">
        <v>22</v>
      </c>
      <c r="F61" t="s">
        <v>51</v>
      </c>
      <c r="G61" t="s">
        <v>52</v>
      </c>
      <c r="H61" t="s">
        <v>46</v>
      </c>
      <c r="I61" t="s">
        <v>79</v>
      </c>
      <c r="J61" t="s">
        <v>80</v>
      </c>
      <c r="K61">
        <v>10</v>
      </c>
      <c r="L61" s="4">
        <v>14400</v>
      </c>
      <c r="M61">
        <v>10</v>
      </c>
      <c r="N61" s="4">
        <v>129600</v>
      </c>
      <c r="O61" t="s">
        <v>25</v>
      </c>
      <c r="P61">
        <v>3</v>
      </c>
      <c r="Q61" t="s">
        <v>65</v>
      </c>
      <c r="R61">
        <v>0</v>
      </c>
    </row>
    <row r="62" spans="1:18" x14ac:dyDescent="0.3">
      <c r="A62" t="s">
        <v>241</v>
      </c>
      <c r="B62" s="1">
        <v>46044</v>
      </c>
      <c r="C62" t="s">
        <v>113</v>
      </c>
      <c r="D62" t="s">
        <v>20</v>
      </c>
      <c r="E62">
        <v>41</v>
      </c>
      <c r="F62" t="s">
        <v>30</v>
      </c>
      <c r="G62" t="s">
        <v>57</v>
      </c>
      <c r="H62" t="s">
        <v>32</v>
      </c>
      <c r="I62" t="s">
        <v>53</v>
      </c>
      <c r="J62" t="s">
        <v>72</v>
      </c>
      <c r="K62">
        <v>3</v>
      </c>
      <c r="L62" s="4">
        <v>49700</v>
      </c>
      <c r="M62">
        <v>10</v>
      </c>
      <c r="N62" s="4">
        <v>134190</v>
      </c>
      <c r="O62" t="s">
        <v>73</v>
      </c>
      <c r="P62">
        <v>3</v>
      </c>
      <c r="Q62" t="s">
        <v>41</v>
      </c>
      <c r="R62">
        <v>1</v>
      </c>
    </row>
    <row r="63" spans="1:18" x14ac:dyDescent="0.3">
      <c r="A63" t="s">
        <v>242</v>
      </c>
      <c r="B63" s="1">
        <v>46044</v>
      </c>
      <c r="C63" t="s">
        <v>71</v>
      </c>
      <c r="D63" t="s">
        <v>20</v>
      </c>
      <c r="E63">
        <v>40</v>
      </c>
      <c r="F63" t="s">
        <v>21</v>
      </c>
      <c r="G63" t="s">
        <v>21</v>
      </c>
      <c r="H63" t="s">
        <v>22</v>
      </c>
      <c r="I63" t="s">
        <v>84</v>
      </c>
      <c r="J63" t="s">
        <v>80</v>
      </c>
      <c r="K63">
        <v>3</v>
      </c>
      <c r="L63" s="4">
        <v>40000</v>
      </c>
      <c r="M63">
        <v>25</v>
      </c>
      <c r="N63" s="4">
        <v>90000</v>
      </c>
      <c r="O63" t="s">
        <v>85</v>
      </c>
      <c r="P63">
        <v>2</v>
      </c>
      <c r="Q63" t="s">
        <v>26</v>
      </c>
      <c r="R63">
        <v>0</v>
      </c>
    </row>
    <row r="64" spans="1:18" x14ac:dyDescent="0.3">
      <c r="A64" t="s">
        <v>243</v>
      </c>
      <c r="B64" s="1">
        <v>45999</v>
      </c>
      <c r="C64" t="s">
        <v>60</v>
      </c>
      <c r="D64" t="s">
        <v>20</v>
      </c>
      <c r="E64">
        <v>55</v>
      </c>
      <c r="F64" t="s">
        <v>44</v>
      </c>
      <c r="G64" t="s">
        <v>45</v>
      </c>
      <c r="H64" t="s">
        <v>46</v>
      </c>
      <c r="I64" t="s">
        <v>79</v>
      </c>
      <c r="J64" t="s">
        <v>64</v>
      </c>
      <c r="K64">
        <v>9</v>
      </c>
      <c r="L64" s="4">
        <v>17200</v>
      </c>
      <c r="M64">
        <v>10</v>
      </c>
      <c r="N64" s="4">
        <v>139320</v>
      </c>
      <c r="O64" t="s">
        <v>85</v>
      </c>
      <c r="P64">
        <v>5</v>
      </c>
      <c r="Q64" t="s">
        <v>65</v>
      </c>
      <c r="R64">
        <v>0</v>
      </c>
    </row>
    <row r="65" spans="1:18" x14ac:dyDescent="0.3">
      <c r="A65" t="s">
        <v>249</v>
      </c>
      <c r="B65" s="1">
        <v>46014</v>
      </c>
      <c r="C65" t="s">
        <v>29</v>
      </c>
      <c r="D65" t="s">
        <v>3292</v>
      </c>
      <c r="E65">
        <v>47</v>
      </c>
      <c r="F65" t="s">
        <v>30</v>
      </c>
      <c r="G65" t="s">
        <v>57</v>
      </c>
      <c r="H65" t="s">
        <v>62</v>
      </c>
      <c r="I65" t="s">
        <v>140</v>
      </c>
      <c r="J65" t="s">
        <v>34</v>
      </c>
      <c r="K65">
        <v>4</v>
      </c>
      <c r="L65" s="4">
        <v>8400</v>
      </c>
      <c r="M65">
        <v>20</v>
      </c>
      <c r="N65" s="4">
        <v>26880</v>
      </c>
      <c r="O65" t="s">
        <v>73</v>
      </c>
      <c r="P65">
        <v>3</v>
      </c>
      <c r="Q65" t="s">
        <v>41</v>
      </c>
      <c r="R65">
        <v>1</v>
      </c>
    </row>
    <row r="66" spans="1:18" x14ac:dyDescent="0.3">
      <c r="A66" t="s">
        <v>259</v>
      </c>
      <c r="B66" s="1">
        <v>45971</v>
      </c>
      <c r="C66" t="s">
        <v>88</v>
      </c>
      <c r="D66" t="s">
        <v>39</v>
      </c>
      <c r="E66">
        <v>22</v>
      </c>
      <c r="F66" t="s">
        <v>51</v>
      </c>
      <c r="G66" t="s">
        <v>104</v>
      </c>
      <c r="H66" t="s">
        <v>62</v>
      </c>
      <c r="I66" t="s">
        <v>63</v>
      </c>
      <c r="J66" t="s">
        <v>24</v>
      </c>
      <c r="K66">
        <v>1</v>
      </c>
      <c r="L66" s="4">
        <v>2300</v>
      </c>
      <c r="M66">
        <v>10</v>
      </c>
      <c r="N66" s="4">
        <v>2070</v>
      </c>
      <c r="O66" t="s">
        <v>85</v>
      </c>
      <c r="Q66" t="s">
        <v>74</v>
      </c>
      <c r="R66">
        <v>0</v>
      </c>
    </row>
    <row r="67" spans="1:18" x14ac:dyDescent="0.3">
      <c r="A67" t="s">
        <v>261</v>
      </c>
      <c r="B67" s="1">
        <v>45866</v>
      </c>
      <c r="C67" t="s">
        <v>71</v>
      </c>
      <c r="D67" t="s">
        <v>3292</v>
      </c>
      <c r="E67">
        <v>55</v>
      </c>
      <c r="F67" t="s">
        <v>77</v>
      </c>
      <c r="G67" t="s">
        <v>95</v>
      </c>
      <c r="H67" t="s">
        <v>22</v>
      </c>
      <c r="I67" t="s">
        <v>84</v>
      </c>
      <c r="J67" t="s">
        <v>89</v>
      </c>
      <c r="K67">
        <v>4</v>
      </c>
      <c r="L67" s="4">
        <v>36400</v>
      </c>
      <c r="M67">
        <v>15</v>
      </c>
      <c r="N67" s="4">
        <v>123760</v>
      </c>
      <c r="O67" t="s">
        <v>85</v>
      </c>
      <c r="Q67" t="s">
        <v>26</v>
      </c>
      <c r="R67">
        <v>0</v>
      </c>
    </row>
    <row r="68" spans="1:18" x14ac:dyDescent="0.3">
      <c r="A68" t="s">
        <v>263</v>
      </c>
      <c r="B68" s="1">
        <v>45685</v>
      </c>
      <c r="C68" t="s">
        <v>29</v>
      </c>
      <c r="D68" t="s">
        <v>20</v>
      </c>
      <c r="E68">
        <v>61</v>
      </c>
      <c r="F68" t="s">
        <v>44</v>
      </c>
      <c r="G68" t="s">
        <v>100</v>
      </c>
      <c r="H68" t="s">
        <v>32</v>
      </c>
      <c r="I68" t="s">
        <v>53</v>
      </c>
      <c r="J68" t="s">
        <v>72</v>
      </c>
      <c r="K68">
        <v>8</v>
      </c>
      <c r="L68" s="4">
        <v>8300</v>
      </c>
      <c r="M68">
        <v>10</v>
      </c>
      <c r="N68" s="4">
        <v>59760</v>
      </c>
      <c r="O68" t="s">
        <v>85</v>
      </c>
      <c r="P68">
        <v>3</v>
      </c>
      <c r="Q68" t="s">
        <v>74</v>
      </c>
      <c r="R68">
        <v>0</v>
      </c>
    </row>
    <row r="69" spans="1:18" x14ac:dyDescent="0.3">
      <c r="A69" t="s">
        <v>266</v>
      </c>
      <c r="B69" s="1">
        <v>46077</v>
      </c>
      <c r="C69" t="s">
        <v>71</v>
      </c>
      <c r="D69" t="s">
        <v>20</v>
      </c>
      <c r="E69">
        <v>65</v>
      </c>
      <c r="F69" t="s">
        <v>44</v>
      </c>
      <c r="G69" t="s">
        <v>45</v>
      </c>
      <c r="H69" t="s">
        <v>46</v>
      </c>
      <c r="I69" t="s">
        <v>47</v>
      </c>
      <c r="J69" t="s">
        <v>34</v>
      </c>
      <c r="K69">
        <v>6</v>
      </c>
      <c r="L69" s="4">
        <v>14600</v>
      </c>
      <c r="M69">
        <v>0</v>
      </c>
      <c r="N69" s="4">
        <v>87600</v>
      </c>
      <c r="O69" t="s">
        <v>25</v>
      </c>
      <c r="Q69" t="s">
        <v>65</v>
      </c>
      <c r="R69">
        <v>0</v>
      </c>
    </row>
    <row r="70" spans="1:18" x14ac:dyDescent="0.3">
      <c r="A70" t="s">
        <v>268</v>
      </c>
      <c r="B70" s="1">
        <v>46166</v>
      </c>
      <c r="C70" t="s">
        <v>29</v>
      </c>
      <c r="D70" t="s">
        <v>20</v>
      </c>
      <c r="E70">
        <v>49</v>
      </c>
      <c r="F70" t="s">
        <v>44</v>
      </c>
      <c r="G70" t="s">
        <v>100</v>
      </c>
      <c r="H70" t="s">
        <v>62</v>
      </c>
      <c r="I70" t="s">
        <v>63</v>
      </c>
      <c r="J70" t="s">
        <v>89</v>
      </c>
      <c r="K70">
        <v>4</v>
      </c>
      <c r="L70" s="4">
        <v>48200</v>
      </c>
      <c r="M70">
        <v>10</v>
      </c>
      <c r="N70" s="4">
        <v>173520</v>
      </c>
      <c r="O70" t="s">
        <v>73</v>
      </c>
      <c r="P70">
        <v>5</v>
      </c>
      <c r="Q70" t="s">
        <v>41</v>
      </c>
      <c r="R70">
        <v>1</v>
      </c>
    </row>
    <row r="71" spans="1:18" x14ac:dyDescent="0.3">
      <c r="A71" t="s">
        <v>270</v>
      </c>
      <c r="B71" s="1">
        <v>46118</v>
      </c>
      <c r="C71" t="s">
        <v>60</v>
      </c>
      <c r="D71" t="s">
        <v>39</v>
      </c>
      <c r="E71">
        <v>33</v>
      </c>
      <c r="F71" t="s">
        <v>21</v>
      </c>
      <c r="G71" t="s">
        <v>21</v>
      </c>
      <c r="H71" t="s">
        <v>46</v>
      </c>
      <c r="I71" t="s">
        <v>47</v>
      </c>
      <c r="J71" t="s">
        <v>80</v>
      </c>
      <c r="K71">
        <v>5</v>
      </c>
      <c r="L71" s="4">
        <v>12300</v>
      </c>
      <c r="M71">
        <v>10</v>
      </c>
      <c r="N71" s="4">
        <v>55350</v>
      </c>
      <c r="O71" t="s">
        <v>25</v>
      </c>
      <c r="P71">
        <v>5</v>
      </c>
      <c r="Q71" t="s">
        <v>74</v>
      </c>
      <c r="R71">
        <v>0</v>
      </c>
    </row>
    <row r="72" spans="1:18" x14ac:dyDescent="0.3">
      <c r="A72" t="s">
        <v>272</v>
      </c>
      <c r="B72" s="1">
        <v>45818</v>
      </c>
      <c r="C72" t="s">
        <v>19</v>
      </c>
      <c r="D72" t="s">
        <v>39</v>
      </c>
      <c r="E72">
        <v>65</v>
      </c>
      <c r="F72" t="s">
        <v>21</v>
      </c>
      <c r="G72" t="s">
        <v>21</v>
      </c>
      <c r="H72" t="s">
        <v>62</v>
      </c>
      <c r="I72" t="s">
        <v>140</v>
      </c>
      <c r="J72" t="s">
        <v>80</v>
      </c>
      <c r="K72">
        <v>10</v>
      </c>
      <c r="L72" s="4">
        <v>6500</v>
      </c>
      <c r="M72">
        <v>5</v>
      </c>
      <c r="N72" s="4">
        <v>61750</v>
      </c>
      <c r="O72" t="s">
        <v>85</v>
      </c>
      <c r="P72">
        <v>4</v>
      </c>
      <c r="Q72" t="s">
        <v>41</v>
      </c>
      <c r="R72">
        <v>1</v>
      </c>
    </row>
    <row r="73" spans="1:18" x14ac:dyDescent="0.3">
      <c r="A73" t="s">
        <v>273</v>
      </c>
      <c r="B73" s="1">
        <v>46177</v>
      </c>
      <c r="C73" t="s">
        <v>19</v>
      </c>
      <c r="D73" t="s">
        <v>20</v>
      </c>
      <c r="E73">
        <v>52</v>
      </c>
      <c r="F73" t="s">
        <v>44</v>
      </c>
      <c r="G73" t="s">
        <v>45</v>
      </c>
      <c r="H73" t="s">
        <v>46</v>
      </c>
      <c r="I73" t="s">
        <v>79</v>
      </c>
      <c r="J73" t="s">
        <v>24</v>
      </c>
      <c r="K73">
        <v>9</v>
      </c>
      <c r="L73" s="4">
        <v>39600</v>
      </c>
      <c r="M73">
        <v>0</v>
      </c>
      <c r="N73" s="4">
        <v>356400</v>
      </c>
      <c r="O73" t="s">
        <v>85</v>
      </c>
      <c r="P73">
        <v>3</v>
      </c>
      <c r="Q73" t="s">
        <v>65</v>
      </c>
      <c r="R73">
        <v>0</v>
      </c>
    </row>
    <row r="74" spans="1:18" x14ac:dyDescent="0.3">
      <c r="A74" t="s">
        <v>275</v>
      </c>
      <c r="B74" s="1">
        <v>45994</v>
      </c>
      <c r="C74" t="s">
        <v>71</v>
      </c>
      <c r="D74" t="s">
        <v>39</v>
      </c>
      <c r="E74">
        <v>150</v>
      </c>
      <c r="F74" t="s">
        <v>44</v>
      </c>
      <c r="G74" t="s">
        <v>45</v>
      </c>
      <c r="H74" t="s">
        <v>22</v>
      </c>
      <c r="I74" t="s">
        <v>84</v>
      </c>
      <c r="J74" t="s">
        <v>34</v>
      </c>
      <c r="K74">
        <v>9</v>
      </c>
      <c r="L74" s="4">
        <v>29400</v>
      </c>
      <c r="M74">
        <v>0</v>
      </c>
      <c r="N74" s="4">
        <v>264600</v>
      </c>
      <c r="O74" t="s">
        <v>85</v>
      </c>
      <c r="P74">
        <v>5</v>
      </c>
      <c r="Q74" t="s">
        <v>65</v>
      </c>
      <c r="R74">
        <v>0</v>
      </c>
    </row>
    <row r="75" spans="1:18" x14ac:dyDescent="0.3">
      <c r="A75" t="s">
        <v>279</v>
      </c>
      <c r="B75" s="1">
        <v>45996</v>
      </c>
      <c r="C75" t="s">
        <v>29</v>
      </c>
      <c r="D75" t="s">
        <v>39</v>
      </c>
      <c r="E75">
        <v>65</v>
      </c>
      <c r="F75" t="s">
        <v>61</v>
      </c>
      <c r="G75" t="s">
        <v>61</v>
      </c>
      <c r="H75" t="s">
        <v>62</v>
      </c>
      <c r="I75" t="s">
        <v>140</v>
      </c>
      <c r="J75" t="s">
        <v>34</v>
      </c>
      <c r="K75">
        <v>4</v>
      </c>
      <c r="L75" s="4">
        <v>30400</v>
      </c>
      <c r="M75">
        <v>10</v>
      </c>
      <c r="N75" s="4">
        <v>109440</v>
      </c>
      <c r="O75" t="s">
        <v>85</v>
      </c>
      <c r="P75">
        <v>1</v>
      </c>
      <c r="Q75" t="s">
        <v>41</v>
      </c>
      <c r="R75">
        <v>1</v>
      </c>
    </row>
    <row r="76" spans="1:18" x14ac:dyDescent="0.3">
      <c r="A76" t="s">
        <v>284</v>
      </c>
      <c r="B76" s="1">
        <v>45909</v>
      </c>
      <c r="C76" t="s">
        <v>19</v>
      </c>
      <c r="D76" t="s">
        <v>39</v>
      </c>
      <c r="E76">
        <v>50</v>
      </c>
      <c r="F76" t="s">
        <v>61</v>
      </c>
      <c r="G76" t="s">
        <v>61</v>
      </c>
      <c r="H76" t="s">
        <v>46</v>
      </c>
      <c r="I76" t="s">
        <v>47</v>
      </c>
      <c r="J76" t="s">
        <v>34</v>
      </c>
      <c r="K76">
        <v>1</v>
      </c>
      <c r="L76" s="4">
        <v>10800</v>
      </c>
      <c r="M76">
        <v>0</v>
      </c>
      <c r="N76" s="4">
        <v>10800</v>
      </c>
      <c r="O76" t="s">
        <v>85</v>
      </c>
      <c r="P76">
        <v>5</v>
      </c>
      <c r="Q76" t="s">
        <v>41</v>
      </c>
      <c r="R76">
        <v>1</v>
      </c>
    </row>
    <row r="77" spans="1:18" x14ac:dyDescent="0.3">
      <c r="A77" t="s">
        <v>286</v>
      </c>
      <c r="B77" s="1">
        <v>45817</v>
      </c>
      <c r="C77" t="s">
        <v>94</v>
      </c>
      <c r="D77" t="s">
        <v>3292</v>
      </c>
      <c r="E77">
        <v>32</v>
      </c>
      <c r="F77" t="s">
        <v>61</v>
      </c>
      <c r="G77" t="s">
        <v>61</v>
      </c>
      <c r="H77" t="s">
        <v>46</v>
      </c>
      <c r="I77" t="s">
        <v>79</v>
      </c>
      <c r="J77" t="s">
        <v>24</v>
      </c>
      <c r="K77">
        <v>2</v>
      </c>
      <c r="L77" s="4">
        <v>2400</v>
      </c>
      <c r="M77">
        <v>15</v>
      </c>
      <c r="N77" s="4">
        <v>4080</v>
      </c>
      <c r="O77" t="s">
        <v>25</v>
      </c>
      <c r="Q77" t="s">
        <v>65</v>
      </c>
      <c r="R77">
        <v>0</v>
      </c>
    </row>
    <row r="78" spans="1:18" x14ac:dyDescent="0.3">
      <c r="A78" t="s">
        <v>288</v>
      </c>
      <c r="B78" s="1">
        <v>45878</v>
      </c>
      <c r="C78" t="s">
        <v>71</v>
      </c>
      <c r="D78" t="s">
        <v>3292</v>
      </c>
      <c r="E78">
        <v>36</v>
      </c>
      <c r="F78" t="s">
        <v>21</v>
      </c>
      <c r="G78" t="s">
        <v>21</v>
      </c>
      <c r="H78" t="s">
        <v>22</v>
      </c>
      <c r="I78" t="s">
        <v>23</v>
      </c>
      <c r="J78" t="s">
        <v>34</v>
      </c>
      <c r="K78">
        <v>7</v>
      </c>
      <c r="L78" s="4">
        <v>11800</v>
      </c>
      <c r="M78">
        <v>25</v>
      </c>
      <c r="N78" s="4">
        <v>61950</v>
      </c>
      <c r="O78" t="s">
        <v>85</v>
      </c>
      <c r="Q78" t="s">
        <v>41</v>
      </c>
      <c r="R78">
        <v>1</v>
      </c>
    </row>
    <row r="79" spans="1:18" x14ac:dyDescent="0.3">
      <c r="A79" t="s">
        <v>290</v>
      </c>
      <c r="B79" s="1">
        <v>45902</v>
      </c>
      <c r="C79" t="s">
        <v>19</v>
      </c>
      <c r="D79" t="s">
        <v>20</v>
      </c>
      <c r="E79">
        <v>48</v>
      </c>
      <c r="F79" t="s">
        <v>77</v>
      </c>
      <c r="G79" t="s">
        <v>78</v>
      </c>
      <c r="H79" t="s">
        <v>62</v>
      </c>
      <c r="I79" t="s">
        <v>63</v>
      </c>
      <c r="J79" t="s">
        <v>64</v>
      </c>
      <c r="K79">
        <v>3</v>
      </c>
      <c r="L79" s="4">
        <v>47400</v>
      </c>
      <c r="M79">
        <v>0</v>
      </c>
      <c r="N79" s="4">
        <v>142200</v>
      </c>
      <c r="O79" t="s">
        <v>25</v>
      </c>
      <c r="Q79" t="s">
        <v>74</v>
      </c>
      <c r="R79">
        <v>0</v>
      </c>
    </row>
    <row r="80" spans="1:18" x14ac:dyDescent="0.3">
      <c r="A80" t="s">
        <v>292</v>
      </c>
      <c r="B80" s="1">
        <v>45788</v>
      </c>
      <c r="C80" t="s">
        <v>60</v>
      </c>
      <c r="D80" t="s">
        <v>3292</v>
      </c>
      <c r="E80">
        <v>58</v>
      </c>
      <c r="F80" t="s">
        <v>61</v>
      </c>
      <c r="G80" t="s">
        <v>61</v>
      </c>
      <c r="H80" t="s">
        <v>32</v>
      </c>
      <c r="I80" t="s">
        <v>33</v>
      </c>
      <c r="J80" t="s">
        <v>89</v>
      </c>
      <c r="K80">
        <v>8</v>
      </c>
      <c r="L80" s="4">
        <v>13100</v>
      </c>
      <c r="M80">
        <v>25</v>
      </c>
      <c r="N80" s="4">
        <v>78600</v>
      </c>
      <c r="O80" t="s">
        <v>25</v>
      </c>
      <c r="Q80" t="s">
        <v>74</v>
      </c>
      <c r="R80">
        <v>0</v>
      </c>
    </row>
    <row r="81" spans="1:18" x14ac:dyDescent="0.3">
      <c r="A81" t="s">
        <v>294</v>
      </c>
      <c r="B81" s="1">
        <v>46031</v>
      </c>
      <c r="C81" t="s">
        <v>94</v>
      </c>
      <c r="D81" t="s">
        <v>39</v>
      </c>
      <c r="E81">
        <v>32</v>
      </c>
      <c r="F81" t="s">
        <v>61</v>
      </c>
      <c r="G81" t="s">
        <v>61</v>
      </c>
      <c r="H81" t="s">
        <v>46</v>
      </c>
      <c r="I81" t="s">
        <v>79</v>
      </c>
      <c r="J81" t="s">
        <v>24</v>
      </c>
      <c r="K81">
        <v>8</v>
      </c>
      <c r="L81" s="4">
        <v>31300</v>
      </c>
      <c r="M81">
        <v>10</v>
      </c>
      <c r="N81" s="4">
        <v>225360</v>
      </c>
      <c r="O81" t="s">
        <v>73</v>
      </c>
      <c r="P81">
        <v>4</v>
      </c>
      <c r="Q81" t="s">
        <v>74</v>
      </c>
      <c r="R81">
        <v>0</v>
      </c>
    </row>
    <row r="82" spans="1:18" x14ac:dyDescent="0.3">
      <c r="A82" t="s">
        <v>296</v>
      </c>
      <c r="B82" s="1">
        <v>46086</v>
      </c>
      <c r="C82" t="s">
        <v>29</v>
      </c>
      <c r="D82" t="s">
        <v>39</v>
      </c>
      <c r="E82">
        <v>22</v>
      </c>
      <c r="F82" t="s">
        <v>51</v>
      </c>
      <c r="G82" t="s">
        <v>52</v>
      </c>
      <c r="H82" t="s">
        <v>22</v>
      </c>
      <c r="I82" t="s">
        <v>23</v>
      </c>
      <c r="J82" t="s">
        <v>72</v>
      </c>
      <c r="K82">
        <v>1</v>
      </c>
      <c r="L82" s="4">
        <v>39900</v>
      </c>
      <c r="M82">
        <v>20</v>
      </c>
      <c r="N82" s="4">
        <v>31920</v>
      </c>
      <c r="O82" t="s">
        <v>25</v>
      </c>
      <c r="P82">
        <v>3</v>
      </c>
      <c r="Q82" t="s">
        <v>26</v>
      </c>
      <c r="R82">
        <v>0</v>
      </c>
    </row>
    <row r="83" spans="1:18" x14ac:dyDescent="0.3">
      <c r="A83" t="s">
        <v>298</v>
      </c>
      <c r="B83" s="1">
        <v>45799</v>
      </c>
      <c r="C83" t="s">
        <v>88</v>
      </c>
      <c r="D83" t="s">
        <v>39</v>
      </c>
      <c r="E83">
        <v>57</v>
      </c>
      <c r="F83" t="s">
        <v>61</v>
      </c>
      <c r="G83" t="s">
        <v>61</v>
      </c>
      <c r="H83" t="s">
        <v>62</v>
      </c>
      <c r="I83" t="s">
        <v>140</v>
      </c>
      <c r="J83" t="s">
        <v>34</v>
      </c>
      <c r="K83">
        <v>7</v>
      </c>
      <c r="L83" s="4">
        <v>4700</v>
      </c>
      <c r="M83">
        <v>15</v>
      </c>
      <c r="N83" s="4">
        <v>27965</v>
      </c>
      <c r="O83" t="s">
        <v>25</v>
      </c>
      <c r="Q83" t="s">
        <v>41</v>
      </c>
      <c r="R83">
        <v>1</v>
      </c>
    </row>
    <row r="84" spans="1:18" x14ac:dyDescent="0.3">
      <c r="A84" t="s">
        <v>300</v>
      </c>
      <c r="B84" s="1">
        <v>46143</v>
      </c>
      <c r="C84" t="s">
        <v>71</v>
      </c>
      <c r="D84" t="s">
        <v>3292</v>
      </c>
      <c r="E84">
        <v>47</v>
      </c>
      <c r="F84" t="s">
        <v>77</v>
      </c>
      <c r="G84" t="s">
        <v>78</v>
      </c>
      <c r="H84" t="s">
        <v>46</v>
      </c>
      <c r="I84" t="s">
        <v>79</v>
      </c>
      <c r="J84" t="s">
        <v>80</v>
      </c>
      <c r="K84">
        <v>1</v>
      </c>
      <c r="L84" s="4">
        <v>37900</v>
      </c>
      <c r="M84">
        <v>25</v>
      </c>
      <c r="N84" s="4">
        <v>28425</v>
      </c>
      <c r="O84" t="s">
        <v>73</v>
      </c>
      <c r="P84">
        <v>1</v>
      </c>
      <c r="Q84" t="s">
        <v>41</v>
      </c>
      <c r="R84">
        <v>1</v>
      </c>
    </row>
    <row r="85" spans="1:18" x14ac:dyDescent="0.3">
      <c r="A85" t="s">
        <v>302</v>
      </c>
      <c r="B85" s="1">
        <v>45817</v>
      </c>
      <c r="C85" t="s">
        <v>113</v>
      </c>
      <c r="D85" t="s">
        <v>20</v>
      </c>
      <c r="E85">
        <v>63</v>
      </c>
      <c r="F85" t="s">
        <v>44</v>
      </c>
      <c r="G85" t="s">
        <v>100</v>
      </c>
      <c r="H85" t="s">
        <v>62</v>
      </c>
      <c r="I85" t="s">
        <v>140</v>
      </c>
      <c r="J85" t="s">
        <v>64</v>
      </c>
      <c r="K85">
        <v>4</v>
      </c>
      <c r="L85" s="4">
        <v>2100</v>
      </c>
      <c r="M85">
        <v>20</v>
      </c>
      <c r="N85" s="4">
        <v>6720</v>
      </c>
      <c r="O85" t="s">
        <v>73</v>
      </c>
      <c r="Q85" t="s">
        <v>41</v>
      </c>
      <c r="R85">
        <v>1</v>
      </c>
    </row>
    <row r="86" spans="1:18" x14ac:dyDescent="0.3">
      <c r="A86" t="s">
        <v>305</v>
      </c>
      <c r="B86" s="1">
        <v>45837</v>
      </c>
      <c r="C86" t="s">
        <v>38</v>
      </c>
      <c r="D86" t="s">
        <v>39</v>
      </c>
      <c r="E86">
        <v>51</v>
      </c>
      <c r="F86" t="s">
        <v>44</v>
      </c>
      <c r="G86" t="s">
        <v>45</v>
      </c>
      <c r="H86" t="s">
        <v>22</v>
      </c>
      <c r="I86" t="s">
        <v>84</v>
      </c>
      <c r="J86" t="s">
        <v>89</v>
      </c>
      <c r="K86">
        <v>7</v>
      </c>
      <c r="L86" s="4">
        <v>5800</v>
      </c>
      <c r="M86">
        <v>5</v>
      </c>
      <c r="N86" s="4">
        <v>38570</v>
      </c>
      <c r="O86" t="s">
        <v>85</v>
      </c>
      <c r="P86">
        <v>4</v>
      </c>
      <c r="Q86" t="s">
        <v>26</v>
      </c>
      <c r="R86">
        <v>0</v>
      </c>
    </row>
    <row r="87" spans="1:18" x14ac:dyDescent="0.3">
      <c r="A87" t="s">
        <v>307</v>
      </c>
      <c r="B87" s="1">
        <v>46174</v>
      </c>
      <c r="C87" t="s">
        <v>88</v>
      </c>
      <c r="D87" t="s">
        <v>20</v>
      </c>
      <c r="E87">
        <v>49</v>
      </c>
      <c r="F87" t="s">
        <v>44</v>
      </c>
      <c r="G87" t="s">
        <v>100</v>
      </c>
      <c r="H87" t="s">
        <v>32</v>
      </c>
      <c r="I87" t="s">
        <v>33</v>
      </c>
      <c r="J87" t="s">
        <v>34</v>
      </c>
      <c r="K87">
        <v>3</v>
      </c>
      <c r="L87" s="4">
        <v>10800</v>
      </c>
      <c r="M87">
        <v>25</v>
      </c>
      <c r="N87" s="4">
        <v>24300</v>
      </c>
      <c r="O87" t="s">
        <v>73</v>
      </c>
      <c r="Q87" t="s">
        <v>41</v>
      </c>
      <c r="R87">
        <v>1</v>
      </c>
    </row>
    <row r="88" spans="1:18" x14ac:dyDescent="0.3">
      <c r="A88" t="s">
        <v>310</v>
      </c>
      <c r="B88" s="1">
        <v>46073</v>
      </c>
      <c r="C88" t="s">
        <v>68</v>
      </c>
      <c r="D88" t="s">
        <v>39</v>
      </c>
      <c r="E88">
        <v>38</v>
      </c>
      <c r="F88" t="s">
        <v>61</v>
      </c>
      <c r="G88" t="s">
        <v>61</v>
      </c>
      <c r="H88" t="s">
        <v>22</v>
      </c>
      <c r="I88" t="s">
        <v>23</v>
      </c>
      <c r="J88" t="s">
        <v>80</v>
      </c>
      <c r="K88">
        <v>9</v>
      </c>
      <c r="L88" s="4">
        <v>50000</v>
      </c>
      <c r="M88">
        <v>10</v>
      </c>
      <c r="N88" s="4">
        <v>405000</v>
      </c>
      <c r="O88" t="s">
        <v>85</v>
      </c>
      <c r="P88">
        <v>3</v>
      </c>
      <c r="Q88" t="s">
        <v>26</v>
      </c>
      <c r="R88">
        <v>0</v>
      </c>
    </row>
    <row r="89" spans="1:18" x14ac:dyDescent="0.3">
      <c r="A89" t="s">
        <v>314</v>
      </c>
      <c r="B89" s="1">
        <v>45983</v>
      </c>
      <c r="C89" t="s">
        <v>68</v>
      </c>
      <c r="D89" t="s">
        <v>20</v>
      </c>
      <c r="E89">
        <v>60</v>
      </c>
      <c r="F89" t="s">
        <v>30</v>
      </c>
      <c r="G89" t="s">
        <v>57</v>
      </c>
      <c r="H89" t="s">
        <v>22</v>
      </c>
      <c r="I89" t="s">
        <v>23</v>
      </c>
      <c r="J89" t="s">
        <v>72</v>
      </c>
      <c r="K89">
        <v>8</v>
      </c>
      <c r="L89" s="4">
        <v>40300</v>
      </c>
      <c r="M89">
        <v>25</v>
      </c>
      <c r="N89" s="4">
        <v>241800</v>
      </c>
      <c r="O89" t="s">
        <v>25</v>
      </c>
      <c r="P89">
        <v>1</v>
      </c>
      <c r="Q89" t="s">
        <v>65</v>
      </c>
      <c r="R89">
        <v>0</v>
      </c>
    </row>
    <row r="90" spans="1:18" x14ac:dyDescent="0.3">
      <c r="A90" t="s">
        <v>318</v>
      </c>
      <c r="B90" s="1">
        <v>45881</v>
      </c>
      <c r="C90" t="s">
        <v>94</v>
      </c>
      <c r="D90" t="s">
        <v>20</v>
      </c>
      <c r="E90">
        <v>56</v>
      </c>
      <c r="F90" t="s">
        <v>77</v>
      </c>
      <c r="G90" t="s">
        <v>95</v>
      </c>
      <c r="H90" t="s">
        <v>22</v>
      </c>
      <c r="I90" t="s">
        <v>84</v>
      </c>
      <c r="J90" t="s">
        <v>89</v>
      </c>
      <c r="K90">
        <v>10</v>
      </c>
      <c r="L90" s="4">
        <v>29100</v>
      </c>
      <c r="M90">
        <v>25</v>
      </c>
      <c r="N90" s="4">
        <v>218250</v>
      </c>
      <c r="O90" t="s">
        <v>85</v>
      </c>
      <c r="P90">
        <v>2</v>
      </c>
      <c r="Q90" t="s">
        <v>26</v>
      </c>
      <c r="R90">
        <v>0</v>
      </c>
    </row>
    <row r="91" spans="1:18" x14ac:dyDescent="0.3">
      <c r="A91" t="s">
        <v>320</v>
      </c>
      <c r="B91" s="1">
        <v>45855</v>
      </c>
      <c r="C91" t="s">
        <v>88</v>
      </c>
      <c r="D91" t="s">
        <v>39</v>
      </c>
      <c r="E91">
        <v>53</v>
      </c>
      <c r="F91" t="s">
        <v>21</v>
      </c>
      <c r="G91" t="s">
        <v>21</v>
      </c>
      <c r="H91" t="s">
        <v>46</v>
      </c>
      <c r="I91" t="s">
        <v>79</v>
      </c>
      <c r="J91" t="s">
        <v>64</v>
      </c>
      <c r="K91">
        <v>4</v>
      </c>
      <c r="L91" s="4">
        <v>8000</v>
      </c>
      <c r="M91">
        <v>20</v>
      </c>
      <c r="N91" s="4">
        <v>25600</v>
      </c>
      <c r="O91" t="s">
        <v>85</v>
      </c>
      <c r="Q91" t="s">
        <v>41</v>
      </c>
      <c r="R91">
        <v>1</v>
      </c>
    </row>
    <row r="92" spans="1:18" x14ac:dyDescent="0.3">
      <c r="A92" t="s">
        <v>322</v>
      </c>
      <c r="B92" s="1">
        <v>45893</v>
      </c>
      <c r="C92" t="s">
        <v>60</v>
      </c>
      <c r="D92" t="s">
        <v>20</v>
      </c>
      <c r="E92">
        <v>26</v>
      </c>
      <c r="F92" t="s">
        <v>30</v>
      </c>
      <c r="G92" t="s">
        <v>57</v>
      </c>
      <c r="H92" t="s">
        <v>22</v>
      </c>
      <c r="I92" t="s">
        <v>23</v>
      </c>
      <c r="J92" t="s">
        <v>72</v>
      </c>
      <c r="K92">
        <v>8</v>
      </c>
      <c r="L92" s="4">
        <v>33300</v>
      </c>
      <c r="M92">
        <v>20</v>
      </c>
      <c r="N92" s="4">
        <v>213120</v>
      </c>
      <c r="O92" t="s">
        <v>85</v>
      </c>
      <c r="Q92" t="s">
        <v>65</v>
      </c>
      <c r="R92">
        <v>0</v>
      </c>
    </row>
    <row r="93" spans="1:18" x14ac:dyDescent="0.3">
      <c r="A93" t="s">
        <v>324</v>
      </c>
      <c r="B93" s="1">
        <v>46036</v>
      </c>
      <c r="C93" t="s">
        <v>68</v>
      </c>
      <c r="D93" t="s">
        <v>3292</v>
      </c>
      <c r="E93">
        <v>35</v>
      </c>
      <c r="F93" t="s">
        <v>44</v>
      </c>
      <c r="G93" t="s">
        <v>100</v>
      </c>
      <c r="H93" t="s">
        <v>22</v>
      </c>
      <c r="I93" t="s">
        <v>23</v>
      </c>
      <c r="J93" t="s">
        <v>72</v>
      </c>
      <c r="K93">
        <v>2</v>
      </c>
      <c r="L93" s="4">
        <v>2200</v>
      </c>
      <c r="M93">
        <v>10</v>
      </c>
      <c r="N93" s="4">
        <v>3960</v>
      </c>
      <c r="O93" t="s">
        <v>73</v>
      </c>
      <c r="P93">
        <v>5</v>
      </c>
      <c r="Q93" t="s">
        <v>26</v>
      </c>
      <c r="R93">
        <v>0</v>
      </c>
    </row>
    <row r="94" spans="1:18" x14ac:dyDescent="0.3">
      <c r="A94" t="s">
        <v>328</v>
      </c>
      <c r="B94" s="1">
        <v>45887</v>
      </c>
      <c r="C94" t="s">
        <v>94</v>
      </c>
      <c r="D94" t="s">
        <v>39</v>
      </c>
      <c r="E94">
        <v>46</v>
      </c>
      <c r="F94" t="s">
        <v>21</v>
      </c>
      <c r="G94" t="s">
        <v>21</v>
      </c>
      <c r="H94" t="s">
        <v>22</v>
      </c>
      <c r="I94" t="s">
        <v>23</v>
      </c>
      <c r="J94" t="s">
        <v>24</v>
      </c>
      <c r="K94">
        <v>4</v>
      </c>
      <c r="L94" s="4">
        <v>8500</v>
      </c>
      <c r="M94">
        <v>0</v>
      </c>
      <c r="N94" s="4">
        <v>34000</v>
      </c>
      <c r="O94" t="s">
        <v>73</v>
      </c>
      <c r="Q94" t="s">
        <v>65</v>
      </c>
      <c r="R94">
        <v>0</v>
      </c>
    </row>
    <row r="95" spans="1:18" x14ac:dyDescent="0.3">
      <c r="A95" t="s">
        <v>330</v>
      </c>
      <c r="B95" s="1">
        <v>46006</v>
      </c>
      <c r="C95" t="s">
        <v>71</v>
      </c>
      <c r="D95" t="s">
        <v>39</v>
      </c>
      <c r="E95">
        <v>38</v>
      </c>
      <c r="F95" t="s">
        <v>61</v>
      </c>
      <c r="G95" t="s">
        <v>61</v>
      </c>
      <c r="H95" t="s">
        <v>22</v>
      </c>
      <c r="I95" t="s">
        <v>23</v>
      </c>
      <c r="J95" t="s">
        <v>89</v>
      </c>
      <c r="K95">
        <v>2</v>
      </c>
      <c r="L95" s="4">
        <v>39100</v>
      </c>
      <c r="M95">
        <v>10</v>
      </c>
      <c r="N95" s="4">
        <v>70380</v>
      </c>
      <c r="O95" t="s">
        <v>73</v>
      </c>
      <c r="Q95" t="s">
        <v>26</v>
      </c>
      <c r="R95">
        <v>0</v>
      </c>
    </row>
    <row r="96" spans="1:18" x14ac:dyDescent="0.3">
      <c r="A96" t="s">
        <v>333</v>
      </c>
      <c r="B96" s="1">
        <v>45679</v>
      </c>
      <c r="C96" t="s">
        <v>88</v>
      </c>
      <c r="D96" t="s">
        <v>39</v>
      </c>
      <c r="E96">
        <v>23</v>
      </c>
      <c r="F96" t="s">
        <v>51</v>
      </c>
      <c r="G96" t="s">
        <v>52</v>
      </c>
      <c r="H96" t="s">
        <v>46</v>
      </c>
      <c r="I96" t="s">
        <v>79</v>
      </c>
      <c r="J96" t="s">
        <v>89</v>
      </c>
      <c r="K96">
        <v>2</v>
      </c>
      <c r="L96" s="4">
        <v>23400</v>
      </c>
      <c r="M96">
        <v>10</v>
      </c>
      <c r="N96" s="4">
        <v>42120</v>
      </c>
      <c r="O96" t="s">
        <v>73</v>
      </c>
      <c r="Q96" t="s">
        <v>26</v>
      </c>
      <c r="R96">
        <v>0</v>
      </c>
    </row>
    <row r="97" spans="1:18" x14ac:dyDescent="0.3">
      <c r="A97" t="s">
        <v>335</v>
      </c>
      <c r="B97" s="1">
        <v>46120</v>
      </c>
      <c r="C97" t="s">
        <v>38</v>
      </c>
      <c r="D97" t="s">
        <v>20</v>
      </c>
      <c r="E97">
        <v>35</v>
      </c>
      <c r="F97" t="s">
        <v>44</v>
      </c>
      <c r="G97" t="s">
        <v>45</v>
      </c>
      <c r="H97" t="s">
        <v>46</v>
      </c>
      <c r="I97" t="s">
        <v>47</v>
      </c>
      <c r="J97" t="s">
        <v>64</v>
      </c>
      <c r="K97">
        <v>8</v>
      </c>
      <c r="L97" s="4">
        <v>40400</v>
      </c>
      <c r="M97">
        <v>15</v>
      </c>
      <c r="N97" s="4">
        <v>274720</v>
      </c>
      <c r="O97" t="s">
        <v>25</v>
      </c>
      <c r="Q97" t="s">
        <v>65</v>
      </c>
      <c r="R97">
        <v>0</v>
      </c>
    </row>
    <row r="98" spans="1:18" x14ac:dyDescent="0.3">
      <c r="A98" t="s">
        <v>342</v>
      </c>
      <c r="B98" s="1">
        <v>45913</v>
      </c>
      <c r="C98" t="s">
        <v>38</v>
      </c>
      <c r="D98" t="s">
        <v>3292</v>
      </c>
      <c r="E98">
        <v>57</v>
      </c>
      <c r="F98" t="s">
        <v>30</v>
      </c>
      <c r="G98" t="s">
        <v>57</v>
      </c>
      <c r="H98" t="s">
        <v>46</v>
      </c>
      <c r="I98" t="s">
        <v>47</v>
      </c>
      <c r="J98" t="s">
        <v>24</v>
      </c>
      <c r="K98">
        <v>4</v>
      </c>
      <c r="L98" s="4">
        <v>2900</v>
      </c>
      <c r="M98">
        <v>5</v>
      </c>
      <c r="N98" s="4">
        <v>11020</v>
      </c>
      <c r="O98" t="s">
        <v>25</v>
      </c>
      <c r="P98">
        <v>1</v>
      </c>
      <c r="Q98" t="s">
        <v>74</v>
      </c>
      <c r="R98">
        <v>0</v>
      </c>
    </row>
    <row r="99" spans="1:18" x14ac:dyDescent="0.3">
      <c r="A99" t="s">
        <v>344</v>
      </c>
      <c r="B99" s="1">
        <v>45722</v>
      </c>
      <c r="C99" t="s">
        <v>113</v>
      </c>
      <c r="D99" t="s">
        <v>3292</v>
      </c>
      <c r="E99">
        <v>18</v>
      </c>
      <c r="F99" t="s">
        <v>30</v>
      </c>
      <c r="G99" t="s">
        <v>57</v>
      </c>
      <c r="H99" t="s">
        <v>22</v>
      </c>
      <c r="I99" t="s">
        <v>84</v>
      </c>
      <c r="J99" t="s">
        <v>89</v>
      </c>
      <c r="K99">
        <v>10</v>
      </c>
      <c r="L99" s="4">
        <v>24700</v>
      </c>
      <c r="M99">
        <v>15</v>
      </c>
      <c r="N99" s="4">
        <v>209950</v>
      </c>
      <c r="O99" t="s">
        <v>85</v>
      </c>
      <c r="P99">
        <v>2</v>
      </c>
      <c r="Q99" t="s">
        <v>74</v>
      </c>
      <c r="R99">
        <v>0</v>
      </c>
    </row>
    <row r="100" spans="1:18" x14ac:dyDescent="0.3">
      <c r="A100" t="s">
        <v>346</v>
      </c>
      <c r="B100" s="1">
        <v>46360</v>
      </c>
      <c r="C100" t="s">
        <v>121</v>
      </c>
      <c r="D100" t="s">
        <v>20</v>
      </c>
      <c r="E100">
        <v>59</v>
      </c>
      <c r="F100" t="s">
        <v>77</v>
      </c>
      <c r="G100" t="s">
        <v>95</v>
      </c>
      <c r="H100" t="s">
        <v>32</v>
      </c>
      <c r="I100" t="s">
        <v>53</v>
      </c>
      <c r="J100" t="s">
        <v>72</v>
      </c>
      <c r="K100">
        <v>9</v>
      </c>
      <c r="L100" s="4">
        <v>14000</v>
      </c>
      <c r="M100">
        <v>25</v>
      </c>
      <c r="N100" s="4">
        <v>94500</v>
      </c>
      <c r="O100" t="s">
        <v>73</v>
      </c>
      <c r="P100">
        <v>1</v>
      </c>
      <c r="Q100" t="s">
        <v>41</v>
      </c>
      <c r="R100">
        <v>1</v>
      </c>
    </row>
    <row r="101" spans="1:18" x14ac:dyDescent="0.3">
      <c r="A101" t="s">
        <v>350</v>
      </c>
      <c r="B101" s="1">
        <v>45764</v>
      </c>
      <c r="C101" t="s">
        <v>94</v>
      </c>
      <c r="D101" t="s">
        <v>3292</v>
      </c>
      <c r="E101">
        <v>54</v>
      </c>
      <c r="F101" t="s">
        <v>21</v>
      </c>
      <c r="G101" t="s">
        <v>21</v>
      </c>
      <c r="H101" t="s">
        <v>22</v>
      </c>
      <c r="I101" t="s">
        <v>23</v>
      </c>
      <c r="J101" t="s">
        <v>64</v>
      </c>
      <c r="K101">
        <v>10</v>
      </c>
      <c r="L101" s="4">
        <v>47700</v>
      </c>
      <c r="M101">
        <v>0</v>
      </c>
      <c r="N101" s="4">
        <v>477000</v>
      </c>
      <c r="O101" t="s">
        <v>25</v>
      </c>
      <c r="P101">
        <v>2</v>
      </c>
      <c r="Q101" t="s">
        <v>41</v>
      </c>
      <c r="R101">
        <v>1</v>
      </c>
    </row>
    <row r="102" spans="1:18" x14ac:dyDescent="0.3">
      <c r="A102" t="s">
        <v>356</v>
      </c>
      <c r="B102" s="1">
        <v>46145</v>
      </c>
      <c r="C102" t="s">
        <v>60</v>
      </c>
      <c r="D102" t="s">
        <v>20</v>
      </c>
      <c r="E102">
        <v>47</v>
      </c>
      <c r="F102" t="s">
        <v>44</v>
      </c>
      <c r="G102" t="s">
        <v>100</v>
      </c>
      <c r="H102" t="s">
        <v>62</v>
      </c>
      <c r="I102" t="s">
        <v>140</v>
      </c>
      <c r="J102" t="s">
        <v>89</v>
      </c>
      <c r="K102">
        <v>1</v>
      </c>
      <c r="L102" s="4">
        <v>20000</v>
      </c>
      <c r="M102">
        <v>20</v>
      </c>
      <c r="N102" s="4">
        <v>16000</v>
      </c>
      <c r="O102" t="s">
        <v>25</v>
      </c>
      <c r="P102">
        <v>2</v>
      </c>
      <c r="Q102" t="s">
        <v>65</v>
      </c>
      <c r="R102">
        <v>0</v>
      </c>
    </row>
    <row r="103" spans="1:18" x14ac:dyDescent="0.3">
      <c r="A103" t="s">
        <v>359</v>
      </c>
      <c r="B103" s="1">
        <v>46057</v>
      </c>
      <c r="C103" t="s">
        <v>121</v>
      </c>
      <c r="D103" t="s">
        <v>20</v>
      </c>
      <c r="E103">
        <v>35</v>
      </c>
      <c r="F103" t="s">
        <v>77</v>
      </c>
      <c r="G103" t="s">
        <v>78</v>
      </c>
      <c r="H103" t="s">
        <v>62</v>
      </c>
      <c r="I103" t="s">
        <v>140</v>
      </c>
      <c r="J103" t="s">
        <v>34</v>
      </c>
      <c r="K103">
        <v>4</v>
      </c>
      <c r="L103" s="4">
        <v>4100</v>
      </c>
      <c r="M103">
        <v>10</v>
      </c>
      <c r="N103" s="4">
        <v>14760</v>
      </c>
      <c r="O103" t="s">
        <v>25</v>
      </c>
      <c r="Q103" t="s">
        <v>26</v>
      </c>
      <c r="R103">
        <v>0</v>
      </c>
    </row>
    <row r="104" spans="1:18" x14ac:dyDescent="0.3">
      <c r="A104" t="s">
        <v>361</v>
      </c>
      <c r="B104" s="1">
        <v>45902</v>
      </c>
      <c r="C104" t="s">
        <v>29</v>
      </c>
      <c r="D104" t="s">
        <v>20</v>
      </c>
      <c r="E104">
        <v>37</v>
      </c>
      <c r="F104" t="s">
        <v>30</v>
      </c>
      <c r="G104" t="s">
        <v>31</v>
      </c>
      <c r="H104" t="s">
        <v>22</v>
      </c>
      <c r="I104" t="s">
        <v>23</v>
      </c>
      <c r="J104" t="s">
        <v>24</v>
      </c>
      <c r="K104">
        <v>10</v>
      </c>
      <c r="L104" s="4">
        <v>26200</v>
      </c>
      <c r="M104">
        <v>15</v>
      </c>
      <c r="N104" s="4">
        <v>222700</v>
      </c>
      <c r="O104" t="s">
        <v>25</v>
      </c>
      <c r="P104">
        <v>1</v>
      </c>
      <c r="Q104" t="s">
        <v>41</v>
      </c>
      <c r="R104">
        <v>1</v>
      </c>
    </row>
    <row r="105" spans="1:18" x14ac:dyDescent="0.3">
      <c r="A105" t="s">
        <v>363</v>
      </c>
      <c r="B105" s="1">
        <v>45790</v>
      </c>
      <c r="C105" t="s">
        <v>19</v>
      </c>
      <c r="D105" t="s">
        <v>39</v>
      </c>
      <c r="E105">
        <v>30</v>
      </c>
      <c r="F105" t="s">
        <v>77</v>
      </c>
      <c r="G105" t="s">
        <v>95</v>
      </c>
      <c r="H105" t="s">
        <v>46</v>
      </c>
      <c r="I105" t="s">
        <v>47</v>
      </c>
      <c r="J105" t="s">
        <v>34</v>
      </c>
      <c r="K105">
        <v>10</v>
      </c>
      <c r="L105" s="4">
        <v>46600</v>
      </c>
      <c r="M105">
        <v>15</v>
      </c>
      <c r="N105" s="4">
        <v>396100</v>
      </c>
      <c r="O105" t="s">
        <v>25</v>
      </c>
      <c r="Q105" t="s">
        <v>74</v>
      </c>
      <c r="R105">
        <v>0</v>
      </c>
    </row>
    <row r="106" spans="1:18" x14ac:dyDescent="0.3">
      <c r="A106" t="s">
        <v>365</v>
      </c>
      <c r="B106" s="1">
        <v>46005</v>
      </c>
      <c r="C106" t="s">
        <v>29</v>
      </c>
      <c r="D106" t="s">
        <v>39</v>
      </c>
      <c r="E106">
        <v>64</v>
      </c>
      <c r="F106" t="s">
        <v>51</v>
      </c>
      <c r="G106" t="s">
        <v>104</v>
      </c>
      <c r="H106" t="s">
        <v>22</v>
      </c>
      <c r="I106" t="s">
        <v>23</v>
      </c>
      <c r="J106" t="s">
        <v>80</v>
      </c>
      <c r="K106">
        <v>2</v>
      </c>
      <c r="L106" s="4">
        <v>22600</v>
      </c>
      <c r="M106">
        <v>20</v>
      </c>
      <c r="N106" s="4">
        <v>36160</v>
      </c>
      <c r="O106" t="s">
        <v>25</v>
      </c>
      <c r="P106">
        <v>2</v>
      </c>
      <c r="Q106" t="s">
        <v>41</v>
      </c>
      <c r="R106">
        <v>1</v>
      </c>
    </row>
    <row r="107" spans="1:18" x14ac:dyDescent="0.3">
      <c r="A107" t="s">
        <v>367</v>
      </c>
      <c r="B107" s="1">
        <v>45670</v>
      </c>
      <c r="C107" t="s">
        <v>29</v>
      </c>
      <c r="D107" t="s">
        <v>39</v>
      </c>
      <c r="E107">
        <v>30</v>
      </c>
      <c r="F107" t="s">
        <v>51</v>
      </c>
      <c r="G107" t="s">
        <v>52</v>
      </c>
      <c r="H107" t="s">
        <v>22</v>
      </c>
      <c r="I107" t="s">
        <v>23</v>
      </c>
      <c r="J107" t="s">
        <v>72</v>
      </c>
      <c r="K107">
        <v>6</v>
      </c>
      <c r="L107" s="4">
        <v>38000</v>
      </c>
      <c r="M107">
        <v>15</v>
      </c>
      <c r="N107" s="4">
        <v>193800</v>
      </c>
      <c r="O107" t="s">
        <v>85</v>
      </c>
      <c r="P107">
        <v>4</v>
      </c>
      <c r="Q107" t="s">
        <v>26</v>
      </c>
      <c r="R107">
        <v>0</v>
      </c>
    </row>
    <row r="108" spans="1:18" x14ac:dyDescent="0.3">
      <c r="A108" t="s">
        <v>371</v>
      </c>
      <c r="B108" s="1">
        <v>45824</v>
      </c>
      <c r="C108" t="s">
        <v>88</v>
      </c>
      <c r="D108" t="s">
        <v>39</v>
      </c>
      <c r="E108">
        <v>55</v>
      </c>
      <c r="F108" t="s">
        <v>21</v>
      </c>
      <c r="G108" t="s">
        <v>21</v>
      </c>
      <c r="H108" t="s">
        <v>22</v>
      </c>
      <c r="I108" t="s">
        <v>84</v>
      </c>
      <c r="J108" t="s">
        <v>64</v>
      </c>
      <c r="K108">
        <v>2</v>
      </c>
      <c r="L108" s="4">
        <v>38200</v>
      </c>
      <c r="M108">
        <v>20</v>
      </c>
      <c r="N108" s="4">
        <v>61120</v>
      </c>
      <c r="O108" t="s">
        <v>85</v>
      </c>
      <c r="P108">
        <v>4</v>
      </c>
      <c r="Q108" t="s">
        <v>74</v>
      </c>
      <c r="R108">
        <v>0</v>
      </c>
    </row>
    <row r="109" spans="1:18" x14ac:dyDescent="0.3">
      <c r="A109" t="s">
        <v>373</v>
      </c>
      <c r="B109" s="1">
        <v>46049</v>
      </c>
      <c r="C109" t="s">
        <v>71</v>
      </c>
      <c r="D109" t="s">
        <v>39</v>
      </c>
      <c r="E109">
        <v>26</v>
      </c>
      <c r="F109" t="s">
        <v>21</v>
      </c>
      <c r="G109" t="s">
        <v>21</v>
      </c>
      <c r="H109" t="s">
        <v>62</v>
      </c>
      <c r="I109" t="s">
        <v>140</v>
      </c>
      <c r="J109" t="s">
        <v>34</v>
      </c>
      <c r="K109">
        <v>2</v>
      </c>
      <c r="L109" s="4">
        <v>39700</v>
      </c>
      <c r="M109">
        <v>25</v>
      </c>
      <c r="N109" s="4">
        <v>59550</v>
      </c>
      <c r="O109" t="s">
        <v>85</v>
      </c>
      <c r="Q109" t="s">
        <v>65</v>
      </c>
      <c r="R109">
        <v>0</v>
      </c>
    </row>
    <row r="110" spans="1:18" x14ac:dyDescent="0.3">
      <c r="A110" t="s">
        <v>375</v>
      </c>
      <c r="B110" s="1">
        <v>45981</v>
      </c>
      <c r="C110" t="s">
        <v>94</v>
      </c>
      <c r="D110" t="s">
        <v>20</v>
      </c>
      <c r="E110">
        <v>60</v>
      </c>
      <c r="F110" t="s">
        <v>21</v>
      </c>
      <c r="G110" t="s">
        <v>21</v>
      </c>
      <c r="H110" t="s">
        <v>22</v>
      </c>
      <c r="I110" t="s">
        <v>84</v>
      </c>
      <c r="J110" t="s">
        <v>24</v>
      </c>
      <c r="K110">
        <v>3</v>
      </c>
      <c r="L110" s="4">
        <v>49100</v>
      </c>
      <c r="M110">
        <v>20</v>
      </c>
      <c r="N110" s="4">
        <v>117840</v>
      </c>
      <c r="O110" t="s">
        <v>73</v>
      </c>
      <c r="P110">
        <v>4</v>
      </c>
      <c r="Q110" t="s">
        <v>41</v>
      </c>
      <c r="R110">
        <v>1</v>
      </c>
    </row>
    <row r="111" spans="1:18" x14ac:dyDescent="0.3">
      <c r="A111" t="s">
        <v>376</v>
      </c>
      <c r="B111" s="1">
        <v>45859</v>
      </c>
      <c r="C111" t="s">
        <v>29</v>
      </c>
      <c r="D111" t="s">
        <v>39</v>
      </c>
      <c r="E111">
        <v>34</v>
      </c>
      <c r="F111" t="s">
        <v>21</v>
      </c>
      <c r="G111" t="s">
        <v>21</v>
      </c>
      <c r="H111" t="s">
        <v>32</v>
      </c>
      <c r="I111" t="s">
        <v>53</v>
      </c>
      <c r="J111" t="s">
        <v>89</v>
      </c>
      <c r="K111">
        <v>6</v>
      </c>
      <c r="L111" s="4">
        <v>10400</v>
      </c>
      <c r="M111">
        <v>0</v>
      </c>
      <c r="N111" s="4">
        <v>62400</v>
      </c>
      <c r="O111" t="s">
        <v>25</v>
      </c>
      <c r="Q111" t="s">
        <v>26</v>
      </c>
      <c r="R111">
        <v>0</v>
      </c>
    </row>
    <row r="112" spans="1:18" x14ac:dyDescent="0.3">
      <c r="A112" t="s">
        <v>380</v>
      </c>
      <c r="B112" s="1">
        <v>45956</v>
      </c>
      <c r="C112" t="s">
        <v>71</v>
      </c>
      <c r="D112" t="s">
        <v>39</v>
      </c>
      <c r="E112">
        <v>63</v>
      </c>
      <c r="F112" t="s">
        <v>21</v>
      </c>
      <c r="G112" t="s">
        <v>21</v>
      </c>
      <c r="H112" t="s">
        <v>32</v>
      </c>
      <c r="I112" t="s">
        <v>33</v>
      </c>
      <c r="J112" t="s">
        <v>34</v>
      </c>
      <c r="K112">
        <v>8</v>
      </c>
      <c r="L112" s="4">
        <v>19900</v>
      </c>
      <c r="M112">
        <v>10</v>
      </c>
      <c r="N112" s="4">
        <v>143280</v>
      </c>
      <c r="O112" t="s">
        <v>85</v>
      </c>
      <c r="P112">
        <v>1</v>
      </c>
      <c r="Q112" t="s">
        <v>26</v>
      </c>
      <c r="R112">
        <v>0</v>
      </c>
    </row>
    <row r="113" spans="1:18" x14ac:dyDescent="0.3">
      <c r="A113" t="s">
        <v>382</v>
      </c>
      <c r="B113" s="1">
        <v>46108</v>
      </c>
      <c r="C113" t="s">
        <v>29</v>
      </c>
      <c r="D113" t="s">
        <v>20</v>
      </c>
      <c r="E113">
        <v>54</v>
      </c>
      <c r="F113" t="s">
        <v>77</v>
      </c>
      <c r="G113" t="s">
        <v>95</v>
      </c>
      <c r="H113" t="s">
        <v>46</v>
      </c>
      <c r="I113" t="s">
        <v>47</v>
      </c>
      <c r="J113" t="s">
        <v>64</v>
      </c>
      <c r="K113">
        <v>7</v>
      </c>
      <c r="L113" s="4">
        <v>22400</v>
      </c>
      <c r="M113">
        <v>25</v>
      </c>
      <c r="N113" s="4">
        <v>117600</v>
      </c>
      <c r="O113" t="s">
        <v>25</v>
      </c>
      <c r="P113">
        <v>1</v>
      </c>
      <c r="Q113" t="s">
        <v>65</v>
      </c>
      <c r="R113">
        <v>0</v>
      </c>
    </row>
    <row r="114" spans="1:18" x14ac:dyDescent="0.3">
      <c r="A114" t="s">
        <v>384</v>
      </c>
      <c r="B114" s="1">
        <v>45760</v>
      </c>
      <c r="C114" t="s">
        <v>68</v>
      </c>
      <c r="D114" t="s">
        <v>3292</v>
      </c>
      <c r="E114">
        <v>41</v>
      </c>
      <c r="F114" t="s">
        <v>51</v>
      </c>
      <c r="G114" t="s">
        <v>52</v>
      </c>
      <c r="H114" t="s">
        <v>46</v>
      </c>
      <c r="I114" t="s">
        <v>79</v>
      </c>
      <c r="J114" t="s">
        <v>89</v>
      </c>
      <c r="K114">
        <v>6</v>
      </c>
      <c r="L114" s="4">
        <v>21800</v>
      </c>
      <c r="M114">
        <v>20</v>
      </c>
      <c r="N114" s="4">
        <v>104640</v>
      </c>
      <c r="O114" t="s">
        <v>73</v>
      </c>
      <c r="P114">
        <v>2</v>
      </c>
      <c r="Q114" t="s">
        <v>26</v>
      </c>
      <c r="R114">
        <v>0</v>
      </c>
    </row>
    <row r="115" spans="1:18" x14ac:dyDescent="0.3">
      <c r="A115" t="s">
        <v>388</v>
      </c>
      <c r="B115" s="1">
        <v>46068</v>
      </c>
      <c r="C115" t="s">
        <v>113</v>
      </c>
      <c r="D115" t="s">
        <v>20</v>
      </c>
      <c r="E115">
        <v>25</v>
      </c>
      <c r="F115" t="s">
        <v>61</v>
      </c>
      <c r="G115" t="s">
        <v>61</v>
      </c>
      <c r="H115" t="s">
        <v>32</v>
      </c>
      <c r="I115" t="s">
        <v>53</v>
      </c>
      <c r="J115" t="s">
        <v>34</v>
      </c>
      <c r="K115">
        <v>3</v>
      </c>
      <c r="L115" s="4">
        <v>25700</v>
      </c>
      <c r="M115">
        <v>25</v>
      </c>
      <c r="N115" s="4">
        <v>57825</v>
      </c>
      <c r="O115" t="s">
        <v>25</v>
      </c>
      <c r="Q115" t="s">
        <v>74</v>
      </c>
      <c r="R115">
        <v>0</v>
      </c>
    </row>
    <row r="116" spans="1:18" x14ac:dyDescent="0.3">
      <c r="A116" t="s">
        <v>391</v>
      </c>
      <c r="B116" s="1">
        <v>45662</v>
      </c>
      <c r="C116" t="s">
        <v>94</v>
      </c>
      <c r="D116" t="s">
        <v>20</v>
      </c>
      <c r="E116">
        <v>52</v>
      </c>
      <c r="F116" t="s">
        <v>77</v>
      </c>
      <c r="G116" t="s">
        <v>78</v>
      </c>
      <c r="H116" t="s">
        <v>32</v>
      </c>
      <c r="I116" t="s">
        <v>53</v>
      </c>
      <c r="J116" t="s">
        <v>34</v>
      </c>
      <c r="K116">
        <v>10</v>
      </c>
      <c r="L116" s="4">
        <v>3700</v>
      </c>
      <c r="M116">
        <v>15</v>
      </c>
      <c r="N116" s="4">
        <v>31450</v>
      </c>
      <c r="O116" t="s">
        <v>73</v>
      </c>
      <c r="P116">
        <v>4</v>
      </c>
      <c r="Q116" t="s">
        <v>26</v>
      </c>
      <c r="R116">
        <v>0</v>
      </c>
    </row>
    <row r="117" spans="1:18" x14ac:dyDescent="0.3">
      <c r="A117" t="s">
        <v>393</v>
      </c>
      <c r="B117" s="1">
        <v>45735</v>
      </c>
      <c r="C117" t="s">
        <v>60</v>
      </c>
      <c r="D117" t="s">
        <v>39</v>
      </c>
      <c r="E117">
        <v>24</v>
      </c>
      <c r="F117" t="s">
        <v>61</v>
      </c>
      <c r="G117" t="s">
        <v>61</v>
      </c>
      <c r="H117" t="s">
        <v>46</v>
      </c>
      <c r="I117" t="s">
        <v>79</v>
      </c>
      <c r="J117" t="s">
        <v>72</v>
      </c>
      <c r="K117">
        <v>9</v>
      </c>
      <c r="L117" s="4">
        <v>18800</v>
      </c>
      <c r="M117">
        <v>5</v>
      </c>
      <c r="N117" s="4">
        <v>160740</v>
      </c>
      <c r="O117" t="s">
        <v>25</v>
      </c>
      <c r="P117">
        <v>2</v>
      </c>
      <c r="Q117" t="s">
        <v>74</v>
      </c>
      <c r="R117">
        <v>0</v>
      </c>
    </row>
    <row r="118" spans="1:18" x14ac:dyDescent="0.3">
      <c r="A118" t="s">
        <v>396</v>
      </c>
      <c r="B118" s="1">
        <v>45968</v>
      </c>
      <c r="C118" t="s">
        <v>113</v>
      </c>
      <c r="D118" t="s">
        <v>20</v>
      </c>
      <c r="E118">
        <v>28</v>
      </c>
      <c r="F118" t="s">
        <v>77</v>
      </c>
      <c r="G118" t="s">
        <v>95</v>
      </c>
      <c r="H118" t="s">
        <v>32</v>
      </c>
      <c r="I118" t="s">
        <v>53</v>
      </c>
      <c r="J118" t="s">
        <v>24</v>
      </c>
      <c r="K118">
        <v>3</v>
      </c>
      <c r="L118" s="4">
        <v>20600</v>
      </c>
      <c r="M118">
        <v>25</v>
      </c>
      <c r="N118" s="4">
        <v>46350</v>
      </c>
      <c r="O118" t="s">
        <v>85</v>
      </c>
      <c r="P118">
        <v>3</v>
      </c>
      <c r="Q118" t="s">
        <v>74</v>
      </c>
      <c r="R118">
        <v>0</v>
      </c>
    </row>
    <row r="119" spans="1:18" x14ac:dyDescent="0.3">
      <c r="A119" t="s">
        <v>402</v>
      </c>
      <c r="B119" s="1">
        <v>46268</v>
      </c>
      <c r="C119" t="s">
        <v>113</v>
      </c>
      <c r="D119" t="s">
        <v>39</v>
      </c>
      <c r="E119">
        <v>30</v>
      </c>
      <c r="F119" t="s">
        <v>21</v>
      </c>
      <c r="G119" t="s">
        <v>21</v>
      </c>
      <c r="H119" t="s">
        <v>22</v>
      </c>
      <c r="I119" t="s">
        <v>23</v>
      </c>
      <c r="J119" t="s">
        <v>64</v>
      </c>
      <c r="K119">
        <v>5</v>
      </c>
      <c r="L119" s="4">
        <v>37800</v>
      </c>
      <c r="M119">
        <v>5</v>
      </c>
      <c r="N119" s="4">
        <v>179550</v>
      </c>
      <c r="O119" t="s">
        <v>73</v>
      </c>
      <c r="P119">
        <v>1</v>
      </c>
      <c r="Q119" t="s">
        <v>41</v>
      </c>
      <c r="R119">
        <v>1</v>
      </c>
    </row>
    <row r="120" spans="1:18" x14ac:dyDescent="0.3">
      <c r="A120" t="s">
        <v>404</v>
      </c>
      <c r="B120" s="1">
        <v>45903</v>
      </c>
      <c r="C120" t="s">
        <v>19</v>
      </c>
      <c r="D120" t="s">
        <v>39</v>
      </c>
      <c r="E120">
        <v>30</v>
      </c>
      <c r="F120" t="s">
        <v>77</v>
      </c>
      <c r="G120" t="s">
        <v>95</v>
      </c>
      <c r="H120" t="s">
        <v>22</v>
      </c>
      <c r="I120" t="s">
        <v>84</v>
      </c>
      <c r="J120" t="s">
        <v>72</v>
      </c>
      <c r="K120">
        <v>1</v>
      </c>
      <c r="L120" s="4">
        <v>35900</v>
      </c>
      <c r="M120">
        <v>20</v>
      </c>
      <c r="N120" s="4">
        <v>28720</v>
      </c>
      <c r="O120" t="s">
        <v>73</v>
      </c>
      <c r="P120">
        <v>1</v>
      </c>
      <c r="Q120" t="s">
        <v>74</v>
      </c>
      <c r="R120">
        <v>0</v>
      </c>
    </row>
    <row r="121" spans="1:18" x14ac:dyDescent="0.3">
      <c r="A121" t="s">
        <v>408</v>
      </c>
      <c r="B121" s="1">
        <v>45929</v>
      </c>
      <c r="C121" t="s">
        <v>71</v>
      </c>
      <c r="D121" t="s">
        <v>39</v>
      </c>
      <c r="E121">
        <v>19</v>
      </c>
      <c r="F121" t="s">
        <v>77</v>
      </c>
      <c r="G121" t="s">
        <v>78</v>
      </c>
      <c r="H121" t="s">
        <v>62</v>
      </c>
      <c r="I121" t="s">
        <v>63</v>
      </c>
      <c r="J121" t="s">
        <v>24</v>
      </c>
      <c r="K121">
        <v>10</v>
      </c>
      <c r="L121" s="4">
        <v>39800</v>
      </c>
      <c r="M121">
        <v>15</v>
      </c>
      <c r="N121" s="4">
        <v>338300</v>
      </c>
      <c r="O121" t="s">
        <v>25</v>
      </c>
      <c r="Q121" t="s">
        <v>26</v>
      </c>
      <c r="R121">
        <v>0</v>
      </c>
    </row>
    <row r="122" spans="1:18" x14ac:dyDescent="0.3">
      <c r="A122" t="s">
        <v>412</v>
      </c>
      <c r="B122" s="1">
        <v>45995</v>
      </c>
      <c r="C122" t="s">
        <v>121</v>
      </c>
      <c r="D122" t="s">
        <v>20</v>
      </c>
      <c r="E122">
        <v>52</v>
      </c>
      <c r="F122" t="s">
        <v>77</v>
      </c>
      <c r="G122" t="s">
        <v>78</v>
      </c>
      <c r="H122" t="s">
        <v>46</v>
      </c>
      <c r="I122" t="s">
        <v>47</v>
      </c>
      <c r="J122" t="s">
        <v>80</v>
      </c>
      <c r="K122">
        <v>9</v>
      </c>
      <c r="L122" s="4">
        <v>2200</v>
      </c>
      <c r="M122">
        <v>25</v>
      </c>
      <c r="N122" s="4">
        <v>14850</v>
      </c>
      <c r="O122" t="s">
        <v>85</v>
      </c>
      <c r="P122">
        <v>1</v>
      </c>
      <c r="Q122" t="s">
        <v>65</v>
      </c>
      <c r="R122">
        <v>0</v>
      </c>
    </row>
    <row r="123" spans="1:18" x14ac:dyDescent="0.3">
      <c r="A123" t="s">
        <v>414</v>
      </c>
      <c r="B123" s="1">
        <v>45785</v>
      </c>
      <c r="C123" t="s">
        <v>94</v>
      </c>
      <c r="D123" t="s">
        <v>3292</v>
      </c>
      <c r="E123">
        <v>43</v>
      </c>
      <c r="F123" t="s">
        <v>44</v>
      </c>
      <c r="G123" t="s">
        <v>45</v>
      </c>
      <c r="H123" t="s">
        <v>32</v>
      </c>
      <c r="I123" t="s">
        <v>33</v>
      </c>
      <c r="J123" t="s">
        <v>34</v>
      </c>
      <c r="K123">
        <v>9</v>
      </c>
      <c r="L123" s="4">
        <v>24900</v>
      </c>
      <c r="M123">
        <v>0</v>
      </c>
      <c r="N123" s="4">
        <v>224100</v>
      </c>
      <c r="O123" t="s">
        <v>85</v>
      </c>
      <c r="Q123" t="s">
        <v>41</v>
      </c>
      <c r="R123">
        <v>1</v>
      </c>
    </row>
    <row r="124" spans="1:18" x14ac:dyDescent="0.3">
      <c r="A124" t="s">
        <v>416</v>
      </c>
      <c r="B124" s="1">
        <v>45763</v>
      </c>
      <c r="C124" t="s">
        <v>113</v>
      </c>
      <c r="D124" t="s">
        <v>20</v>
      </c>
      <c r="E124">
        <v>33</v>
      </c>
      <c r="F124" t="s">
        <v>30</v>
      </c>
      <c r="G124" t="s">
        <v>57</v>
      </c>
      <c r="H124" t="s">
        <v>32</v>
      </c>
      <c r="I124" t="s">
        <v>53</v>
      </c>
      <c r="J124" t="s">
        <v>24</v>
      </c>
      <c r="K124">
        <v>5</v>
      </c>
      <c r="L124" s="4">
        <v>12700</v>
      </c>
      <c r="M124">
        <v>15</v>
      </c>
      <c r="N124" s="4">
        <v>53975</v>
      </c>
      <c r="O124" t="s">
        <v>25</v>
      </c>
      <c r="P124">
        <v>5</v>
      </c>
      <c r="Q124" t="s">
        <v>74</v>
      </c>
      <c r="R124">
        <v>0</v>
      </c>
    </row>
    <row r="125" spans="1:18" x14ac:dyDescent="0.3">
      <c r="A125" t="s">
        <v>418</v>
      </c>
      <c r="B125" s="1">
        <v>46031</v>
      </c>
      <c r="C125" t="s">
        <v>38</v>
      </c>
      <c r="D125" t="s">
        <v>20</v>
      </c>
      <c r="E125">
        <v>40</v>
      </c>
      <c r="F125" t="s">
        <v>44</v>
      </c>
      <c r="G125" t="s">
        <v>100</v>
      </c>
      <c r="H125" t="s">
        <v>22</v>
      </c>
      <c r="I125" t="s">
        <v>84</v>
      </c>
      <c r="J125" t="s">
        <v>24</v>
      </c>
      <c r="K125">
        <v>9</v>
      </c>
      <c r="L125" s="4">
        <v>16700</v>
      </c>
      <c r="M125">
        <v>20</v>
      </c>
      <c r="N125" s="4">
        <v>120240</v>
      </c>
      <c r="O125" t="s">
        <v>85</v>
      </c>
      <c r="P125">
        <v>5</v>
      </c>
      <c r="Q125" t="s">
        <v>26</v>
      </c>
      <c r="R125">
        <v>0</v>
      </c>
    </row>
    <row r="126" spans="1:18" x14ac:dyDescent="0.3">
      <c r="A126" t="s">
        <v>419</v>
      </c>
      <c r="B126" s="1">
        <v>45957</v>
      </c>
      <c r="C126" t="s">
        <v>88</v>
      </c>
      <c r="D126" t="s">
        <v>3292</v>
      </c>
      <c r="E126">
        <v>59</v>
      </c>
      <c r="F126" t="s">
        <v>21</v>
      </c>
      <c r="G126" t="s">
        <v>21</v>
      </c>
      <c r="H126" t="s">
        <v>32</v>
      </c>
      <c r="I126" t="s">
        <v>33</v>
      </c>
      <c r="J126" t="s">
        <v>24</v>
      </c>
      <c r="K126">
        <v>10</v>
      </c>
      <c r="L126" s="4">
        <v>33600</v>
      </c>
      <c r="M126">
        <v>0</v>
      </c>
      <c r="N126" s="4">
        <v>336000</v>
      </c>
      <c r="O126" t="s">
        <v>73</v>
      </c>
      <c r="P126">
        <v>3</v>
      </c>
      <c r="Q126" t="s">
        <v>65</v>
      </c>
      <c r="R126">
        <v>0</v>
      </c>
    </row>
    <row r="127" spans="1:18" x14ac:dyDescent="0.3">
      <c r="A127" t="s">
        <v>421</v>
      </c>
      <c r="B127" s="1">
        <v>46053</v>
      </c>
      <c r="C127" t="s">
        <v>88</v>
      </c>
      <c r="D127" t="s">
        <v>3292</v>
      </c>
      <c r="E127">
        <v>59</v>
      </c>
      <c r="F127" t="s">
        <v>77</v>
      </c>
      <c r="G127" t="s">
        <v>78</v>
      </c>
      <c r="H127" t="s">
        <v>46</v>
      </c>
      <c r="I127" t="s">
        <v>79</v>
      </c>
      <c r="J127" t="s">
        <v>72</v>
      </c>
      <c r="K127">
        <v>2</v>
      </c>
      <c r="L127" s="4">
        <v>43300</v>
      </c>
      <c r="M127">
        <v>10</v>
      </c>
      <c r="N127" s="4">
        <v>77940</v>
      </c>
      <c r="O127" t="s">
        <v>25</v>
      </c>
      <c r="P127">
        <v>5</v>
      </c>
      <c r="Q127" t="s">
        <v>26</v>
      </c>
      <c r="R127">
        <v>0</v>
      </c>
    </row>
    <row r="128" spans="1:18" x14ac:dyDescent="0.3">
      <c r="A128" t="s">
        <v>425</v>
      </c>
      <c r="B128" s="1">
        <v>45888</v>
      </c>
      <c r="C128" t="s">
        <v>121</v>
      </c>
      <c r="D128" t="s">
        <v>3292</v>
      </c>
      <c r="E128">
        <v>53</v>
      </c>
      <c r="F128" t="s">
        <v>77</v>
      </c>
      <c r="G128" t="s">
        <v>78</v>
      </c>
      <c r="H128" t="s">
        <v>46</v>
      </c>
      <c r="I128" t="s">
        <v>79</v>
      </c>
      <c r="J128" t="s">
        <v>64</v>
      </c>
      <c r="K128">
        <v>5</v>
      </c>
      <c r="L128" s="4">
        <v>37500</v>
      </c>
      <c r="M128">
        <v>15</v>
      </c>
      <c r="N128" s="4">
        <v>159375</v>
      </c>
      <c r="O128" t="s">
        <v>73</v>
      </c>
      <c r="P128">
        <v>4</v>
      </c>
      <c r="Q128" t="s">
        <v>74</v>
      </c>
      <c r="R128">
        <v>0</v>
      </c>
    </row>
    <row r="129" spans="1:18" x14ac:dyDescent="0.3">
      <c r="A129" t="s">
        <v>428</v>
      </c>
      <c r="B129" s="1">
        <v>46110</v>
      </c>
      <c r="C129" t="s">
        <v>113</v>
      </c>
      <c r="D129" t="s">
        <v>3292</v>
      </c>
      <c r="E129">
        <v>34</v>
      </c>
      <c r="F129" t="s">
        <v>30</v>
      </c>
      <c r="G129" t="s">
        <v>31</v>
      </c>
      <c r="H129" t="s">
        <v>32</v>
      </c>
      <c r="I129" t="s">
        <v>53</v>
      </c>
      <c r="J129" t="s">
        <v>89</v>
      </c>
      <c r="K129">
        <v>4</v>
      </c>
      <c r="L129" s="4">
        <v>6500</v>
      </c>
      <c r="M129">
        <v>25</v>
      </c>
      <c r="N129" s="4">
        <v>19500</v>
      </c>
      <c r="O129" t="s">
        <v>25</v>
      </c>
      <c r="P129">
        <v>4</v>
      </c>
      <c r="Q129" t="s">
        <v>74</v>
      </c>
      <c r="R129">
        <v>0</v>
      </c>
    </row>
    <row r="130" spans="1:18" x14ac:dyDescent="0.3">
      <c r="A130" t="s">
        <v>432</v>
      </c>
      <c r="B130" s="1">
        <v>46181</v>
      </c>
      <c r="C130" t="s">
        <v>88</v>
      </c>
      <c r="D130" t="s">
        <v>20</v>
      </c>
      <c r="E130">
        <v>22</v>
      </c>
      <c r="F130" t="s">
        <v>77</v>
      </c>
      <c r="G130" t="s">
        <v>95</v>
      </c>
      <c r="H130" t="s">
        <v>32</v>
      </c>
      <c r="I130" t="s">
        <v>53</v>
      </c>
      <c r="J130" t="s">
        <v>34</v>
      </c>
      <c r="K130">
        <v>9</v>
      </c>
      <c r="L130" s="4">
        <v>16500</v>
      </c>
      <c r="M130">
        <v>10</v>
      </c>
      <c r="N130" s="4">
        <v>133650</v>
      </c>
      <c r="O130" t="s">
        <v>25</v>
      </c>
      <c r="P130">
        <v>5</v>
      </c>
      <c r="Q130" t="s">
        <v>74</v>
      </c>
      <c r="R130">
        <v>0</v>
      </c>
    </row>
    <row r="131" spans="1:18" x14ac:dyDescent="0.3">
      <c r="A131" t="s">
        <v>434</v>
      </c>
      <c r="B131" s="1">
        <v>45985</v>
      </c>
      <c r="C131" t="s">
        <v>71</v>
      </c>
      <c r="D131" t="s">
        <v>39</v>
      </c>
      <c r="E131">
        <v>59</v>
      </c>
      <c r="F131" t="s">
        <v>44</v>
      </c>
      <c r="G131" t="s">
        <v>100</v>
      </c>
      <c r="H131" t="s">
        <v>22</v>
      </c>
      <c r="I131" t="s">
        <v>23</v>
      </c>
      <c r="J131" t="s">
        <v>72</v>
      </c>
      <c r="K131">
        <v>8</v>
      </c>
      <c r="L131" s="4">
        <v>40100</v>
      </c>
      <c r="M131">
        <v>25</v>
      </c>
      <c r="N131" s="4">
        <v>240600</v>
      </c>
      <c r="O131" t="s">
        <v>25</v>
      </c>
      <c r="P131">
        <v>1</v>
      </c>
      <c r="Q131" t="s">
        <v>26</v>
      </c>
      <c r="R131">
        <v>0</v>
      </c>
    </row>
    <row r="132" spans="1:18" x14ac:dyDescent="0.3">
      <c r="A132" t="s">
        <v>436</v>
      </c>
      <c r="B132" s="1">
        <v>46055</v>
      </c>
      <c r="C132" t="s">
        <v>29</v>
      </c>
      <c r="D132" t="s">
        <v>20</v>
      </c>
      <c r="E132">
        <v>35</v>
      </c>
      <c r="F132" t="s">
        <v>77</v>
      </c>
      <c r="G132" t="s">
        <v>95</v>
      </c>
      <c r="H132" t="s">
        <v>46</v>
      </c>
      <c r="I132" t="s">
        <v>47</v>
      </c>
      <c r="J132" t="s">
        <v>34</v>
      </c>
      <c r="K132">
        <v>4</v>
      </c>
      <c r="L132" s="4">
        <v>9700</v>
      </c>
      <c r="M132">
        <v>20</v>
      </c>
      <c r="N132" s="4">
        <v>31040</v>
      </c>
      <c r="O132" t="s">
        <v>25</v>
      </c>
      <c r="P132">
        <v>2</v>
      </c>
      <c r="Q132" t="s">
        <v>26</v>
      </c>
      <c r="R132">
        <v>0</v>
      </c>
    </row>
    <row r="133" spans="1:18" x14ac:dyDescent="0.3">
      <c r="A133" t="s">
        <v>438</v>
      </c>
      <c r="B133" s="1">
        <v>45686</v>
      </c>
      <c r="C133" t="s">
        <v>68</v>
      </c>
      <c r="D133" t="s">
        <v>20</v>
      </c>
      <c r="E133">
        <v>61</v>
      </c>
      <c r="F133" t="s">
        <v>61</v>
      </c>
      <c r="G133" t="s">
        <v>61</v>
      </c>
      <c r="H133" t="s">
        <v>62</v>
      </c>
      <c r="I133" t="s">
        <v>63</v>
      </c>
      <c r="J133" t="s">
        <v>34</v>
      </c>
      <c r="K133">
        <v>7</v>
      </c>
      <c r="L133" s="4">
        <v>5800</v>
      </c>
      <c r="M133">
        <v>25</v>
      </c>
      <c r="N133" s="4">
        <v>30450</v>
      </c>
      <c r="O133" t="s">
        <v>25</v>
      </c>
      <c r="Q133" t="s">
        <v>74</v>
      </c>
      <c r="R133">
        <v>0</v>
      </c>
    </row>
    <row r="134" spans="1:18" x14ac:dyDescent="0.3">
      <c r="A134" t="s">
        <v>441</v>
      </c>
      <c r="B134" s="1">
        <v>45769</v>
      </c>
      <c r="C134" t="s">
        <v>94</v>
      </c>
      <c r="D134" t="s">
        <v>39</v>
      </c>
      <c r="E134">
        <v>62</v>
      </c>
      <c r="F134" t="s">
        <v>61</v>
      </c>
      <c r="G134" t="s">
        <v>61</v>
      </c>
      <c r="H134" t="s">
        <v>46</v>
      </c>
      <c r="I134" t="s">
        <v>47</v>
      </c>
      <c r="J134" t="s">
        <v>64</v>
      </c>
      <c r="K134">
        <v>10</v>
      </c>
      <c r="L134" s="4">
        <v>26200</v>
      </c>
      <c r="M134">
        <v>25</v>
      </c>
      <c r="N134" s="4">
        <v>196500</v>
      </c>
      <c r="O134" t="s">
        <v>85</v>
      </c>
      <c r="P134">
        <v>3</v>
      </c>
      <c r="Q134" t="s">
        <v>26</v>
      </c>
      <c r="R134">
        <v>0</v>
      </c>
    </row>
    <row r="135" spans="1:18" x14ac:dyDescent="0.3">
      <c r="A135" t="s">
        <v>444</v>
      </c>
      <c r="B135" s="1">
        <v>45981</v>
      </c>
      <c r="C135" t="s">
        <v>113</v>
      </c>
      <c r="D135" t="s">
        <v>39</v>
      </c>
      <c r="E135">
        <v>43</v>
      </c>
      <c r="F135" t="s">
        <v>21</v>
      </c>
      <c r="G135" t="s">
        <v>21</v>
      </c>
      <c r="H135" t="s">
        <v>32</v>
      </c>
      <c r="I135" t="s">
        <v>33</v>
      </c>
      <c r="J135" t="s">
        <v>34</v>
      </c>
      <c r="K135">
        <v>9</v>
      </c>
      <c r="L135" s="4">
        <v>14100</v>
      </c>
      <c r="M135">
        <v>15</v>
      </c>
      <c r="N135" s="4">
        <v>107865</v>
      </c>
      <c r="O135" t="s">
        <v>3293</v>
      </c>
      <c r="P135">
        <v>4</v>
      </c>
      <c r="Q135" t="s">
        <v>65</v>
      </c>
      <c r="R135">
        <v>0</v>
      </c>
    </row>
    <row r="136" spans="1:18" x14ac:dyDescent="0.3">
      <c r="A136" t="s">
        <v>445</v>
      </c>
      <c r="B136" s="1">
        <v>45776</v>
      </c>
      <c r="C136" t="s">
        <v>121</v>
      </c>
      <c r="D136" t="s">
        <v>20</v>
      </c>
      <c r="E136">
        <v>43</v>
      </c>
      <c r="F136" t="s">
        <v>51</v>
      </c>
      <c r="G136" t="s">
        <v>52</v>
      </c>
      <c r="H136" t="s">
        <v>32</v>
      </c>
      <c r="I136" t="s">
        <v>53</v>
      </c>
      <c r="J136" t="s">
        <v>64</v>
      </c>
      <c r="K136">
        <v>3</v>
      </c>
      <c r="L136" s="4">
        <v>31400</v>
      </c>
      <c r="M136">
        <v>5</v>
      </c>
      <c r="N136" s="4">
        <v>89490</v>
      </c>
      <c r="O136" t="s">
        <v>73</v>
      </c>
      <c r="P136">
        <v>2</v>
      </c>
      <c r="Q136" t="s">
        <v>26</v>
      </c>
      <c r="R136">
        <v>0</v>
      </c>
    </row>
    <row r="137" spans="1:18" x14ac:dyDescent="0.3">
      <c r="A137" t="s">
        <v>447</v>
      </c>
      <c r="B137" s="1">
        <v>45696</v>
      </c>
      <c r="C137" t="s">
        <v>68</v>
      </c>
      <c r="D137" t="s">
        <v>39</v>
      </c>
      <c r="E137">
        <v>56</v>
      </c>
      <c r="F137" t="s">
        <v>77</v>
      </c>
      <c r="G137" t="s">
        <v>78</v>
      </c>
      <c r="H137" t="s">
        <v>22</v>
      </c>
      <c r="I137" t="s">
        <v>23</v>
      </c>
      <c r="J137" t="s">
        <v>72</v>
      </c>
      <c r="K137">
        <v>9</v>
      </c>
      <c r="L137" s="4">
        <v>30400</v>
      </c>
      <c r="M137">
        <v>20</v>
      </c>
      <c r="N137" s="4">
        <v>218880</v>
      </c>
      <c r="O137" t="s">
        <v>85</v>
      </c>
      <c r="P137">
        <v>4</v>
      </c>
      <c r="Q137" t="s">
        <v>65</v>
      </c>
      <c r="R137">
        <v>0</v>
      </c>
    </row>
    <row r="138" spans="1:18" x14ac:dyDescent="0.3">
      <c r="A138" t="s">
        <v>449</v>
      </c>
      <c r="B138" s="1">
        <v>46033</v>
      </c>
      <c r="C138" t="s">
        <v>121</v>
      </c>
      <c r="D138" t="s">
        <v>20</v>
      </c>
      <c r="E138">
        <v>45</v>
      </c>
      <c r="F138" t="s">
        <v>30</v>
      </c>
      <c r="G138" t="s">
        <v>31</v>
      </c>
      <c r="H138" t="s">
        <v>22</v>
      </c>
      <c r="I138" t="s">
        <v>84</v>
      </c>
      <c r="J138" t="s">
        <v>34</v>
      </c>
      <c r="K138">
        <v>8</v>
      </c>
      <c r="L138" s="4">
        <v>12600</v>
      </c>
      <c r="M138">
        <v>15</v>
      </c>
      <c r="N138" s="4">
        <v>85680</v>
      </c>
      <c r="O138" t="s">
        <v>73</v>
      </c>
      <c r="P138">
        <v>2</v>
      </c>
      <c r="Q138" t="s">
        <v>74</v>
      </c>
      <c r="R138">
        <v>0</v>
      </c>
    </row>
    <row r="139" spans="1:18" x14ac:dyDescent="0.3">
      <c r="A139" t="s">
        <v>451</v>
      </c>
      <c r="B139" s="1">
        <v>45721</v>
      </c>
      <c r="C139" t="s">
        <v>60</v>
      </c>
      <c r="D139" t="s">
        <v>20</v>
      </c>
      <c r="E139">
        <v>19</v>
      </c>
      <c r="F139" t="s">
        <v>77</v>
      </c>
      <c r="G139" t="s">
        <v>95</v>
      </c>
      <c r="H139" t="s">
        <v>32</v>
      </c>
      <c r="I139" t="s">
        <v>53</v>
      </c>
      <c r="J139" t="s">
        <v>64</v>
      </c>
      <c r="K139">
        <v>7</v>
      </c>
      <c r="L139" s="4">
        <v>15800</v>
      </c>
      <c r="M139">
        <v>15</v>
      </c>
      <c r="N139" s="4">
        <v>94010</v>
      </c>
      <c r="O139" t="s">
        <v>73</v>
      </c>
      <c r="P139">
        <v>2</v>
      </c>
      <c r="Q139" t="s">
        <v>65</v>
      </c>
      <c r="R139">
        <v>0</v>
      </c>
    </row>
    <row r="140" spans="1:18" x14ac:dyDescent="0.3">
      <c r="A140" t="s">
        <v>456</v>
      </c>
      <c r="B140" s="1">
        <v>45725</v>
      </c>
      <c r="C140" t="s">
        <v>88</v>
      </c>
      <c r="D140" t="s">
        <v>39</v>
      </c>
      <c r="E140">
        <v>44</v>
      </c>
      <c r="F140" t="s">
        <v>21</v>
      </c>
      <c r="G140" t="s">
        <v>21</v>
      </c>
      <c r="H140" t="s">
        <v>22</v>
      </c>
      <c r="I140" t="s">
        <v>23</v>
      </c>
      <c r="J140" t="s">
        <v>34</v>
      </c>
      <c r="K140">
        <v>6</v>
      </c>
      <c r="L140" s="4">
        <v>43500</v>
      </c>
      <c r="M140">
        <v>5</v>
      </c>
      <c r="N140" s="4">
        <v>247950</v>
      </c>
      <c r="O140" t="s">
        <v>73</v>
      </c>
      <c r="P140">
        <v>3</v>
      </c>
      <c r="Q140" t="s">
        <v>65</v>
      </c>
      <c r="R140">
        <v>0</v>
      </c>
    </row>
    <row r="141" spans="1:18" x14ac:dyDescent="0.3">
      <c r="A141" t="s">
        <v>462</v>
      </c>
      <c r="B141" s="1">
        <v>46329</v>
      </c>
      <c r="C141" t="s">
        <v>60</v>
      </c>
      <c r="D141" t="s">
        <v>3292</v>
      </c>
      <c r="E141">
        <v>24</v>
      </c>
      <c r="F141" t="s">
        <v>44</v>
      </c>
      <c r="G141" t="s">
        <v>100</v>
      </c>
      <c r="H141" t="s">
        <v>46</v>
      </c>
      <c r="I141" t="s">
        <v>79</v>
      </c>
      <c r="J141" t="s">
        <v>34</v>
      </c>
      <c r="K141">
        <v>5</v>
      </c>
      <c r="L141" s="4">
        <v>13900</v>
      </c>
      <c r="M141">
        <v>25</v>
      </c>
      <c r="N141" s="4">
        <v>52125</v>
      </c>
      <c r="O141" t="s">
        <v>73</v>
      </c>
      <c r="P141">
        <v>1</v>
      </c>
      <c r="Q141" t="s">
        <v>41</v>
      </c>
      <c r="R141">
        <v>1</v>
      </c>
    </row>
    <row r="142" spans="1:18" x14ac:dyDescent="0.3">
      <c r="A142" t="s">
        <v>464</v>
      </c>
      <c r="B142" s="1">
        <v>45693</v>
      </c>
      <c r="C142" t="s">
        <v>60</v>
      </c>
      <c r="D142" t="s">
        <v>39</v>
      </c>
      <c r="E142">
        <v>23</v>
      </c>
      <c r="F142" t="s">
        <v>77</v>
      </c>
      <c r="G142" t="s">
        <v>78</v>
      </c>
      <c r="H142" t="s">
        <v>62</v>
      </c>
      <c r="I142" t="s">
        <v>63</v>
      </c>
      <c r="J142" t="s">
        <v>64</v>
      </c>
      <c r="K142">
        <v>5</v>
      </c>
      <c r="L142" s="4">
        <v>14700</v>
      </c>
      <c r="M142">
        <v>15</v>
      </c>
      <c r="N142" s="4">
        <v>62475</v>
      </c>
      <c r="O142" t="s">
        <v>73</v>
      </c>
      <c r="P142">
        <v>4</v>
      </c>
      <c r="Q142" t="s">
        <v>65</v>
      </c>
      <c r="R142">
        <v>0</v>
      </c>
    </row>
    <row r="143" spans="1:18" x14ac:dyDescent="0.3">
      <c r="A143" t="s">
        <v>466</v>
      </c>
      <c r="B143" s="1">
        <v>46091</v>
      </c>
      <c r="C143" t="s">
        <v>29</v>
      </c>
      <c r="D143" t="s">
        <v>3292</v>
      </c>
      <c r="E143">
        <v>54</v>
      </c>
      <c r="F143" t="s">
        <v>30</v>
      </c>
      <c r="G143" t="s">
        <v>57</v>
      </c>
      <c r="H143" t="s">
        <v>32</v>
      </c>
      <c r="I143" t="s">
        <v>53</v>
      </c>
      <c r="J143" t="s">
        <v>89</v>
      </c>
      <c r="K143">
        <v>6</v>
      </c>
      <c r="L143" s="4">
        <v>40100</v>
      </c>
      <c r="M143">
        <v>20</v>
      </c>
      <c r="N143" s="4">
        <v>192480</v>
      </c>
      <c r="O143" t="s">
        <v>85</v>
      </c>
      <c r="Q143" t="s">
        <v>65</v>
      </c>
      <c r="R143">
        <v>0</v>
      </c>
    </row>
    <row r="144" spans="1:18" x14ac:dyDescent="0.3">
      <c r="A144" t="s">
        <v>468</v>
      </c>
      <c r="B144" s="1">
        <v>46129</v>
      </c>
      <c r="C144" t="s">
        <v>60</v>
      </c>
      <c r="D144" t="s">
        <v>3292</v>
      </c>
      <c r="E144">
        <v>21</v>
      </c>
      <c r="F144" t="s">
        <v>44</v>
      </c>
      <c r="G144" t="s">
        <v>45</v>
      </c>
      <c r="H144" t="s">
        <v>32</v>
      </c>
      <c r="I144" t="s">
        <v>53</v>
      </c>
      <c r="J144" t="s">
        <v>80</v>
      </c>
      <c r="K144">
        <v>4</v>
      </c>
      <c r="L144" s="4">
        <v>30500</v>
      </c>
      <c r="M144">
        <v>20</v>
      </c>
      <c r="N144" s="4">
        <v>97600</v>
      </c>
      <c r="O144" t="s">
        <v>73</v>
      </c>
      <c r="Q144" t="s">
        <v>26</v>
      </c>
      <c r="R144">
        <v>0</v>
      </c>
    </row>
    <row r="145" spans="1:18" x14ac:dyDescent="0.3">
      <c r="A145" t="s">
        <v>470</v>
      </c>
      <c r="B145" s="1">
        <v>45906</v>
      </c>
      <c r="C145" t="s">
        <v>121</v>
      </c>
      <c r="D145" t="s">
        <v>20</v>
      </c>
      <c r="E145">
        <v>25</v>
      </c>
      <c r="F145" t="s">
        <v>30</v>
      </c>
      <c r="G145" t="s">
        <v>57</v>
      </c>
      <c r="H145" t="s">
        <v>32</v>
      </c>
      <c r="I145" t="s">
        <v>33</v>
      </c>
      <c r="J145" t="s">
        <v>24</v>
      </c>
      <c r="K145">
        <v>5</v>
      </c>
      <c r="L145" s="4">
        <v>21900</v>
      </c>
      <c r="M145">
        <v>15</v>
      </c>
      <c r="N145" s="4">
        <v>93075</v>
      </c>
      <c r="O145" t="s">
        <v>85</v>
      </c>
      <c r="P145">
        <v>4</v>
      </c>
      <c r="Q145" t="s">
        <v>74</v>
      </c>
      <c r="R145">
        <v>0</v>
      </c>
    </row>
    <row r="146" spans="1:18" x14ac:dyDescent="0.3">
      <c r="A146" t="s">
        <v>473</v>
      </c>
      <c r="B146" s="1">
        <v>46175</v>
      </c>
      <c r="C146" t="s">
        <v>94</v>
      </c>
      <c r="D146" t="s">
        <v>3292</v>
      </c>
      <c r="E146">
        <v>26</v>
      </c>
      <c r="F146" t="s">
        <v>61</v>
      </c>
      <c r="G146" t="s">
        <v>61</v>
      </c>
      <c r="H146" t="s">
        <v>62</v>
      </c>
      <c r="I146" t="s">
        <v>63</v>
      </c>
      <c r="J146" t="s">
        <v>64</v>
      </c>
      <c r="K146">
        <v>8</v>
      </c>
      <c r="L146" s="4">
        <v>35400</v>
      </c>
      <c r="M146">
        <v>15</v>
      </c>
      <c r="N146" s="4">
        <v>240720</v>
      </c>
      <c r="O146" t="s">
        <v>85</v>
      </c>
      <c r="P146">
        <v>1</v>
      </c>
      <c r="Q146" t="s">
        <v>74</v>
      </c>
      <c r="R146">
        <v>0</v>
      </c>
    </row>
    <row r="147" spans="1:18" x14ac:dyDescent="0.3">
      <c r="A147" t="s">
        <v>477</v>
      </c>
      <c r="B147" s="1">
        <v>46000</v>
      </c>
      <c r="C147" t="s">
        <v>88</v>
      </c>
      <c r="D147" t="s">
        <v>20</v>
      </c>
      <c r="E147">
        <v>61</v>
      </c>
      <c r="F147" t="s">
        <v>44</v>
      </c>
      <c r="G147" t="s">
        <v>45</v>
      </c>
      <c r="H147" t="s">
        <v>62</v>
      </c>
      <c r="I147" t="s">
        <v>63</v>
      </c>
      <c r="J147" t="s">
        <v>80</v>
      </c>
      <c r="K147">
        <v>7</v>
      </c>
      <c r="L147" s="4">
        <v>38700</v>
      </c>
      <c r="M147">
        <v>5</v>
      </c>
      <c r="N147" s="4">
        <v>257355</v>
      </c>
      <c r="O147" t="s">
        <v>85</v>
      </c>
      <c r="Q147" t="s">
        <v>65</v>
      </c>
      <c r="R147">
        <v>0</v>
      </c>
    </row>
    <row r="148" spans="1:18" x14ac:dyDescent="0.3">
      <c r="A148" t="s">
        <v>479</v>
      </c>
      <c r="B148" s="1">
        <v>45730</v>
      </c>
      <c r="C148" t="s">
        <v>29</v>
      </c>
      <c r="D148" t="s">
        <v>20</v>
      </c>
      <c r="E148">
        <v>28</v>
      </c>
      <c r="F148" t="s">
        <v>21</v>
      </c>
      <c r="G148" t="s">
        <v>21</v>
      </c>
      <c r="H148" t="s">
        <v>22</v>
      </c>
      <c r="I148" t="s">
        <v>23</v>
      </c>
      <c r="J148" t="s">
        <v>24</v>
      </c>
      <c r="K148">
        <v>7</v>
      </c>
      <c r="L148" s="4">
        <v>5700</v>
      </c>
      <c r="M148">
        <v>25</v>
      </c>
      <c r="N148" s="4">
        <v>29925</v>
      </c>
      <c r="O148" t="s">
        <v>73</v>
      </c>
      <c r="P148">
        <v>5</v>
      </c>
      <c r="Q148" t="s">
        <v>74</v>
      </c>
      <c r="R148">
        <v>0</v>
      </c>
    </row>
    <row r="149" spans="1:18" x14ac:dyDescent="0.3">
      <c r="A149" t="s">
        <v>481</v>
      </c>
      <c r="B149" s="1">
        <v>46188</v>
      </c>
      <c r="C149" t="s">
        <v>68</v>
      </c>
      <c r="D149" t="s">
        <v>20</v>
      </c>
      <c r="E149">
        <v>28</v>
      </c>
      <c r="F149" t="s">
        <v>77</v>
      </c>
      <c r="G149" t="s">
        <v>78</v>
      </c>
      <c r="H149" t="s">
        <v>32</v>
      </c>
      <c r="I149" t="s">
        <v>33</v>
      </c>
      <c r="J149" t="s">
        <v>72</v>
      </c>
      <c r="K149">
        <v>9</v>
      </c>
      <c r="L149" s="4">
        <v>22100</v>
      </c>
      <c r="M149">
        <v>0</v>
      </c>
      <c r="N149" s="4">
        <v>198900</v>
      </c>
      <c r="O149" t="s">
        <v>25</v>
      </c>
      <c r="P149">
        <v>5</v>
      </c>
      <c r="Q149" t="s">
        <v>65</v>
      </c>
      <c r="R149">
        <v>0</v>
      </c>
    </row>
    <row r="150" spans="1:18" x14ac:dyDescent="0.3">
      <c r="A150" t="s">
        <v>483</v>
      </c>
      <c r="B150" s="1">
        <v>45819</v>
      </c>
      <c r="C150" t="s">
        <v>113</v>
      </c>
      <c r="D150" t="s">
        <v>20</v>
      </c>
      <c r="E150">
        <v>61</v>
      </c>
      <c r="F150" t="s">
        <v>21</v>
      </c>
      <c r="G150" t="s">
        <v>21</v>
      </c>
      <c r="H150" t="s">
        <v>32</v>
      </c>
      <c r="I150" t="s">
        <v>53</v>
      </c>
      <c r="J150" t="s">
        <v>80</v>
      </c>
      <c r="K150">
        <v>5</v>
      </c>
      <c r="L150" s="4">
        <v>41600</v>
      </c>
      <c r="M150">
        <v>0</v>
      </c>
      <c r="N150" s="4">
        <v>208000</v>
      </c>
      <c r="O150" t="s">
        <v>73</v>
      </c>
      <c r="P150">
        <v>3</v>
      </c>
      <c r="Q150" t="s">
        <v>41</v>
      </c>
      <c r="R150">
        <v>1</v>
      </c>
    </row>
    <row r="151" spans="1:18" x14ac:dyDescent="0.3">
      <c r="A151" t="s">
        <v>485</v>
      </c>
      <c r="B151" s="1">
        <v>45681</v>
      </c>
      <c r="C151" t="s">
        <v>60</v>
      </c>
      <c r="D151" t="s">
        <v>39</v>
      </c>
      <c r="E151">
        <v>25</v>
      </c>
      <c r="F151" t="s">
        <v>30</v>
      </c>
      <c r="G151" t="s">
        <v>57</v>
      </c>
      <c r="H151" t="s">
        <v>32</v>
      </c>
      <c r="I151" t="s">
        <v>53</v>
      </c>
      <c r="J151" t="s">
        <v>72</v>
      </c>
      <c r="K151">
        <v>10</v>
      </c>
      <c r="L151" s="4">
        <v>41500</v>
      </c>
      <c r="M151">
        <v>25</v>
      </c>
      <c r="N151" s="4">
        <v>311250</v>
      </c>
      <c r="O151" t="s">
        <v>25</v>
      </c>
      <c r="P151">
        <v>3</v>
      </c>
      <c r="Q151" t="s">
        <v>65</v>
      </c>
      <c r="R151">
        <v>0</v>
      </c>
    </row>
    <row r="152" spans="1:18" x14ac:dyDescent="0.3">
      <c r="A152" t="s">
        <v>489</v>
      </c>
      <c r="B152" s="1">
        <v>46198</v>
      </c>
      <c r="C152" t="s">
        <v>29</v>
      </c>
      <c r="D152" t="s">
        <v>39</v>
      </c>
      <c r="E152">
        <v>27</v>
      </c>
      <c r="F152" t="s">
        <v>77</v>
      </c>
      <c r="G152" t="s">
        <v>78</v>
      </c>
      <c r="H152" t="s">
        <v>32</v>
      </c>
      <c r="I152" t="s">
        <v>53</v>
      </c>
      <c r="J152" t="s">
        <v>89</v>
      </c>
      <c r="K152">
        <v>3</v>
      </c>
      <c r="L152" s="4">
        <v>28400</v>
      </c>
      <c r="M152">
        <v>15</v>
      </c>
      <c r="N152" s="4">
        <v>72420</v>
      </c>
      <c r="O152" t="s">
        <v>85</v>
      </c>
      <c r="Q152" t="s">
        <v>26</v>
      </c>
      <c r="R152">
        <v>0</v>
      </c>
    </row>
    <row r="153" spans="1:18" x14ac:dyDescent="0.3">
      <c r="A153" t="s">
        <v>491</v>
      </c>
      <c r="B153" s="1">
        <v>46148</v>
      </c>
      <c r="C153" t="s">
        <v>94</v>
      </c>
      <c r="D153" t="s">
        <v>39</v>
      </c>
      <c r="E153">
        <v>27</v>
      </c>
      <c r="F153" t="s">
        <v>30</v>
      </c>
      <c r="G153" t="s">
        <v>57</v>
      </c>
      <c r="H153" t="s">
        <v>46</v>
      </c>
      <c r="I153" t="s">
        <v>79</v>
      </c>
      <c r="J153" t="s">
        <v>24</v>
      </c>
      <c r="K153">
        <v>8</v>
      </c>
      <c r="L153" s="4">
        <v>7600</v>
      </c>
      <c r="M153">
        <v>10</v>
      </c>
      <c r="N153" s="4">
        <v>54720</v>
      </c>
      <c r="O153" t="s">
        <v>85</v>
      </c>
      <c r="Q153" t="s">
        <v>65</v>
      </c>
      <c r="R153">
        <v>0</v>
      </c>
    </row>
    <row r="154" spans="1:18" x14ac:dyDescent="0.3">
      <c r="A154" t="s">
        <v>493</v>
      </c>
      <c r="B154" s="1">
        <v>45927</v>
      </c>
      <c r="C154" t="s">
        <v>88</v>
      </c>
      <c r="D154" t="s">
        <v>3292</v>
      </c>
      <c r="E154">
        <v>65</v>
      </c>
      <c r="F154" t="s">
        <v>51</v>
      </c>
      <c r="G154" t="s">
        <v>104</v>
      </c>
      <c r="H154" t="s">
        <v>32</v>
      </c>
      <c r="I154" t="s">
        <v>53</v>
      </c>
      <c r="J154" t="s">
        <v>64</v>
      </c>
      <c r="K154">
        <v>8</v>
      </c>
      <c r="L154" s="4">
        <v>23000</v>
      </c>
      <c r="M154">
        <v>15</v>
      </c>
      <c r="N154" s="4">
        <v>156400</v>
      </c>
      <c r="O154" t="s">
        <v>85</v>
      </c>
      <c r="Q154" t="s">
        <v>26</v>
      </c>
      <c r="R154">
        <v>0</v>
      </c>
    </row>
    <row r="155" spans="1:18" x14ac:dyDescent="0.3">
      <c r="A155" t="s">
        <v>499</v>
      </c>
      <c r="B155" s="1">
        <v>45942</v>
      </c>
      <c r="C155" t="s">
        <v>29</v>
      </c>
      <c r="D155" t="s">
        <v>3292</v>
      </c>
      <c r="E155">
        <v>28</v>
      </c>
      <c r="F155" t="s">
        <v>44</v>
      </c>
      <c r="G155" t="s">
        <v>100</v>
      </c>
      <c r="H155" t="s">
        <v>32</v>
      </c>
      <c r="I155" t="s">
        <v>33</v>
      </c>
      <c r="J155" t="s">
        <v>72</v>
      </c>
      <c r="K155">
        <v>9</v>
      </c>
      <c r="L155" s="4">
        <v>49600</v>
      </c>
      <c r="M155">
        <v>0</v>
      </c>
      <c r="N155" s="4">
        <v>446400</v>
      </c>
      <c r="O155" t="s">
        <v>85</v>
      </c>
      <c r="P155">
        <v>1</v>
      </c>
      <c r="Q155" t="s">
        <v>26</v>
      </c>
      <c r="R155">
        <v>0</v>
      </c>
    </row>
    <row r="156" spans="1:18" x14ac:dyDescent="0.3">
      <c r="A156" t="s">
        <v>501</v>
      </c>
      <c r="B156" s="1">
        <v>46128</v>
      </c>
      <c r="C156" t="s">
        <v>88</v>
      </c>
      <c r="D156" t="s">
        <v>20</v>
      </c>
      <c r="E156">
        <v>39</v>
      </c>
      <c r="F156" t="s">
        <v>30</v>
      </c>
      <c r="G156" t="s">
        <v>31</v>
      </c>
      <c r="H156" t="s">
        <v>22</v>
      </c>
      <c r="I156" t="s">
        <v>23</v>
      </c>
      <c r="J156" t="s">
        <v>64</v>
      </c>
      <c r="K156">
        <v>4</v>
      </c>
      <c r="L156" s="4">
        <v>46300</v>
      </c>
      <c r="M156">
        <v>20</v>
      </c>
      <c r="N156" s="4">
        <v>148160</v>
      </c>
      <c r="O156" t="s">
        <v>73</v>
      </c>
      <c r="P156">
        <v>2</v>
      </c>
      <c r="Q156" t="s">
        <v>41</v>
      </c>
      <c r="R156">
        <v>1</v>
      </c>
    </row>
    <row r="157" spans="1:18" x14ac:dyDescent="0.3">
      <c r="A157" t="s">
        <v>505</v>
      </c>
      <c r="B157" s="1">
        <v>45981</v>
      </c>
      <c r="C157" t="s">
        <v>38</v>
      </c>
      <c r="D157" t="s">
        <v>39</v>
      </c>
      <c r="E157">
        <v>24</v>
      </c>
      <c r="F157" t="s">
        <v>44</v>
      </c>
      <c r="G157" t="s">
        <v>100</v>
      </c>
      <c r="H157" t="s">
        <v>46</v>
      </c>
      <c r="I157" t="s">
        <v>79</v>
      </c>
      <c r="J157" t="s">
        <v>89</v>
      </c>
      <c r="K157">
        <v>5</v>
      </c>
      <c r="L157" s="4">
        <v>24500</v>
      </c>
      <c r="M157">
        <v>5</v>
      </c>
      <c r="N157" s="4">
        <v>116375</v>
      </c>
      <c r="O157" t="s">
        <v>73</v>
      </c>
      <c r="P157">
        <v>2</v>
      </c>
      <c r="Q157" t="s">
        <v>65</v>
      </c>
      <c r="R157">
        <v>0</v>
      </c>
    </row>
    <row r="158" spans="1:18" x14ac:dyDescent="0.3">
      <c r="A158" t="s">
        <v>506</v>
      </c>
      <c r="B158" s="1">
        <v>45690</v>
      </c>
      <c r="C158" t="s">
        <v>68</v>
      </c>
      <c r="D158" t="s">
        <v>20</v>
      </c>
      <c r="E158">
        <v>42</v>
      </c>
      <c r="F158" t="s">
        <v>21</v>
      </c>
      <c r="G158" t="s">
        <v>21</v>
      </c>
      <c r="H158" t="s">
        <v>46</v>
      </c>
      <c r="I158" t="s">
        <v>79</v>
      </c>
      <c r="J158" t="s">
        <v>80</v>
      </c>
      <c r="K158">
        <v>8</v>
      </c>
      <c r="L158" s="4">
        <v>32400</v>
      </c>
      <c r="M158">
        <v>25</v>
      </c>
      <c r="N158" s="4">
        <v>194400</v>
      </c>
      <c r="O158" t="s">
        <v>73</v>
      </c>
      <c r="P158">
        <v>3</v>
      </c>
      <c r="Q158" t="s">
        <v>74</v>
      </c>
      <c r="R158">
        <v>0</v>
      </c>
    </row>
    <row r="159" spans="1:18" x14ac:dyDescent="0.3">
      <c r="A159" t="s">
        <v>508</v>
      </c>
      <c r="B159" s="1">
        <v>45994</v>
      </c>
      <c r="C159" t="s">
        <v>38</v>
      </c>
      <c r="D159" t="s">
        <v>39</v>
      </c>
      <c r="E159">
        <v>33</v>
      </c>
      <c r="F159" t="s">
        <v>51</v>
      </c>
      <c r="G159" t="s">
        <v>52</v>
      </c>
      <c r="H159" t="s">
        <v>32</v>
      </c>
      <c r="I159" t="s">
        <v>53</v>
      </c>
      <c r="J159" t="s">
        <v>34</v>
      </c>
      <c r="K159">
        <v>6</v>
      </c>
      <c r="L159" s="4">
        <v>31500</v>
      </c>
      <c r="M159">
        <v>20</v>
      </c>
      <c r="N159" s="4">
        <v>151200</v>
      </c>
      <c r="O159" t="s">
        <v>85</v>
      </c>
      <c r="P159">
        <v>3</v>
      </c>
      <c r="Q159" t="s">
        <v>74</v>
      </c>
      <c r="R159">
        <v>0</v>
      </c>
    </row>
    <row r="160" spans="1:18" x14ac:dyDescent="0.3">
      <c r="A160" t="s">
        <v>510</v>
      </c>
      <c r="B160" s="1">
        <v>46195</v>
      </c>
      <c r="C160" t="s">
        <v>60</v>
      </c>
      <c r="D160" t="s">
        <v>20</v>
      </c>
      <c r="E160">
        <v>54</v>
      </c>
      <c r="F160" t="s">
        <v>77</v>
      </c>
      <c r="G160" t="s">
        <v>78</v>
      </c>
      <c r="H160" t="s">
        <v>46</v>
      </c>
      <c r="I160" t="s">
        <v>47</v>
      </c>
      <c r="J160" t="s">
        <v>72</v>
      </c>
      <c r="K160">
        <v>2</v>
      </c>
      <c r="L160" s="4">
        <v>40900</v>
      </c>
      <c r="M160">
        <v>15</v>
      </c>
      <c r="N160" s="4">
        <v>69530</v>
      </c>
      <c r="O160" t="s">
        <v>85</v>
      </c>
      <c r="P160">
        <v>4</v>
      </c>
      <c r="Q160" t="s">
        <v>26</v>
      </c>
      <c r="R160">
        <v>0</v>
      </c>
    </row>
    <row r="161" spans="1:18" x14ac:dyDescent="0.3">
      <c r="A161" t="s">
        <v>512</v>
      </c>
      <c r="B161" s="1">
        <v>46139</v>
      </c>
      <c r="C161" t="s">
        <v>29</v>
      </c>
      <c r="D161" t="s">
        <v>39</v>
      </c>
      <c r="E161">
        <v>41</v>
      </c>
      <c r="F161" t="s">
        <v>51</v>
      </c>
      <c r="G161" t="s">
        <v>104</v>
      </c>
      <c r="H161" t="s">
        <v>32</v>
      </c>
      <c r="I161" t="s">
        <v>33</v>
      </c>
      <c r="J161" t="s">
        <v>89</v>
      </c>
      <c r="K161">
        <v>6</v>
      </c>
      <c r="L161" s="4">
        <v>38400</v>
      </c>
      <c r="M161">
        <v>15</v>
      </c>
      <c r="N161" s="4">
        <v>195840</v>
      </c>
      <c r="O161" t="s">
        <v>73</v>
      </c>
      <c r="Q161" t="s">
        <v>26</v>
      </c>
      <c r="R161">
        <v>0</v>
      </c>
    </row>
    <row r="162" spans="1:18" x14ac:dyDescent="0.3">
      <c r="A162" t="s">
        <v>521</v>
      </c>
      <c r="B162" s="1">
        <v>45882</v>
      </c>
      <c r="C162" t="s">
        <v>88</v>
      </c>
      <c r="D162" t="s">
        <v>20</v>
      </c>
      <c r="E162">
        <v>42</v>
      </c>
      <c r="F162" t="s">
        <v>51</v>
      </c>
      <c r="G162" t="s">
        <v>104</v>
      </c>
      <c r="H162" t="s">
        <v>22</v>
      </c>
      <c r="I162" t="s">
        <v>23</v>
      </c>
      <c r="J162" t="s">
        <v>80</v>
      </c>
      <c r="K162">
        <v>7</v>
      </c>
      <c r="L162" s="4">
        <v>25400</v>
      </c>
      <c r="M162">
        <v>10</v>
      </c>
      <c r="N162" s="4">
        <v>160020</v>
      </c>
      <c r="O162" t="s">
        <v>25</v>
      </c>
      <c r="P162">
        <v>5</v>
      </c>
      <c r="Q162" t="s">
        <v>65</v>
      </c>
      <c r="R162">
        <v>0</v>
      </c>
    </row>
    <row r="163" spans="1:18" x14ac:dyDescent="0.3">
      <c r="A163" t="s">
        <v>523</v>
      </c>
      <c r="B163" s="1">
        <v>46117</v>
      </c>
      <c r="C163" t="s">
        <v>38</v>
      </c>
      <c r="D163" t="s">
        <v>20</v>
      </c>
      <c r="E163">
        <v>26</v>
      </c>
      <c r="F163" t="s">
        <v>44</v>
      </c>
      <c r="G163" t="s">
        <v>45</v>
      </c>
      <c r="H163" t="s">
        <v>32</v>
      </c>
      <c r="I163" t="s">
        <v>33</v>
      </c>
      <c r="J163" t="s">
        <v>89</v>
      </c>
      <c r="K163">
        <v>2</v>
      </c>
      <c r="L163" s="4">
        <v>39900</v>
      </c>
      <c r="M163">
        <v>0</v>
      </c>
      <c r="N163" s="4">
        <v>79800</v>
      </c>
      <c r="O163" t="s">
        <v>25</v>
      </c>
      <c r="P163">
        <v>3</v>
      </c>
      <c r="Q163" t="s">
        <v>74</v>
      </c>
      <c r="R163">
        <v>0</v>
      </c>
    </row>
    <row r="164" spans="1:18" x14ac:dyDescent="0.3">
      <c r="A164" t="s">
        <v>527</v>
      </c>
      <c r="B164" s="1">
        <v>46191</v>
      </c>
      <c r="C164" t="s">
        <v>60</v>
      </c>
      <c r="D164" t="s">
        <v>39</v>
      </c>
      <c r="E164">
        <v>38</v>
      </c>
      <c r="F164" t="s">
        <v>30</v>
      </c>
      <c r="G164" t="s">
        <v>31</v>
      </c>
      <c r="H164" t="s">
        <v>62</v>
      </c>
      <c r="I164" t="s">
        <v>63</v>
      </c>
      <c r="J164" t="s">
        <v>80</v>
      </c>
      <c r="K164">
        <v>3</v>
      </c>
      <c r="L164" s="4">
        <v>12100</v>
      </c>
      <c r="M164">
        <v>0</v>
      </c>
      <c r="N164" s="4">
        <v>36300</v>
      </c>
      <c r="O164" t="s">
        <v>25</v>
      </c>
      <c r="P164">
        <v>1</v>
      </c>
      <c r="Q164" t="s">
        <v>74</v>
      </c>
      <c r="R164">
        <v>0</v>
      </c>
    </row>
    <row r="165" spans="1:18" x14ac:dyDescent="0.3">
      <c r="A165" t="s">
        <v>529</v>
      </c>
      <c r="B165" s="1">
        <v>45806</v>
      </c>
      <c r="C165" t="s">
        <v>60</v>
      </c>
      <c r="D165" t="s">
        <v>3292</v>
      </c>
      <c r="E165">
        <v>24</v>
      </c>
      <c r="F165" t="s">
        <v>30</v>
      </c>
      <c r="G165" t="s">
        <v>31</v>
      </c>
      <c r="H165" t="s">
        <v>46</v>
      </c>
      <c r="I165" t="s">
        <v>79</v>
      </c>
      <c r="J165" t="s">
        <v>89</v>
      </c>
      <c r="K165">
        <v>8</v>
      </c>
      <c r="L165" s="4">
        <v>7900</v>
      </c>
      <c r="M165">
        <v>5</v>
      </c>
      <c r="N165" s="4">
        <v>60040</v>
      </c>
      <c r="O165" t="s">
        <v>25</v>
      </c>
      <c r="P165">
        <v>2</v>
      </c>
      <c r="Q165" t="s">
        <v>74</v>
      </c>
      <c r="R165">
        <v>0</v>
      </c>
    </row>
    <row r="166" spans="1:18" x14ac:dyDescent="0.3">
      <c r="A166" t="s">
        <v>531</v>
      </c>
      <c r="B166" s="1">
        <v>46085</v>
      </c>
      <c r="C166" t="s">
        <v>19</v>
      </c>
      <c r="D166" t="s">
        <v>39</v>
      </c>
      <c r="E166">
        <v>56</v>
      </c>
      <c r="F166" t="s">
        <v>44</v>
      </c>
      <c r="G166" t="s">
        <v>100</v>
      </c>
      <c r="H166" t="s">
        <v>46</v>
      </c>
      <c r="I166" t="s">
        <v>47</v>
      </c>
      <c r="J166" t="s">
        <v>80</v>
      </c>
      <c r="K166">
        <v>4</v>
      </c>
      <c r="L166" s="4">
        <v>42800</v>
      </c>
      <c r="M166">
        <v>10</v>
      </c>
      <c r="N166" s="4">
        <v>154080</v>
      </c>
      <c r="O166" t="s">
        <v>73</v>
      </c>
      <c r="P166">
        <v>2</v>
      </c>
      <c r="Q166" t="s">
        <v>41</v>
      </c>
      <c r="R166">
        <v>1</v>
      </c>
    </row>
    <row r="167" spans="1:18" x14ac:dyDescent="0.3">
      <c r="A167" t="s">
        <v>533</v>
      </c>
      <c r="B167" s="1">
        <v>46159</v>
      </c>
      <c r="C167" t="s">
        <v>113</v>
      </c>
      <c r="D167" t="s">
        <v>39</v>
      </c>
      <c r="E167">
        <v>56</v>
      </c>
      <c r="F167" t="s">
        <v>30</v>
      </c>
      <c r="G167" t="s">
        <v>57</v>
      </c>
      <c r="H167" t="s">
        <v>62</v>
      </c>
      <c r="I167" t="s">
        <v>140</v>
      </c>
      <c r="J167" t="s">
        <v>34</v>
      </c>
      <c r="K167">
        <v>7</v>
      </c>
      <c r="L167" s="4">
        <v>37900</v>
      </c>
      <c r="M167">
        <v>20</v>
      </c>
      <c r="N167" s="4">
        <v>212240</v>
      </c>
      <c r="O167" t="s">
        <v>85</v>
      </c>
      <c r="P167">
        <v>4</v>
      </c>
      <c r="Q167" t="s">
        <v>26</v>
      </c>
      <c r="R167">
        <v>0</v>
      </c>
    </row>
    <row r="168" spans="1:18" x14ac:dyDescent="0.3">
      <c r="A168" t="s">
        <v>535</v>
      </c>
      <c r="B168" s="1">
        <v>45839</v>
      </c>
      <c r="C168" t="s">
        <v>71</v>
      </c>
      <c r="D168" t="s">
        <v>39</v>
      </c>
      <c r="E168">
        <v>57</v>
      </c>
      <c r="F168" t="s">
        <v>21</v>
      </c>
      <c r="G168" t="s">
        <v>21</v>
      </c>
      <c r="H168" t="s">
        <v>62</v>
      </c>
      <c r="I168" t="s">
        <v>140</v>
      </c>
      <c r="J168" t="s">
        <v>89</v>
      </c>
      <c r="K168">
        <v>3</v>
      </c>
      <c r="L168" s="4">
        <v>26900</v>
      </c>
      <c r="M168">
        <v>10</v>
      </c>
      <c r="N168" s="4">
        <v>72630</v>
      </c>
      <c r="O168" t="s">
        <v>85</v>
      </c>
      <c r="P168">
        <v>1</v>
      </c>
      <c r="Q168" t="s">
        <v>41</v>
      </c>
      <c r="R168">
        <v>1</v>
      </c>
    </row>
    <row r="169" spans="1:18" x14ac:dyDescent="0.3">
      <c r="A169" t="s">
        <v>537</v>
      </c>
      <c r="B169" s="1">
        <v>45878</v>
      </c>
      <c r="C169" t="s">
        <v>60</v>
      </c>
      <c r="D169" t="s">
        <v>39</v>
      </c>
      <c r="E169">
        <v>62</v>
      </c>
      <c r="F169" t="s">
        <v>30</v>
      </c>
      <c r="G169" t="s">
        <v>31</v>
      </c>
      <c r="H169" t="s">
        <v>46</v>
      </c>
      <c r="I169" t="s">
        <v>79</v>
      </c>
      <c r="J169" t="s">
        <v>34</v>
      </c>
      <c r="K169">
        <v>10</v>
      </c>
      <c r="L169" s="4">
        <v>36600</v>
      </c>
      <c r="M169">
        <v>0</v>
      </c>
      <c r="N169" s="4">
        <v>366000</v>
      </c>
      <c r="O169" t="s">
        <v>73</v>
      </c>
      <c r="P169">
        <v>3</v>
      </c>
      <c r="Q169" t="s">
        <v>65</v>
      </c>
      <c r="R169">
        <v>0</v>
      </c>
    </row>
    <row r="170" spans="1:18" x14ac:dyDescent="0.3">
      <c r="A170" t="s">
        <v>539</v>
      </c>
      <c r="B170" s="1">
        <v>46186</v>
      </c>
      <c r="C170" t="s">
        <v>38</v>
      </c>
      <c r="D170" t="s">
        <v>39</v>
      </c>
      <c r="E170">
        <v>38</v>
      </c>
      <c r="F170" t="s">
        <v>61</v>
      </c>
      <c r="G170" t="s">
        <v>61</v>
      </c>
      <c r="H170" t="s">
        <v>62</v>
      </c>
      <c r="I170" t="s">
        <v>63</v>
      </c>
      <c r="J170" t="s">
        <v>80</v>
      </c>
      <c r="K170">
        <v>9</v>
      </c>
      <c r="L170" s="4">
        <v>21900</v>
      </c>
      <c r="M170">
        <v>20</v>
      </c>
      <c r="N170" s="4">
        <v>157680</v>
      </c>
      <c r="O170" t="s">
        <v>73</v>
      </c>
      <c r="Q170" t="s">
        <v>65</v>
      </c>
      <c r="R170">
        <v>0</v>
      </c>
    </row>
    <row r="171" spans="1:18" x14ac:dyDescent="0.3">
      <c r="A171" t="s">
        <v>541</v>
      </c>
      <c r="B171" s="1">
        <v>45714</v>
      </c>
      <c r="C171" t="s">
        <v>38</v>
      </c>
      <c r="D171" t="s">
        <v>20</v>
      </c>
      <c r="E171">
        <v>20</v>
      </c>
      <c r="F171" t="s">
        <v>44</v>
      </c>
      <c r="G171" t="s">
        <v>100</v>
      </c>
      <c r="H171" t="s">
        <v>22</v>
      </c>
      <c r="I171" t="s">
        <v>84</v>
      </c>
      <c r="J171" t="s">
        <v>72</v>
      </c>
      <c r="K171">
        <v>4</v>
      </c>
      <c r="L171" s="4">
        <v>4200</v>
      </c>
      <c r="M171">
        <v>25</v>
      </c>
      <c r="N171" s="4">
        <v>12600</v>
      </c>
      <c r="O171" t="s">
        <v>85</v>
      </c>
      <c r="P171">
        <v>1</v>
      </c>
      <c r="Q171" t="s">
        <v>65</v>
      </c>
      <c r="R171">
        <v>0</v>
      </c>
    </row>
    <row r="172" spans="1:18" x14ac:dyDescent="0.3">
      <c r="A172" t="s">
        <v>543</v>
      </c>
      <c r="B172" s="1">
        <v>45757</v>
      </c>
      <c r="C172" t="s">
        <v>113</v>
      </c>
      <c r="D172" t="s">
        <v>20</v>
      </c>
      <c r="E172">
        <v>23</v>
      </c>
      <c r="F172" t="s">
        <v>51</v>
      </c>
      <c r="G172" t="s">
        <v>52</v>
      </c>
      <c r="H172" t="s">
        <v>46</v>
      </c>
      <c r="I172" t="s">
        <v>47</v>
      </c>
      <c r="J172" t="s">
        <v>64</v>
      </c>
      <c r="K172">
        <v>1</v>
      </c>
      <c r="L172" s="4">
        <v>39500</v>
      </c>
      <c r="M172">
        <v>15</v>
      </c>
      <c r="N172" s="4">
        <v>33575</v>
      </c>
      <c r="O172" t="s">
        <v>85</v>
      </c>
      <c r="Q172" t="s">
        <v>26</v>
      </c>
      <c r="R172">
        <v>0</v>
      </c>
    </row>
    <row r="173" spans="1:18" x14ac:dyDescent="0.3">
      <c r="A173" t="s">
        <v>544</v>
      </c>
      <c r="B173" s="1">
        <v>46057</v>
      </c>
      <c r="C173" t="s">
        <v>19</v>
      </c>
      <c r="D173" t="s">
        <v>39</v>
      </c>
      <c r="E173">
        <v>27</v>
      </c>
      <c r="F173" t="s">
        <v>30</v>
      </c>
      <c r="G173" t="s">
        <v>31</v>
      </c>
      <c r="H173" t="s">
        <v>46</v>
      </c>
      <c r="I173" t="s">
        <v>47</v>
      </c>
      <c r="J173" t="s">
        <v>64</v>
      </c>
      <c r="K173">
        <v>2</v>
      </c>
      <c r="L173" s="4">
        <v>28200</v>
      </c>
      <c r="M173">
        <v>0</v>
      </c>
      <c r="N173" s="4">
        <v>56400</v>
      </c>
      <c r="O173" t="s">
        <v>85</v>
      </c>
      <c r="P173">
        <v>3</v>
      </c>
      <c r="Q173" t="s">
        <v>65</v>
      </c>
      <c r="R173">
        <v>0</v>
      </c>
    </row>
    <row r="174" spans="1:18" x14ac:dyDescent="0.3">
      <c r="A174" t="s">
        <v>547</v>
      </c>
      <c r="B174" s="1">
        <v>45978</v>
      </c>
      <c r="C174" t="s">
        <v>113</v>
      </c>
      <c r="D174" t="s">
        <v>39</v>
      </c>
      <c r="E174">
        <v>63</v>
      </c>
      <c r="F174" t="s">
        <v>51</v>
      </c>
      <c r="G174" t="s">
        <v>52</v>
      </c>
      <c r="H174" t="s">
        <v>32</v>
      </c>
      <c r="I174" t="s">
        <v>53</v>
      </c>
      <c r="J174" t="s">
        <v>72</v>
      </c>
      <c r="K174">
        <v>7</v>
      </c>
      <c r="L174" s="4">
        <v>13400</v>
      </c>
      <c r="M174">
        <v>10</v>
      </c>
      <c r="N174" s="4">
        <v>84420</v>
      </c>
      <c r="O174" t="s">
        <v>85</v>
      </c>
      <c r="P174">
        <v>4</v>
      </c>
      <c r="Q174" t="s">
        <v>26</v>
      </c>
      <c r="R174">
        <v>0</v>
      </c>
    </row>
    <row r="175" spans="1:18" x14ac:dyDescent="0.3">
      <c r="A175" t="s">
        <v>554</v>
      </c>
      <c r="B175" s="1">
        <v>46079</v>
      </c>
      <c r="C175" t="s">
        <v>113</v>
      </c>
      <c r="D175" t="s">
        <v>20</v>
      </c>
      <c r="E175">
        <v>38</v>
      </c>
      <c r="F175" t="s">
        <v>61</v>
      </c>
      <c r="G175" t="s">
        <v>61</v>
      </c>
      <c r="H175" t="s">
        <v>32</v>
      </c>
      <c r="I175" t="s">
        <v>53</v>
      </c>
      <c r="J175" t="s">
        <v>72</v>
      </c>
      <c r="K175">
        <v>8</v>
      </c>
      <c r="L175" s="4">
        <v>34100</v>
      </c>
      <c r="M175">
        <v>0</v>
      </c>
      <c r="N175" s="4">
        <v>272800</v>
      </c>
      <c r="O175" t="s">
        <v>25</v>
      </c>
      <c r="P175">
        <v>4</v>
      </c>
      <c r="Q175" t="s">
        <v>65</v>
      </c>
      <c r="R175">
        <v>0</v>
      </c>
    </row>
    <row r="176" spans="1:18" x14ac:dyDescent="0.3">
      <c r="A176" t="s">
        <v>556</v>
      </c>
      <c r="B176" s="1">
        <v>46170</v>
      </c>
      <c r="C176" t="s">
        <v>19</v>
      </c>
      <c r="D176" t="s">
        <v>20</v>
      </c>
      <c r="E176">
        <v>31</v>
      </c>
      <c r="F176" t="s">
        <v>51</v>
      </c>
      <c r="G176" t="s">
        <v>52</v>
      </c>
      <c r="H176" t="s">
        <v>46</v>
      </c>
      <c r="I176" t="s">
        <v>47</v>
      </c>
      <c r="J176" t="s">
        <v>89</v>
      </c>
      <c r="K176">
        <v>3</v>
      </c>
      <c r="L176" s="4">
        <v>19000</v>
      </c>
      <c r="M176">
        <v>25</v>
      </c>
      <c r="N176" s="4">
        <v>42750</v>
      </c>
      <c r="O176" t="s">
        <v>25</v>
      </c>
      <c r="P176">
        <v>4</v>
      </c>
      <c r="Q176" t="s">
        <v>65</v>
      </c>
      <c r="R176">
        <v>0</v>
      </c>
    </row>
    <row r="177" spans="1:18" x14ac:dyDescent="0.3">
      <c r="A177" t="s">
        <v>560</v>
      </c>
      <c r="B177" s="1">
        <v>46178</v>
      </c>
      <c r="C177" t="s">
        <v>29</v>
      </c>
      <c r="D177" t="s">
        <v>20</v>
      </c>
      <c r="E177">
        <v>51</v>
      </c>
      <c r="F177" t="s">
        <v>61</v>
      </c>
      <c r="G177" t="s">
        <v>61</v>
      </c>
      <c r="H177" t="s">
        <v>32</v>
      </c>
      <c r="I177" t="s">
        <v>53</v>
      </c>
      <c r="J177" t="s">
        <v>89</v>
      </c>
      <c r="K177">
        <v>4</v>
      </c>
      <c r="L177" s="4">
        <v>7800</v>
      </c>
      <c r="M177">
        <v>10</v>
      </c>
      <c r="N177" s="4">
        <v>28080</v>
      </c>
      <c r="O177" t="s">
        <v>25</v>
      </c>
      <c r="P177">
        <v>3</v>
      </c>
      <c r="Q177" t="s">
        <v>26</v>
      </c>
      <c r="R177">
        <v>0</v>
      </c>
    </row>
    <row r="178" spans="1:18" x14ac:dyDescent="0.3">
      <c r="A178" t="s">
        <v>563</v>
      </c>
      <c r="B178" s="1">
        <v>45673</v>
      </c>
      <c r="C178" t="s">
        <v>121</v>
      </c>
      <c r="D178" t="s">
        <v>39</v>
      </c>
      <c r="E178">
        <v>49</v>
      </c>
      <c r="F178" t="s">
        <v>44</v>
      </c>
      <c r="G178" t="s">
        <v>45</v>
      </c>
      <c r="H178" t="s">
        <v>32</v>
      </c>
      <c r="I178" t="s">
        <v>33</v>
      </c>
      <c r="J178" t="s">
        <v>34</v>
      </c>
      <c r="K178">
        <v>8</v>
      </c>
      <c r="L178" s="4">
        <v>7000</v>
      </c>
      <c r="M178">
        <v>0</v>
      </c>
      <c r="N178" s="4">
        <v>56000</v>
      </c>
      <c r="O178" t="s">
        <v>73</v>
      </c>
      <c r="Q178" t="s">
        <v>26</v>
      </c>
      <c r="R178">
        <v>0</v>
      </c>
    </row>
    <row r="179" spans="1:18" x14ac:dyDescent="0.3">
      <c r="A179" t="s">
        <v>567</v>
      </c>
      <c r="B179" s="1">
        <v>45690</v>
      </c>
      <c r="C179" t="s">
        <v>121</v>
      </c>
      <c r="D179" t="s">
        <v>39</v>
      </c>
      <c r="E179">
        <v>57</v>
      </c>
      <c r="F179" t="s">
        <v>44</v>
      </c>
      <c r="G179" t="s">
        <v>45</v>
      </c>
      <c r="H179" t="s">
        <v>46</v>
      </c>
      <c r="I179" t="s">
        <v>47</v>
      </c>
      <c r="J179" t="s">
        <v>64</v>
      </c>
      <c r="K179">
        <v>7</v>
      </c>
      <c r="L179" s="4">
        <v>21200</v>
      </c>
      <c r="M179">
        <v>5</v>
      </c>
      <c r="N179" s="4">
        <v>140980</v>
      </c>
      <c r="O179" t="s">
        <v>85</v>
      </c>
      <c r="P179">
        <v>4</v>
      </c>
      <c r="Q179" t="s">
        <v>26</v>
      </c>
      <c r="R179">
        <v>0</v>
      </c>
    </row>
    <row r="180" spans="1:18" x14ac:dyDescent="0.3">
      <c r="A180" t="s">
        <v>569</v>
      </c>
      <c r="B180" s="1">
        <v>46154</v>
      </c>
      <c r="C180" t="s">
        <v>121</v>
      </c>
      <c r="D180" t="s">
        <v>39</v>
      </c>
      <c r="E180">
        <v>33</v>
      </c>
      <c r="F180" t="s">
        <v>61</v>
      </c>
      <c r="G180" t="s">
        <v>61</v>
      </c>
      <c r="H180" t="s">
        <v>46</v>
      </c>
      <c r="I180" t="s">
        <v>79</v>
      </c>
      <c r="J180" t="s">
        <v>24</v>
      </c>
      <c r="K180">
        <v>7</v>
      </c>
      <c r="L180" s="4">
        <v>16400</v>
      </c>
      <c r="M180">
        <v>20</v>
      </c>
      <c r="N180" s="4">
        <v>91840</v>
      </c>
      <c r="O180" t="s">
        <v>85</v>
      </c>
      <c r="P180">
        <v>2</v>
      </c>
      <c r="Q180" t="s">
        <v>74</v>
      </c>
      <c r="R180">
        <v>0</v>
      </c>
    </row>
    <row r="181" spans="1:18" x14ac:dyDescent="0.3">
      <c r="A181" t="s">
        <v>571</v>
      </c>
      <c r="B181" s="1">
        <v>45685</v>
      </c>
      <c r="C181" t="s">
        <v>19</v>
      </c>
      <c r="D181" t="s">
        <v>20</v>
      </c>
      <c r="E181">
        <v>21</v>
      </c>
      <c r="F181" t="s">
        <v>21</v>
      </c>
      <c r="G181" t="s">
        <v>21</v>
      </c>
      <c r="H181" t="s">
        <v>62</v>
      </c>
      <c r="I181" t="s">
        <v>63</v>
      </c>
      <c r="J181" t="s">
        <v>64</v>
      </c>
      <c r="K181">
        <v>9</v>
      </c>
      <c r="L181" s="4">
        <v>16200</v>
      </c>
      <c r="M181">
        <v>0</v>
      </c>
      <c r="N181" s="4">
        <v>145800</v>
      </c>
      <c r="O181" t="s">
        <v>85</v>
      </c>
      <c r="P181">
        <v>2</v>
      </c>
      <c r="Q181" t="s">
        <v>41</v>
      </c>
      <c r="R181">
        <v>1</v>
      </c>
    </row>
    <row r="182" spans="1:18" x14ac:dyDescent="0.3">
      <c r="A182" t="s">
        <v>574</v>
      </c>
      <c r="B182" s="1">
        <v>46113</v>
      </c>
      <c r="C182" t="s">
        <v>71</v>
      </c>
      <c r="D182" t="s">
        <v>39</v>
      </c>
      <c r="E182">
        <v>63</v>
      </c>
      <c r="F182" t="s">
        <v>44</v>
      </c>
      <c r="G182" t="s">
        <v>45</v>
      </c>
      <c r="H182" t="s">
        <v>46</v>
      </c>
      <c r="I182" t="s">
        <v>47</v>
      </c>
      <c r="J182" t="s">
        <v>64</v>
      </c>
      <c r="K182">
        <v>9</v>
      </c>
      <c r="L182" s="4">
        <v>23000</v>
      </c>
      <c r="M182">
        <v>25</v>
      </c>
      <c r="N182" s="4">
        <v>155250</v>
      </c>
      <c r="O182" t="s">
        <v>85</v>
      </c>
      <c r="P182">
        <v>5</v>
      </c>
      <c r="Q182" t="s">
        <v>26</v>
      </c>
      <c r="R182">
        <v>0</v>
      </c>
    </row>
    <row r="183" spans="1:18" x14ac:dyDescent="0.3">
      <c r="A183" t="s">
        <v>580</v>
      </c>
      <c r="B183" s="1">
        <v>45720</v>
      </c>
      <c r="C183" t="s">
        <v>113</v>
      </c>
      <c r="D183" t="s">
        <v>20</v>
      </c>
      <c r="E183">
        <v>20</v>
      </c>
      <c r="F183" t="s">
        <v>30</v>
      </c>
      <c r="G183" t="s">
        <v>31</v>
      </c>
      <c r="H183" t="s">
        <v>22</v>
      </c>
      <c r="I183" t="s">
        <v>84</v>
      </c>
      <c r="J183" t="s">
        <v>89</v>
      </c>
      <c r="K183">
        <v>2</v>
      </c>
      <c r="L183" s="4">
        <v>46900</v>
      </c>
      <c r="M183">
        <v>10</v>
      </c>
      <c r="N183" s="4">
        <v>84420</v>
      </c>
      <c r="O183" t="s">
        <v>85</v>
      </c>
      <c r="P183">
        <v>3</v>
      </c>
      <c r="Q183" t="s">
        <v>74</v>
      </c>
      <c r="R183">
        <v>0</v>
      </c>
    </row>
    <row r="184" spans="1:18" x14ac:dyDescent="0.3">
      <c r="A184" t="s">
        <v>582</v>
      </c>
      <c r="B184" s="1">
        <v>46300</v>
      </c>
      <c r="C184" t="s">
        <v>94</v>
      </c>
      <c r="D184" t="s">
        <v>39</v>
      </c>
      <c r="E184">
        <v>39</v>
      </c>
      <c r="F184" t="s">
        <v>51</v>
      </c>
      <c r="G184" t="s">
        <v>52</v>
      </c>
      <c r="H184" t="s">
        <v>32</v>
      </c>
      <c r="I184" t="s">
        <v>33</v>
      </c>
      <c r="J184" t="s">
        <v>64</v>
      </c>
      <c r="K184">
        <v>10</v>
      </c>
      <c r="L184" s="4">
        <v>15100</v>
      </c>
      <c r="M184">
        <v>25</v>
      </c>
      <c r="N184" s="4">
        <v>113250</v>
      </c>
      <c r="O184" t="s">
        <v>85</v>
      </c>
      <c r="Q184" t="s">
        <v>26</v>
      </c>
      <c r="R184">
        <v>0</v>
      </c>
    </row>
    <row r="185" spans="1:18" x14ac:dyDescent="0.3">
      <c r="A185" t="s">
        <v>584</v>
      </c>
      <c r="B185" s="1">
        <v>45850</v>
      </c>
      <c r="C185" t="s">
        <v>29</v>
      </c>
      <c r="D185" t="s">
        <v>20</v>
      </c>
      <c r="E185">
        <v>36</v>
      </c>
      <c r="F185" t="s">
        <v>44</v>
      </c>
      <c r="G185" t="s">
        <v>100</v>
      </c>
      <c r="H185" t="s">
        <v>32</v>
      </c>
      <c r="I185" t="s">
        <v>33</v>
      </c>
      <c r="J185" t="s">
        <v>80</v>
      </c>
      <c r="K185">
        <v>10</v>
      </c>
      <c r="L185" s="4">
        <v>28700</v>
      </c>
      <c r="M185">
        <v>5</v>
      </c>
      <c r="N185" s="4">
        <v>272650</v>
      </c>
      <c r="O185" t="s">
        <v>85</v>
      </c>
      <c r="Q185" t="s">
        <v>41</v>
      </c>
      <c r="R185">
        <v>1</v>
      </c>
    </row>
    <row r="186" spans="1:18" x14ac:dyDescent="0.3">
      <c r="A186" t="s">
        <v>589</v>
      </c>
      <c r="B186" s="1">
        <v>45940</v>
      </c>
      <c r="C186" t="s">
        <v>71</v>
      </c>
      <c r="D186" t="s">
        <v>39</v>
      </c>
      <c r="E186">
        <v>65</v>
      </c>
      <c r="F186" t="s">
        <v>30</v>
      </c>
      <c r="G186" t="s">
        <v>57</v>
      </c>
      <c r="H186" t="s">
        <v>32</v>
      </c>
      <c r="I186" t="s">
        <v>53</v>
      </c>
      <c r="J186" t="s">
        <v>89</v>
      </c>
      <c r="K186">
        <v>6</v>
      </c>
      <c r="L186" s="4">
        <v>46600</v>
      </c>
      <c r="M186">
        <v>20</v>
      </c>
      <c r="N186" s="4">
        <v>223680</v>
      </c>
      <c r="O186" t="s">
        <v>73</v>
      </c>
      <c r="P186">
        <v>4</v>
      </c>
      <c r="Q186" t="s">
        <v>65</v>
      </c>
      <c r="R186">
        <v>0</v>
      </c>
    </row>
    <row r="187" spans="1:18" x14ac:dyDescent="0.3">
      <c r="A187" t="s">
        <v>591</v>
      </c>
      <c r="B187" s="1">
        <v>45793</v>
      </c>
      <c r="C187" t="s">
        <v>94</v>
      </c>
      <c r="D187" t="s">
        <v>3292</v>
      </c>
      <c r="E187">
        <v>44</v>
      </c>
      <c r="F187" t="s">
        <v>30</v>
      </c>
      <c r="G187" t="s">
        <v>31</v>
      </c>
      <c r="H187" t="s">
        <v>46</v>
      </c>
      <c r="I187" t="s">
        <v>79</v>
      </c>
      <c r="J187" t="s">
        <v>34</v>
      </c>
      <c r="K187">
        <v>6</v>
      </c>
      <c r="L187" s="4">
        <v>18600</v>
      </c>
      <c r="M187">
        <v>10</v>
      </c>
      <c r="N187" s="4">
        <v>100440</v>
      </c>
      <c r="O187" t="s">
        <v>73</v>
      </c>
      <c r="Q187" t="s">
        <v>65</v>
      </c>
      <c r="R187">
        <v>0</v>
      </c>
    </row>
    <row r="188" spans="1:18" x14ac:dyDescent="0.3">
      <c r="A188" t="s">
        <v>593</v>
      </c>
      <c r="B188" s="1">
        <v>45839</v>
      </c>
      <c r="C188" t="s">
        <v>29</v>
      </c>
      <c r="D188" t="s">
        <v>39</v>
      </c>
      <c r="E188">
        <v>29</v>
      </c>
      <c r="F188" t="s">
        <v>21</v>
      </c>
      <c r="G188" t="s">
        <v>21</v>
      </c>
      <c r="H188" t="s">
        <v>32</v>
      </c>
      <c r="I188" t="s">
        <v>33</v>
      </c>
      <c r="J188" t="s">
        <v>24</v>
      </c>
      <c r="K188">
        <v>7</v>
      </c>
      <c r="L188" s="4">
        <v>13400</v>
      </c>
      <c r="M188">
        <v>5</v>
      </c>
      <c r="N188" s="4">
        <v>89110</v>
      </c>
      <c r="O188" t="s">
        <v>85</v>
      </c>
      <c r="Q188" t="s">
        <v>41</v>
      </c>
      <c r="R188">
        <v>1</v>
      </c>
    </row>
    <row r="189" spans="1:18" x14ac:dyDescent="0.3">
      <c r="A189" t="s">
        <v>596</v>
      </c>
      <c r="B189" s="1">
        <v>46057</v>
      </c>
      <c r="C189" t="s">
        <v>29</v>
      </c>
      <c r="D189" t="s">
        <v>3292</v>
      </c>
      <c r="E189">
        <v>48</v>
      </c>
      <c r="F189" t="s">
        <v>21</v>
      </c>
      <c r="G189" t="s">
        <v>21</v>
      </c>
      <c r="H189" t="s">
        <v>32</v>
      </c>
      <c r="I189" t="s">
        <v>53</v>
      </c>
      <c r="J189" t="s">
        <v>34</v>
      </c>
      <c r="K189">
        <v>3</v>
      </c>
      <c r="L189" s="4">
        <v>44900</v>
      </c>
      <c r="M189">
        <v>25</v>
      </c>
      <c r="N189" s="4">
        <v>101025</v>
      </c>
      <c r="O189" t="s">
        <v>25</v>
      </c>
      <c r="P189">
        <v>3</v>
      </c>
      <c r="Q189" t="s">
        <v>41</v>
      </c>
      <c r="R189">
        <v>1</v>
      </c>
    </row>
    <row r="190" spans="1:18" x14ac:dyDescent="0.3">
      <c r="A190" t="s">
        <v>597</v>
      </c>
      <c r="B190" s="1">
        <v>46141</v>
      </c>
      <c r="C190" t="s">
        <v>19</v>
      </c>
      <c r="D190" t="s">
        <v>39</v>
      </c>
      <c r="E190">
        <v>31</v>
      </c>
      <c r="F190" t="s">
        <v>30</v>
      </c>
      <c r="G190" t="s">
        <v>57</v>
      </c>
      <c r="H190" t="s">
        <v>46</v>
      </c>
      <c r="I190" t="s">
        <v>79</v>
      </c>
      <c r="J190" t="s">
        <v>64</v>
      </c>
      <c r="K190">
        <v>6</v>
      </c>
      <c r="L190" s="4">
        <v>4600</v>
      </c>
      <c r="M190">
        <v>5</v>
      </c>
      <c r="N190" s="4">
        <v>26220</v>
      </c>
      <c r="O190" t="s">
        <v>73</v>
      </c>
      <c r="P190">
        <v>3</v>
      </c>
      <c r="Q190" t="s">
        <v>26</v>
      </c>
      <c r="R190">
        <v>0</v>
      </c>
    </row>
    <row r="191" spans="1:18" x14ac:dyDescent="0.3">
      <c r="A191" t="s">
        <v>601</v>
      </c>
      <c r="B191" s="1">
        <v>45738</v>
      </c>
      <c r="C191" t="s">
        <v>88</v>
      </c>
      <c r="D191" t="s">
        <v>39</v>
      </c>
      <c r="E191">
        <v>19</v>
      </c>
      <c r="F191" t="s">
        <v>51</v>
      </c>
      <c r="G191" t="s">
        <v>52</v>
      </c>
      <c r="H191" t="s">
        <v>32</v>
      </c>
      <c r="I191" t="s">
        <v>33</v>
      </c>
      <c r="J191" t="s">
        <v>72</v>
      </c>
      <c r="K191">
        <v>2</v>
      </c>
      <c r="L191" s="4">
        <v>36000</v>
      </c>
      <c r="M191">
        <v>10</v>
      </c>
      <c r="N191" s="4">
        <v>64800</v>
      </c>
      <c r="O191" t="s">
        <v>85</v>
      </c>
      <c r="P191">
        <v>2</v>
      </c>
      <c r="Q191" t="s">
        <v>74</v>
      </c>
      <c r="R191">
        <v>0</v>
      </c>
    </row>
    <row r="192" spans="1:18" x14ac:dyDescent="0.3">
      <c r="A192" t="s">
        <v>603</v>
      </c>
      <c r="B192" s="1">
        <v>46120</v>
      </c>
      <c r="C192" t="s">
        <v>71</v>
      </c>
      <c r="D192" t="s">
        <v>20</v>
      </c>
      <c r="E192">
        <v>52</v>
      </c>
      <c r="F192" t="s">
        <v>30</v>
      </c>
      <c r="G192" t="s">
        <v>57</v>
      </c>
      <c r="H192" t="s">
        <v>32</v>
      </c>
      <c r="I192" t="s">
        <v>33</v>
      </c>
      <c r="J192" t="s">
        <v>24</v>
      </c>
      <c r="K192">
        <v>2</v>
      </c>
      <c r="L192" s="4">
        <v>4600</v>
      </c>
      <c r="M192">
        <v>10</v>
      </c>
      <c r="N192" s="4">
        <v>8280</v>
      </c>
      <c r="O192" t="s">
        <v>85</v>
      </c>
      <c r="Q192" t="s">
        <v>41</v>
      </c>
      <c r="R192">
        <v>1</v>
      </c>
    </row>
    <row r="193" spans="1:18" x14ac:dyDescent="0.3">
      <c r="A193" t="s">
        <v>605</v>
      </c>
      <c r="B193" s="1">
        <v>45983</v>
      </c>
      <c r="C193" t="s">
        <v>60</v>
      </c>
      <c r="D193" t="s">
        <v>39</v>
      </c>
      <c r="E193">
        <v>42</v>
      </c>
      <c r="F193" t="s">
        <v>44</v>
      </c>
      <c r="G193" t="s">
        <v>100</v>
      </c>
      <c r="H193" t="s">
        <v>32</v>
      </c>
      <c r="I193" t="s">
        <v>53</v>
      </c>
      <c r="J193" t="s">
        <v>34</v>
      </c>
      <c r="K193">
        <v>3</v>
      </c>
      <c r="L193" s="4">
        <v>16300</v>
      </c>
      <c r="M193">
        <v>10</v>
      </c>
      <c r="N193" s="4">
        <v>44010</v>
      </c>
      <c r="O193" t="s">
        <v>25</v>
      </c>
      <c r="P193">
        <v>3</v>
      </c>
      <c r="Q193" t="s">
        <v>65</v>
      </c>
      <c r="R193">
        <v>0</v>
      </c>
    </row>
    <row r="194" spans="1:18" x14ac:dyDescent="0.3">
      <c r="A194" t="s">
        <v>606</v>
      </c>
      <c r="B194" s="1">
        <v>45846</v>
      </c>
      <c r="C194" t="s">
        <v>121</v>
      </c>
      <c r="D194" t="s">
        <v>39</v>
      </c>
      <c r="E194">
        <v>25</v>
      </c>
      <c r="F194" t="s">
        <v>30</v>
      </c>
      <c r="G194" t="s">
        <v>31</v>
      </c>
      <c r="H194" t="s">
        <v>46</v>
      </c>
      <c r="I194" t="s">
        <v>47</v>
      </c>
      <c r="J194" t="s">
        <v>24</v>
      </c>
      <c r="K194">
        <v>4</v>
      </c>
      <c r="L194" s="4">
        <v>39900</v>
      </c>
      <c r="M194">
        <v>15</v>
      </c>
      <c r="N194" s="4">
        <v>135660</v>
      </c>
      <c r="O194" t="s">
        <v>73</v>
      </c>
      <c r="P194">
        <v>2</v>
      </c>
      <c r="Q194" t="s">
        <v>74</v>
      </c>
      <c r="R194">
        <v>0</v>
      </c>
    </row>
    <row r="195" spans="1:18" x14ac:dyDescent="0.3">
      <c r="A195" t="s">
        <v>608</v>
      </c>
      <c r="B195" s="1">
        <v>45912</v>
      </c>
      <c r="C195" t="s">
        <v>38</v>
      </c>
      <c r="D195" t="s">
        <v>20</v>
      </c>
      <c r="E195">
        <v>61</v>
      </c>
      <c r="F195" t="s">
        <v>30</v>
      </c>
      <c r="G195" t="s">
        <v>31</v>
      </c>
      <c r="H195" t="s">
        <v>46</v>
      </c>
      <c r="I195" t="s">
        <v>79</v>
      </c>
      <c r="J195" t="s">
        <v>80</v>
      </c>
      <c r="K195">
        <v>6</v>
      </c>
      <c r="L195" s="4">
        <v>28200</v>
      </c>
      <c r="M195">
        <v>5</v>
      </c>
      <c r="N195" s="4">
        <v>160740</v>
      </c>
      <c r="O195" t="s">
        <v>73</v>
      </c>
      <c r="P195">
        <v>2</v>
      </c>
      <c r="Q195" t="s">
        <v>65</v>
      </c>
      <c r="R195">
        <v>0</v>
      </c>
    </row>
    <row r="196" spans="1:18" x14ac:dyDescent="0.3">
      <c r="A196" t="s">
        <v>610</v>
      </c>
      <c r="B196" s="1">
        <v>45759</v>
      </c>
      <c r="C196" t="s">
        <v>19</v>
      </c>
      <c r="D196" t="s">
        <v>39</v>
      </c>
      <c r="E196">
        <v>59</v>
      </c>
      <c r="F196" t="s">
        <v>30</v>
      </c>
      <c r="G196" t="s">
        <v>31</v>
      </c>
      <c r="H196" t="s">
        <v>22</v>
      </c>
      <c r="I196" t="s">
        <v>84</v>
      </c>
      <c r="J196" t="s">
        <v>80</v>
      </c>
      <c r="K196">
        <v>4</v>
      </c>
      <c r="L196" s="4">
        <v>24100</v>
      </c>
      <c r="M196">
        <v>15</v>
      </c>
      <c r="N196" s="4">
        <v>81940</v>
      </c>
      <c r="O196" t="s">
        <v>85</v>
      </c>
      <c r="P196">
        <v>2</v>
      </c>
      <c r="Q196" t="s">
        <v>26</v>
      </c>
      <c r="R196">
        <v>0</v>
      </c>
    </row>
    <row r="197" spans="1:18" x14ac:dyDescent="0.3">
      <c r="A197" t="s">
        <v>612</v>
      </c>
      <c r="B197" s="1">
        <v>46195</v>
      </c>
      <c r="C197" t="s">
        <v>121</v>
      </c>
      <c r="D197" t="s">
        <v>20</v>
      </c>
      <c r="E197">
        <v>58</v>
      </c>
      <c r="F197" t="s">
        <v>51</v>
      </c>
      <c r="G197" t="s">
        <v>104</v>
      </c>
      <c r="H197" t="s">
        <v>62</v>
      </c>
      <c r="I197" t="s">
        <v>63</v>
      </c>
      <c r="J197" t="s">
        <v>80</v>
      </c>
      <c r="K197">
        <v>1</v>
      </c>
      <c r="L197" s="4">
        <v>14200</v>
      </c>
      <c r="M197">
        <v>5</v>
      </c>
      <c r="N197" s="4">
        <v>13490</v>
      </c>
      <c r="O197" t="s">
        <v>25</v>
      </c>
      <c r="P197">
        <v>2</v>
      </c>
      <c r="Q197" t="s">
        <v>65</v>
      </c>
      <c r="R197">
        <v>0</v>
      </c>
    </row>
    <row r="198" spans="1:18" x14ac:dyDescent="0.3">
      <c r="A198" t="s">
        <v>616</v>
      </c>
      <c r="B198" s="1">
        <v>45871</v>
      </c>
      <c r="C198" t="s">
        <v>121</v>
      </c>
      <c r="D198" t="s">
        <v>39</v>
      </c>
      <c r="E198">
        <v>28</v>
      </c>
      <c r="F198" t="s">
        <v>51</v>
      </c>
      <c r="G198" t="s">
        <v>52</v>
      </c>
      <c r="H198" t="s">
        <v>62</v>
      </c>
      <c r="I198" t="s">
        <v>63</v>
      </c>
      <c r="J198" t="s">
        <v>24</v>
      </c>
      <c r="K198">
        <v>9</v>
      </c>
      <c r="L198" s="4">
        <v>20800</v>
      </c>
      <c r="M198">
        <v>20</v>
      </c>
      <c r="N198" s="4">
        <v>149760</v>
      </c>
      <c r="O198" t="s">
        <v>85</v>
      </c>
      <c r="Q198" t="s">
        <v>41</v>
      </c>
      <c r="R198">
        <v>1</v>
      </c>
    </row>
    <row r="199" spans="1:18" x14ac:dyDescent="0.3">
      <c r="A199" t="s">
        <v>618</v>
      </c>
      <c r="B199" s="1">
        <v>46176</v>
      </c>
      <c r="C199" t="s">
        <v>113</v>
      </c>
      <c r="D199" t="s">
        <v>20</v>
      </c>
      <c r="E199">
        <v>40</v>
      </c>
      <c r="F199" t="s">
        <v>77</v>
      </c>
      <c r="G199" t="s">
        <v>78</v>
      </c>
      <c r="H199" t="s">
        <v>22</v>
      </c>
      <c r="I199" t="s">
        <v>84</v>
      </c>
      <c r="J199" t="s">
        <v>34</v>
      </c>
      <c r="K199">
        <v>3</v>
      </c>
      <c r="L199" s="4">
        <v>4500</v>
      </c>
      <c r="M199">
        <v>25</v>
      </c>
      <c r="N199" s="4">
        <v>10125</v>
      </c>
      <c r="O199" t="s">
        <v>85</v>
      </c>
      <c r="P199">
        <v>3</v>
      </c>
      <c r="Q199" t="s">
        <v>65</v>
      </c>
      <c r="R199">
        <v>0</v>
      </c>
    </row>
    <row r="200" spans="1:18" x14ac:dyDescent="0.3">
      <c r="A200" t="s">
        <v>620</v>
      </c>
      <c r="B200" s="1">
        <v>45925</v>
      </c>
      <c r="C200" t="s">
        <v>19</v>
      </c>
      <c r="D200" t="s">
        <v>20</v>
      </c>
      <c r="E200">
        <v>65</v>
      </c>
      <c r="F200" t="s">
        <v>21</v>
      </c>
      <c r="G200" t="s">
        <v>21</v>
      </c>
      <c r="H200" t="s">
        <v>32</v>
      </c>
      <c r="I200" t="s">
        <v>33</v>
      </c>
      <c r="J200" t="s">
        <v>34</v>
      </c>
      <c r="K200">
        <v>8</v>
      </c>
      <c r="L200" s="4">
        <v>14800</v>
      </c>
      <c r="M200">
        <v>20</v>
      </c>
      <c r="N200" s="4">
        <v>94720</v>
      </c>
      <c r="O200" t="s">
        <v>85</v>
      </c>
      <c r="Q200" t="s">
        <v>74</v>
      </c>
      <c r="R200">
        <v>0</v>
      </c>
    </row>
    <row r="201" spans="1:18" x14ac:dyDescent="0.3">
      <c r="A201" t="s">
        <v>622</v>
      </c>
      <c r="B201" s="1">
        <v>46194</v>
      </c>
      <c r="C201" t="s">
        <v>121</v>
      </c>
      <c r="D201" t="s">
        <v>39</v>
      </c>
      <c r="E201">
        <v>60</v>
      </c>
      <c r="F201" t="s">
        <v>61</v>
      </c>
      <c r="G201" t="s">
        <v>61</v>
      </c>
      <c r="H201" t="s">
        <v>22</v>
      </c>
      <c r="I201" t="s">
        <v>23</v>
      </c>
      <c r="J201" t="s">
        <v>24</v>
      </c>
      <c r="K201">
        <v>8</v>
      </c>
      <c r="L201" s="4">
        <v>39600</v>
      </c>
      <c r="M201">
        <v>25</v>
      </c>
      <c r="N201" s="4">
        <v>237600</v>
      </c>
      <c r="O201" t="s">
        <v>85</v>
      </c>
      <c r="P201">
        <v>5</v>
      </c>
      <c r="Q201" t="s">
        <v>65</v>
      </c>
      <c r="R201">
        <v>0</v>
      </c>
    </row>
    <row r="202" spans="1:18" x14ac:dyDescent="0.3">
      <c r="A202" t="s">
        <v>624</v>
      </c>
      <c r="B202" s="1">
        <v>45842</v>
      </c>
      <c r="C202" t="s">
        <v>38</v>
      </c>
      <c r="D202" t="s">
        <v>3292</v>
      </c>
      <c r="E202">
        <v>30</v>
      </c>
      <c r="F202" t="s">
        <v>51</v>
      </c>
      <c r="G202" t="s">
        <v>52</v>
      </c>
      <c r="H202" t="s">
        <v>32</v>
      </c>
      <c r="I202" t="s">
        <v>33</v>
      </c>
      <c r="J202" t="s">
        <v>89</v>
      </c>
      <c r="K202">
        <v>5</v>
      </c>
      <c r="L202" s="4">
        <v>14100</v>
      </c>
      <c r="M202">
        <v>10</v>
      </c>
      <c r="N202" s="4">
        <v>63450</v>
      </c>
      <c r="O202" t="s">
        <v>73</v>
      </c>
      <c r="P202">
        <v>1</v>
      </c>
      <c r="Q202" t="s">
        <v>74</v>
      </c>
      <c r="R202">
        <v>0</v>
      </c>
    </row>
    <row r="203" spans="1:18" x14ac:dyDescent="0.3">
      <c r="A203" t="s">
        <v>626</v>
      </c>
      <c r="B203" s="1">
        <v>45840</v>
      </c>
      <c r="C203" t="s">
        <v>88</v>
      </c>
      <c r="D203" t="s">
        <v>39</v>
      </c>
      <c r="E203">
        <v>56</v>
      </c>
      <c r="F203" t="s">
        <v>51</v>
      </c>
      <c r="G203" t="s">
        <v>52</v>
      </c>
      <c r="H203" t="s">
        <v>62</v>
      </c>
      <c r="I203" t="s">
        <v>140</v>
      </c>
      <c r="J203" t="s">
        <v>80</v>
      </c>
      <c r="K203">
        <v>1</v>
      </c>
      <c r="L203" s="4">
        <v>28600</v>
      </c>
      <c r="M203">
        <v>15</v>
      </c>
      <c r="N203" s="4">
        <v>24310</v>
      </c>
      <c r="O203" t="s">
        <v>25</v>
      </c>
      <c r="Q203" t="s">
        <v>41</v>
      </c>
      <c r="R203">
        <v>1</v>
      </c>
    </row>
    <row r="204" spans="1:18" x14ac:dyDescent="0.3">
      <c r="A204" t="s">
        <v>628</v>
      </c>
      <c r="B204" s="1">
        <v>45694</v>
      </c>
      <c r="C204" t="s">
        <v>113</v>
      </c>
      <c r="D204" t="s">
        <v>3292</v>
      </c>
      <c r="E204">
        <v>59</v>
      </c>
      <c r="F204" t="s">
        <v>51</v>
      </c>
      <c r="G204" t="s">
        <v>104</v>
      </c>
      <c r="H204" t="s">
        <v>62</v>
      </c>
      <c r="I204" t="s">
        <v>63</v>
      </c>
      <c r="J204" t="s">
        <v>80</v>
      </c>
      <c r="K204">
        <v>4</v>
      </c>
      <c r="L204" s="4">
        <v>18400</v>
      </c>
      <c r="M204">
        <v>10</v>
      </c>
      <c r="N204" s="4">
        <v>66240</v>
      </c>
      <c r="O204" t="s">
        <v>25</v>
      </c>
      <c r="P204">
        <v>1</v>
      </c>
      <c r="Q204" t="s">
        <v>74</v>
      </c>
      <c r="R204">
        <v>0</v>
      </c>
    </row>
    <row r="205" spans="1:18" x14ac:dyDescent="0.3">
      <c r="A205" t="s">
        <v>630</v>
      </c>
      <c r="B205" s="1">
        <v>46168</v>
      </c>
      <c r="C205" t="s">
        <v>19</v>
      </c>
      <c r="D205" t="s">
        <v>20</v>
      </c>
      <c r="E205">
        <v>47</v>
      </c>
      <c r="F205" t="s">
        <v>21</v>
      </c>
      <c r="G205" t="s">
        <v>21</v>
      </c>
      <c r="H205" t="s">
        <v>62</v>
      </c>
      <c r="I205" t="s">
        <v>63</v>
      </c>
      <c r="J205" t="s">
        <v>89</v>
      </c>
      <c r="K205">
        <v>8</v>
      </c>
      <c r="L205" s="4">
        <v>16700</v>
      </c>
      <c r="M205">
        <v>0</v>
      </c>
      <c r="N205" s="4">
        <v>133600</v>
      </c>
      <c r="O205" t="s">
        <v>25</v>
      </c>
      <c r="P205">
        <v>1</v>
      </c>
      <c r="Q205" t="s">
        <v>74</v>
      </c>
      <c r="R205">
        <v>0</v>
      </c>
    </row>
    <row r="206" spans="1:18" x14ac:dyDescent="0.3">
      <c r="A206" t="s">
        <v>632</v>
      </c>
      <c r="B206" s="1">
        <v>46073</v>
      </c>
      <c r="C206" t="s">
        <v>38</v>
      </c>
      <c r="D206" t="s">
        <v>39</v>
      </c>
      <c r="E206">
        <v>25</v>
      </c>
      <c r="F206" t="s">
        <v>44</v>
      </c>
      <c r="G206" t="s">
        <v>45</v>
      </c>
      <c r="H206" t="s">
        <v>62</v>
      </c>
      <c r="I206" t="s">
        <v>63</v>
      </c>
      <c r="J206" t="s">
        <v>64</v>
      </c>
      <c r="K206">
        <v>2</v>
      </c>
      <c r="L206" s="4">
        <v>26000</v>
      </c>
      <c r="M206">
        <v>10</v>
      </c>
      <c r="N206" s="4">
        <v>46800</v>
      </c>
      <c r="O206" t="s">
        <v>85</v>
      </c>
      <c r="P206">
        <v>2</v>
      </c>
      <c r="Q206" t="s">
        <v>26</v>
      </c>
      <c r="R206">
        <v>0</v>
      </c>
    </row>
    <row r="207" spans="1:18" x14ac:dyDescent="0.3">
      <c r="A207" t="s">
        <v>634</v>
      </c>
      <c r="B207" s="1">
        <v>45940</v>
      </c>
      <c r="C207" t="s">
        <v>71</v>
      </c>
      <c r="D207" t="s">
        <v>39</v>
      </c>
      <c r="E207">
        <v>59</v>
      </c>
      <c r="F207" t="s">
        <v>61</v>
      </c>
      <c r="G207" t="s">
        <v>61</v>
      </c>
      <c r="H207" t="s">
        <v>32</v>
      </c>
      <c r="I207" t="s">
        <v>53</v>
      </c>
      <c r="J207" t="s">
        <v>64</v>
      </c>
      <c r="K207">
        <v>8</v>
      </c>
      <c r="L207" s="4">
        <v>37200</v>
      </c>
      <c r="M207">
        <v>5</v>
      </c>
      <c r="N207" s="4">
        <v>282720</v>
      </c>
      <c r="O207" t="s">
        <v>85</v>
      </c>
      <c r="P207">
        <v>1</v>
      </c>
      <c r="Q207" t="s">
        <v>26</v>
      </c>
      <c r="R207">
        <v>0</v>
      </c>
    </row>
    <row r="208" spans="1:18" x14ac:dyDescent="0.3">
      <c r="A208" t="s">
        <v>638</v>
      </c>
      <c r="B208" s="1">
        <v>46084</v>
      </c>
      <c r="C208" t="s">
        <v>19</v>
      </c>
      <c r="D208" t="s">
        <v>3292</v>
      </c>
      <c r="E208">
        <v>52</v>
      </c>
      <c r="F208" t="s">
        <v>51</v>
      </c>
      <c r="G208" t="s">
        <v>104</v>
      </c>
      <c r="H208" t="s">
        <v>32</v>
      </c>
      <c r="I208" t="s">
        <v>53</v>
      </c>
      <c r="J208" t="s">
        <v>64</v>
      </c>
      <c r="K208">
        <v>1</v>
      </c>
      <c r="L208" s="4">
        <v>11000</v>
      </c>
      <c r="M208">
        <v>0</v>
      </c>
      <c r="N208" s="4">
        <v>11000</v>
      </c>
      <c r="O208" t="s">
        <v>25</v>
      </c>
      <c r="P208">
        <v>3</v>
      </c>
      <c r="Q208" t="s">
        <v>26</v>
      </c>
      <c r="R208">
        <v>0</v>
      </c>
    </row>
    <row r="209" spans="1:18" x14ac:dyDescent="0.3">
      <c r="A209" t="s">
        <v>640</v>
      </c>
      <c r="B209" s="1">
        <v>45673</v>
      </c>
      <c r="C209" t="s">
        <v>19</v>
      </c>
      <c r="D209" t="s">
        <v>20</v>
      </c>
      <c r="E209">
        <v>60</v>
      </c>
      <c r="F209" t="s">
        <v>44</v>
      </c>
      <c r="G209" t="s">
        <v>45</v>
      </c>
      <c r="H209" t="s">
        <v>22</v>
      </c>
      <c r="I209" t="s">
        <v>84</v>
      </c>
      <c r="J209" t="s">
        <v>80</v>
      </c>
      <c r="K209">
        <v>9</v>
      </c>
      <c r="L209" s="4">
        <v>31100</v>
      </c>
      <c r="M209">
        <v>20</v>
      </c>
      <c r="N209" s="4">
        <v>223920</v>
      </c>
      <c r="O209" t="s">
        <v>25</v>
      </c>
      <c r="P209">
        <v>5</v>
      </c>
      <c r="Q209" t="s">
        <v>26</v>
      </c>
      <c r="R209">
        <v>0</v>
      </c>
    </row>
    <row r="210" spans="1:18" x14ac:dyDescent="0.3">
      <c r="A210" t="s">
        <v>641</v>
      </c>
      <c r="B210" s="1">
        <v>46009</v>
      </c>
      <c r="C210" t="s">
        <v>88</v>
      </c>
      <c r="D210" t="s">
        <v>20</v>
      </c>
      <c r="E210">
        <v>39</v>
      </c>
      <c r="F210" t="s">
        <v>21</v>
      </c>
      <c r="G210" t="s">
        <v>21</v>
      </c>
      <c r="H210" t="s">
        <v>32</v>
      </c>
      <c r="I210" t="s">
        <v>33</v>
      </c>
      <c r="J210" t="s">
        <v>24</v>
      </c>
      <c r="K210">
        <v>3</v>
      </c>
      <c r="L210" s="4">
        <v>44400</v>
      </c>
      <c r="M210">
        <v>5</v>
      </c>
      <c r="N210" s="4">
        <v>126540</v>
      </c>
      <c r="O210" t="s">
        <v>73</v>
      </c>
      <c r="Q210" t="s">
        <v>26</v>
      </c>
      <c r="R210">
        <v>0</v>
      </c>
    </row>
    <row r="211" spans="1:18" x14ac:dyDescent="0.3">
      <c r="A211" t="s">
        <v>645</v>
      </c>
      <c r="B211" s="1">
        <v>45898</v>
      </c>
      <c r="C211" t="s">
        <v>71</v>
      </c>
      <c r="D211" t="s">
        <v>20</v>
      </c>
      <c r="E211">
        <v>37</v>
      </c>
      <c r="F211" t="s">
        <v>44</v>
      </c>
      <c r="G211" t="s">
        <v>100</v>
      </c>
      <c r="H211" t="s">
        <v>46</v>
      </c>
      <c r="I211" t="s">
        <v>79</v>
      </c>
      <c r="J211" t="s">
        <v>24</v>
      </c>
      <c r="K211">
        <v>2</v>
      </c>
      <c r="L211" s="4">
        <v>46800</v>
      </c>
      <c r="M211">
        <v>5</v>
      </c>
      <c r="N211" s="4">
        <v>88920</v>
      </c>
      <c r="O211" t="s">
        <v>85</v>
      </c>
      <c r="Q211" t="s">
        <v>74</v>
      </c>
      <c r="R211">
        <v>0</v>
      </c>
    </row>
    <row r="212" spans="1:18" x14ac:dyDescent="0.3">
      <c r="A212" t="s">
        <v>647</v>
      </c>
      <c r="B212" s="1">
        <v>45966</v>
      </c>
      <c r="C212" t="s">
        <v>71</v>
      </c>
      <c r="D212" t="s">
        <v>39</v>
      </c>
      <c r="E212">
        <v>22</v>
      </c>
      <c r="F212" t="s">
        <v>44</v>
      </c>
      <c r="G212" t="s">
        <v>100</v>
      </c>
      <c r="H212" t="s">
        <v>62</v>
      </c>
      <c r="I212" t="s">
        <v>63</v>
      </c>
      <c r="J212" t="s">
        <v>64</v>
      </c>
      <c r="K212">
        <v>3</v>
      </c>
      <c r="L212" s="4">
        <v>23100</v>
      </c>
      <c r="M212">
        <v>0</v>
      </c>
      <c r="N212" s="4">
        <v>69300</v>
      </c>
      <c r="O212" t="s">
        <v>3293</v>
      </c>
      <c r="P212">
        <v>4</v>
      </c>
      <c r="Q212" t="s">
        <v>41</v>
      </c>
      <c r="R212">
        <v>1</v>
      </c>
    </row>
    <row r="213" spans="1:18" x14ac:dyDescent="0.3">
      <c r="A213" t="s">
        <v>652</v>
      </c>
      <c r="B213" s="1">
        <v>45788</v>
      </c>
      <c r="C213" t="s">
        <v>29</v>
      </c>
      <c r="D213" t="s">
        <v>39</v>
      </c>
      <c r="E213">
        <v>63</v>
      </c>
      <c r="F213" t="s">
        <v>44</v>
      </c>
      <c r="G213" t="s">
        <v>100</v>
      </c>
      <c r="H213" t="s">
        <v>32</v>
      </c>
      <c r="I213" t="s">
        <v>33</v>
      </c>
      <c r="J213" t="s">
        <v>72</v>
      </c>
      <c r="K213">
        <v>7</v>
      </c>
      <c r="L213" s="4">
        <v>19000</v>
      </c>
      <c r="M213">
        <v>0</v>
      </c>
      <c r="N213" s="4">
        <v>133000</v>
      </c>
      <c r="O213" t="s">
        <v>25</v>
      </c>
      <c r="P213">
        <v>3</v>
      </c>
      <c r="Q213" t="s">
        <v>26</v>
      </c>
      <c r="R213">
        <v>0</v>
      </c>
    </row>
    <row r="214" spans="1:18" x14ac:dyDescent="0.3">
      <c r="A214" t="s">
        <v>654</v>
      </c>
      <c r="B214" s="1">
        <v>45893</v>
      </c>
      <c r="C214" t="s">
        <v>88</v>
      </c>
      <c r="D214" t="s">
        <v>3292</v>
      </c>
      <c r="E214">
        <v>20</v>
      </c>
      <c r="F214" t="s">
        <v>61</v>
      </c>
      <c r="G214" t="s">
        <v>61</v>
      </c>
      <c r="H214" t="s">
        <v>22</v>
      </c>
      <c r="I214" t="s">
        <v>84</v>
      </c>
      <c r="J214" t="s">
        <v>34</v>
      </c>
      <c r="K214">
        <v>3</v>
      </c>
      <c r="L214" s="4">
        <v>32700</v>
      </c>
      <c r="M214">
        <v>0</v>
      </c>
      <c r="N214" s="4">
        <v>98100</v>
      </c>
      <c r="O214" t="s">
        <v>25</v>
      </c>
      <c r="P214">
        <v>1</v>
      </c>
      <c r="Q214" t="s">
        <v>26</v>
      </c>
      <c r="R214">
        <v>0</v>
      </c>
    </row>
    <row r="215" spans="1:18" x14ac:dyDescent="0.3">
      <c r="A215" t="s">
        <v>655</v>
      </c>
      <c r="B215" s="1">
        <v>46173</v>
      </c>
      <c r="C215" t="s">
        <v>38</v>
      </c>
      <c r="D215" t="s">
        <v>20</v>
      </c>
      <c r="E215">
        <v>58</v>
      </c>
      <c r="F215" t="s">
        <v>21</v>
      </c>
      <c r="G215" t="s">
        <v>21</v>
      </c>
      <c r="H215" t="s">
        <v>32</v>
      </c>
      <c r="I215" t="s">
        <v>33</v>
      </c>
      <c r="J215" t="s">
        <v>72</v>
      </c>
      <c r="K215">
        <v>10</v>
      </c>
      <c r="L215" s="4">
        <v>37400</v>
      </c>
      <c r="M215">
        <v>25</v>
      </c>
      <c r="N215" s="4">
        <v>280500</v>
      </c>
      <c r="O215" t="s">
        <v>73</v>
      </c>
      <c r="P215">
        <v>2</v>
      </c>
      <c r="Q215" t="s">
        <v>41</v>
      </c>
      <c r="R215">
        <v>1</v>
      </c>
    </row>
    <row r="216" spans="1:18" x14ac:dyDescent="0.3">
      <c r="A216" t="s">
        <v>657</v>
      </c>
      <c r="B216" s="1">
        <v>45814</v>
      </c>
      <c r="C216" t="s">
        <v>29</v>
      </c>
      <c r="D216" t="s">
        <v>20</v>
      </c>
      <c r="E216">
        <v>52</v>
      </c>
      <c r="F216" t="s">
        <v>44</v>
      </c>
      <c r="G216" t="s">
        <v>100</v>
      </c>
      <c r="H216" t="s">
        <v>62</v>
      </c>
      <c r="I216" t="s">
        <v>63</v>
      </c>
      <c r="J216" t="s">
        <v>89</v>
      </c>
      <c r="K216">
        <v>8</v>
      </c>
      <c r="L216" s="4">
        <v>17200</v>
      </c>
      <c r="M216">
        <v>10</v>
      </c>
      <c r="N216" s="4">
        <v>123840</v>
      </c>
      <c r="O216" t="s">
        <v>73</v>
      </c>
      <c r="P216">
        <v>3</v>
      </c>
      <c r="Q216" t="s">
        <v>26</v>
      </c>
      <c r="R216">
        <v>0</v>
      </c>
    </row>
    <row r="217" spans="1:18" x14ac:dyDescent="0.3">
      <c r="A217" t="s">
        <v>659</v>
      </c>
      <c r="B217" s="1">
        <v>45851</v>
      </c>
      <c r="C217" t="s">
        <v>88</v>
      </c>
      <c r="D217" t="s">
        <v>20</v>
      </c>
      <c r="E217">
        <v>51</v>
      </c>
      <c r="F217" t="s">
        <v>44</v>
      </c>
      <c r="G217" t="s">
        <v>100</v>
      </c>
      <c r="H217" t="s">
        <v>46</v>
      </c>
      <c r="I217" t="s">
        <v>79</v>
      </c>
      <c r="J217" t="s">
        <v>80</v>
      </c>
      <c r="K217">
        <v>5</v>
      </c>
      <c r="L217" s="4">
        <v>45300</v>
      </c>
      <c r="M217">
        <v>10</v>
      </c>
      <c r="N217" s="4">
        <v>203850</v>
      </c>
      <c r="O217" t="s">
        <v>85</v>
      </c>
      <c r="P217">
        <v>1</v>
      </c>
      <c r="Q217" t="s">
        <v>41</v>
      </c>
      <c r="R217">
        <v>1</v>
      </c>
    </row>
    <row r="218" spans="1:18" x14ac:dyDescent="0.3">
      <c r="A218" t="s">
        <v>661</v>
      </c>
      <c r="B218" s="1">
        <v>45700</v>
      </c>
      <c r="C218" t="s">
        <v>94</v>
      </c>
      <c r="D218" t="s">
        <v>3292</v>
      </c>
      <c r="E218">
        <v>42</v>
      </c>
      <c r="F218" t="s">
        <v>30</v>
      </c>
      <c r="G218" t="s">
        <v>57</v>
      </c>
      <c r="H218" t="s">
        <v>22</v>
      </c>
      <c r="I218" t="s">
        <v>84</v>
      </c>
      <c r="J218" t="s">
        <v>72</v>
      </c>
      <c r="K218">
        <v>5</v>
      </c>
      <c r="L218" s="4">
        <v>23600</v>
      </c>
      <c r="M218">
        <v>25</v>
      </c>
      <c r="N218" s="4">
        <v>88500</v>
      </c>
      <c r="O218" t="s">
        <v>85</v>
      </c>
      <c r="P218">
        <v>2</v>
      </c>
      <c r="Q218" t="s">
        <v>74</v>
      </c>
      <c r="R218">
        <v>0</v>
      </c>
    </row>
    <row r="219" spans="1:18" x14ac:dyDescent="0.3">
      <c r="A219" t="s">
        <v>663</v>
      </c>
      <c r="B219" s="1">
        <v>45759</v>
      </c>
      <c r="C219" t="s">
        <v>68</v>
      </c>
      <c r="D219" t="s">
        <v>20</v>
      </c>
      <c r="E219">
        <v>32</v>
      </c>
      <c r="F219" t="s">
        <v>30</v>
      </c>
      <c r="G219" t="s">
        <v>57</v>
      </c>
      <c r="H219" t="s">
        <v>62</v>
      </c>
      <c r="I219" t="s">
        <v>63</v>
      </c>
      <c r="J219" t="s">
        <v>80</v>
      </c>
      <c r="K219">
        <v>8</v>
      </c>
      <c r="L219" s="4">
        <v>17600</v>
      </c>
      <c r="M219">
        <v>10</v>
      </c>
      <c r="N219" s="4">
        <v>126720</v>
      </c>
      <c r="O219" t="s">
        <v>85</v>
      </c>
      <c r="Q219" t="s">
        <v>65</v>
      </c>
      <c r="R219">
        <v>0</v>
      </c>
    </row>
    <row r="220" spans="1:18" x14ac:dyDescent="0.3">
      <c r="A220" t="s">
        <v>665</v>
      </c>
      <c r="B220" s="1">
        <v>46036</v>
      </c>
      <c r="C220" t="s">
        <v>19</v>
      </c>
      <c r="D220" t="s">
        <v>3292</v>
      </c>
      <c r="E220">
        <v>27</v>
      </c>
      <c r="F220" t="s">
        <v>44</v>
      </c>
      <c r="G220" t="s">
        <v>45</v>
      </c>
      <c r="H220" t="s">
        <v>62</v>
      </c>
      <c r="I220" t="s">
        <v>63</v>
      </c>
      <c r="J220" t="s">
        <v>72</v>
      </c>
      <c r="K220">
        <v>2</v>
      </c>
      <c r="L220" s="4">
        <v>35100</v>
      </c>
      <c r="M220">
        <v>25</v>
      </c>
      <c r="N220" s="4">
        <v>52650</v>
      </c>
      <c r="O220" t="s">
        <v>85</v>
      </c>
      <c r="Q220" t="s">
        <v>74</v>
      </c>
      <c r="R220">
        <v>0</v>
      </c>
    </row>
    <row r="221" spans="1:18" x14ac:dyDescent="0.3">
      <c r="A221" t="s">
        <v>666</v>
      </c>
      <c r="B221" s="1">
        <v>46065</v>
      </c>
      <c r="C221" t="s">
        <v>94</v>
      </c>
      <c r="D221" t="s">
        <v>20</v>
      </c>
      <c r="E221">
        <v>39</v>
      </c>
      <c r="F221" t="s">
        <v>44</v>
      </c>
      <c r="G221" t="s">
        <v>45</v>
      </c>
      <c r="H221" t="s">
        <v>22</v>
      </c>
      <c r="I221" t="s">
        <v>23</v>
      </c>
      <c r="J221" t="s">
        <v>72</v>
      </c>
      <c r="K221">
        <v>6</v>
      </c>
      <c r="L221" s="4">
        <v>28100</v>
      </c>
      <c r="M221">
        <v>0</v>
      </c>
      <c r="N221" s="4">
        <v>168600</v>
      </c>
      <c r="O221" t="s">
        <v>73</v>
      </c>
      <c r="Q221" t="s">
        <v>65</v>
      </c>
      <c r="R221">
        <v>0</v>
      </c>
    </row>
    <row r="222" spans="1:18" x14ac:dyDescent="0.3">
      <c r="A222" t="s">
        <v>668</v>
      </c>
      <c r="B222" s="1">
        <v>45822</v>
      </c>
      <c r="C222" t="s">
        <v>19</v>
      </c>
      <c r="D222" t="s">
        <v>39</v>
      </c>
      <c r="E222">
        <v>45</v>
      </c>
      <c r="F222" t="s">
        <v>21</v>
      </c>
      <c r="G222" t="s">
        <v>21</v>
      </c>
      <c r="H222" t="s">
        <v>62</v>
      </c>
      <c r="I222" t="s">
        <v>140</v>
      </c>
      <c r="J222" t="s">
        <v>34</v>
      </c>
      <c r="K222">
        <v>1</v>
      </c>
      <c r="L222" s="4">
        <v>2500</v>
      </c>
      <c r="M222">
        <v>10</v>
      </c>
      <c r="N222" s="4">
        <v>2250</v>
      </c>
      <c r="O222" t="s">
        <v>25</v>
      </c>
      <c r="P222">
        <v>2</v>
      </c>
      <c r="Q222" t="s">
        <v>41</v>
      </c>
      <c r="R222">
        <v>1</v>
      </c>
    </row>
    <row r="223" spans="1:18" x14ac:dyDescent="0.3">
      <c r="A223" t="s">
        <v>670</v>
      </c>
      <c r="B223" s="1">
        <v>46177</v>
      </c>
      <c r="C223" t="s">
        <v>113</v>
      </c>
      <c r="D223" t="s">
        <v>39</v>
      </c>
      <c r="E223">
        <v>24</v>
      </c>
      <c r="F223" t="s">
        <v>61</v>
      </c>
      <c r="G223" t="s">
        <v>61</v>
      </c>
      <c r="H223" t="s">
        <v>62</v>
      </c>
      <c r="I223" t="s">
        <v>140</v>
      </c>
      <c r="J223" t="s">
        <v>24</v>
      </c>
      <c r="K223">
        <v>1</v>
      </c>
      <c r="L223" s="4">
        <v>33100</v>
      </c>
      <c r="M223">
        <v>0</v>
      </c>
      <c r="N223" s="4">
        <v>33100</v>
      </c>
      <c r="O223" t="s">
        <v>85</v>
      </c>
      <c r="P223">
        <v>3</v>
      </c>
      <c r="Q223" t="s">
        <v>26</v>
      </c>
      <c r="R223">
        <v>0</v>
      </c>
    </row>
    <row r="224" spans="1:18" x14ac:dyDescent="0.3">
      <c r="A224" t="s">
        <v>672</v>
      </c>
      <c r="B224" s="1">
        <v>46027</v>
      </c>
      <c r="C224" t="s">
        <v>71</v>
      </c>
      <c r="D224" t="s">
        <v>20</v>
      </c>
      <c r="E224">
        <v>28</v>
      </c>
      <c r="F224" t="s">
        <v>51</v>
      </c>
      <c r="G224" t="s">
        <v>104</v>
      </c>
      <c r="H224" t="s">
        <v>22</v>
      </c>
      <c r="I224" t="s">
        <v>84</v>
      </c>
      <c r="J224" t="s">
        <v>24</v>
      </c>
      <c r="K224">
        <v>4</v>
      </c>
      <c r="L224" s="4">
        <v>17000</v>
      </c>
      <c r="M224">
        <v>10</v>
      </c>
      <c r="N224" s="4">
        <v>61200</v>
      </c>
      <c r="O224" t="s">
        <v>85</v>
      </c>
      <c r="P224">
        <v>1</v>
      </c>
      <c r="Q224" t="s">
        <v>41</v>
      </c>
      <c r="R224">
        <v>1</v>
      </c>
    </row>
    <row r="225" spans="1:18" x14ac:dyDescent="0.3">
      <c r="A225" t="s">
        <v>674</v>
      </c>
      <c r="B225" s="1">
        <v>45716</v>
      </c>
      <c r="C225" t="s">
        <v>71</v>
      </c>
      <c r="D225" t="s">
        <v>3292</v>
      </c>
      <c r="E225">
        <v>20</v>
      </c>
      <c r="F225" t="s">
        <v>61</v>
      </c>
      <c r="G225" t="s">
        <v>61</v>
      </c>
      <c r="H225" t="s">
        <v>32</v>
      </c>
      <c r="I225" t="s">
        <v>33</v>
      </c>
      <c r="J225" t="s">
        <v>80</v>
      </c>
      <c r="K225">
        <v>8</v>
      </c>
      <c r="L225" s="4">
        <v>23200</v>
      </c>
      <c r="M225">
        <v>15</v>
      </c>
      <c r="N225" s="4">
        <v>157760</v>
      </c>
      <c r="O225" t="s">
        <v>25</v>
      </c>
      <c r="Q225" t="s">
        <v>41</v>
      </c>
      <c r="R225">
        <v>1</v>
      </c>
    </row>
    <row r="226" spans="1:18" x14ac:dyDescent="0.3">
      <c r="A226" t="s">
        <v>676</v>
      </c>
      <c r="B226" s="1">
        <v>46082</v>
      </c>
      <c r="C226" t="s">
        <v>60</v>
      </c>
      <c r="D226" t="s">
        <v>39</v>
      </c>
      <c r="E226">
        <v>65</v>
      </c>
      <c r="F226" t="s">
        <v>30</v>
      </c>
      <c r="G226" t="s">
        <v>31</v>
      </c>
      <c r="H226" t="s">
        <v>32</v>
      </c>
      <c r="I226" t="s">
        <v>53</v>
      </c>
      <c r="J226" t="s">
        <v>72</v>
      </c>
      <c r="K226">
        <v>2</v>
      </c>
      <c r="L226" s="4">
        <v>48100</v>
      </c>
      <c r="M226">
        <v>10</v>
      </c>
      <c r="N226" s="4">
        <v>86580</v>
      </c>
      <c r="O226" t="s">
        <v>85</v>
      </c>
      <c r="P226">
        <v>2</v>
      </c>
      <c r="Q226" t="s">
        <v>41</v>
      </c>
      <c r="R226">
        <v>1</v>
      </c>
    </row>
    <row r="227" spans="1:18" x14ac:dyDescent="0.3">
      <c r="A227" t="s">
        <v>678</v>
      </c>
      <c r="B227" s="1">
        <v>45980</v>
      </c>
      <c r="C227" t="s">
        <v>68</v>
      </c>
      <c r="D227" t="s">
        <v>3292</v>
      </c>
      <c r="E227">
        <v>28</v>
      </c>
      <c r="F227" t="s">
        <v>61</v>
      </c>
      <c r="G227" t="s">
        <v>61</v>
      </c>
      <c r="H227" t="s">
        <v>46</v>
      </c>
      <c r="I227" t="s">
        <v>47</v>
      </c>
      <c r="J227" t="s">
        <v>24</v>
      </c>
      <c r="K227">
        <v>8</v>
      </c>
      <c r="L227" s="4">
        <v>36300</v>
      </c>
      <c r="M227">
        <v>10</v>
      </c>
      <c r="N227" s="4">
        <v>261360</v>
      </c>
      <c r="O227" t="s">
        <v>85</v>
      </c>
      <c r="P227">
        <v>2</v>
      </c>
      <c r="Q227" t="s">
        <v>26</v>
      </c>
      <c r="R227">
        <v>0</v>
      </c>
    </row>
    <row r="228" spans="1:18" x14ac:dyDescent="0.3">
      <c r="A228" t="s">
        <v>680</v>
      </c>
      <c r="B228" s="1">
        <v>46133</v>
      </c>
      <c r="C228" t="s">
        <v>60</v>
      </c>
      <c r="D228" t="s">
        <v>20</v>
      </c>
      <c r="E228">
        <v>46</v>
      </c>
      <c r="F228" t="s">
        <v>51</v>
      </c>
      <c r="G228" t="s">
        <v>52</v>
      </c>
      <c r="H228" t="s">
        <v>32</v>
      </c>
      <c r="I228" t="s">
        <v>53</v>
      </c>
      <c r="J228" t="s">
        <v>72</v>
      </c>
      <c r="K228">
        <v>8</v>
      </c>
      <c r="L228" s="4">
        <v>40400</v>
      </c>
      <c r="M228">
        <v>5</v>
      </c>
      <c r="N228" s="4">
        <v>307040</v>
      </c>
      <c r="O228" t="s">
        <v>73</v>
      </c>
      <c r="P228">
        <v>4</v>
      </c>
      <c r="Q228" t="s">
        <v>41</v>
      </c>
      <c r="R228">
        <v>1</v>
      </c>
    </row>
    <row r="229" spans="1:18" x14ac:dyDescent="0.3">
      <c r="A229" t="s">
        <v>682</v>
      </c>
      <c r="B229" s="1">
        <v>46017</v>
      </c>
      <c r="C229" t="s">
        <v>19</v>
      </c>
      <c r="D229" t="s">
        <v>20</v>
      </c>
      <c r="E229">
        <v>49</v>
      </c>
      <c r="F229" t="s">
        <v>61</v>
      </c>
      <c r="G229" t="s">
        <v>61</v>
      </c>
      <c r="H229" t="s">
        <v>32</v>
      </c>
      <c r="I229" t="s">
        <v>53</v>
      </c>
      <c r="J229" t="s">
        <v>64</v>
      </c>
      <c r="K229">
        <v>4</v>
      </c>
      <c r="L229" s="4">
        <v>18100</v>
      </c>
      <c r="M229">
        <v>20</v>
      </c>
      <c r="N229" s="4">
        <v>57920</v>
      </c>
      <c r="O229" t="s">
        <v>73</v>
      </c>
      <c r="P229">
        <v>5</v>
      </c>
      <c r="Q229" t="s">
        <v>41</v>
      </c>
      <c r="R229">
        <v>1</v>
      </c>
    </row>
    <row r="230" spans="1:18" x14ac:dyDescent="0.3">
      <c r="A230" t="s">
        <v>691</v>
      </c>
      <c r="B230" s="1">
        <v>45713</v>
      </c>
      <c r="C230" t="s">
        <v>38</v>
      </c>
      <c r="D230" t="s">
        <v>3292</v>
      </c>
      <c r="E230">
        <v>30</v>
      </c>
      <c r="F230" t="s">
        <v>30</v>
      </c>
      <c r="G230" t="s">
        <v>57</v>
      </c>
      <c r="H230" t="s">
        <v>62</v>
      </c>
      <c r="I230" t="s">
        <v>140</v>
      </c>
      <c r="J230" t="s">
        <v>80</v>
      </c>
      <c r="K230">
        <v>3</v>
      </c>
      <c r="L230" s="4">
        <v>42000</v>
      </c>
      <c r="M230">
        <v>5</v>
      </c>
      <c r="N230" s="4">
        <v>119700</v>
      </c>
      <c r="O230" t="s">
        <v>85</v>
      </c>
      <c r="Q230" t="s">
        <v>74</v>
      </c>
      <c r="R230">
        <v>0</v>
      </c>
    </row>
    <row r="231" spans="1:18" x14ac:dyDescent="0.3">
      <c r="A231" t="s">
        <v>693</v>
      </c>
      <c r="B231" s="1">
        <v>45710</v>
      </c>
      <c r="C231" t="s">
        <v>88</v>
      </c>
      <c r="D231" t="s">
        <v>20</v>
      </c>
      <c r="E231">
        <v>60</v>
      </c>
      <c r="F231" t="s">
        <v>77</v>
      </c>
      <c r="G231" t="s">
        <v>78</v>
      </c>
      <c r="H231" t="s">
        <v>32</v>
      </c>
      <c r="I231" t="s">
        <v>33</v>
      </c>
      <c r="J231" t="s">
        <v>72</v>
      </c>
      <c r="K231">
        <v>2</v>
      </c>
      <c r="L231" s="4">
        <v>45700</v>
      </c>
      <c r="M231">
        <v>15</v>
      </c>
      <c r="N231" s="4">
        <v>77690</v>
      </c>
      <c r="O231" t="s">
        <v>25</v>
      </c>
      <c r="P231">
        <v>4</v>
      </c>
      <c r="Q231" t="s">
        <v>41</v>
      </c>
      <c r="R231">
        <v>1</v>
      </c>
    </row>
    <row r="232" spans="1:18" x14ac:dyDescent="0.3">
      <c r="A232" t="s">
        <v>695</v>
      </c>
      <c r="B232" s="1">
        <v>45768</v>
      </c>
      <c r="C232" t="s">
        <v>121</v>
      </c>
      <c r="D232" t="s">
        <v>20</v>
      </c>
      <c r="E232">
        <v>24</v>
      </c>
      <c r="F232" t="s">
        <v>77</v>
      </c>
      <c r="G232" t="s">
        <v>78</v>
      </c>
      <c r="H232" t="s">
        <v>62</v>
      </c>
      <c r="I232" t="s">
        <v>63</v>
      </c>
      <c r="J232" t="s">
        <v>64</v>
      </c>
      <c r="K232">
        <v>1</v>
      </c>
      <c r="L232" s="4">
        <v>9600</v>
      </c>
      <c r="M232">
        <v>25</v>
      </c>
      <c r="N232" s="4">
        <v>7200</v>
      </c>
      <c r="O232" t="s">
        <v>73</v>
      </c>
      <c r="P232">
        <v>5</v>
      </c>
      <c r="Q232" t="s">
        <v>74</v>
      </c>
      <c r="R232">
        <v>0</v>
      </c>
    </row>
    <row r="233" spans="1:18" x14ac:dyDescent="0.3">
      <c r="A233" t="s">
        <v>697</v>
      </c>
      <c r="B233" s="1">
        <v>45905</v>
      </c>
      <c r="C233" t="s">
        <v>113</v>
      </c>
      <c r="D233" t="s">
        <v>20</v>
      </c>
      <c r="E233">
        <v>41</v>
      </c>
      <c r="F233" t="s">
        <v>21</v>
      </c>
      <c r="G233" t="s">
        <v>21</v>
      </c>
      <c r="H233" t="s">
        <v>46</v>
      </c>
      <c r="I233" t="s">
        <v>47</v>
      </c>
      <c r="J233" t="s">
        <v>80</v>
      </c>
      <c r="K233">
        <v>10</v>
      </c>
      <c r="L233" s="4">
        <v>41700</v>
      </c>
      <c r="M233">
        <v>20</v>
      </c>
      <c r="N233" s="4">
        <v>333600</v>
      </c>
      <c r="O233" t="s">
        <v>85</v>
      </c>
      <c r="P233">
        <v>4</v>
      </c>
      <c r="Q233" t="s">
        <v>41</v>
      </c>
      <c r="R233">
        <v>1</v>
      </c>
    </row>
    <row r="234" spans="1:18" x14ac:dyDescent="0.3">
      <c r="A234" t="s">
        <v>699</v>
      </c>
      <c r="B234" s="1">
        <v>45908</v>
      </c>
      <c r="C234" t="s">
        <v>38</v>
      </c>
      <c r="D234" t="s">
        <v>20</v>
      </c>
      <c r="E234">
        <v>48</v>
      </c>
      <c r="F234" t="s">
        <v>44</v>
      </c>
      <c r="G234" t="s">
        <v>45</v>
      </c>
      <c r="H234" t="s">
        <v>62</v>
      </c>
      <c r="I234" t="s">
        <v>140</v>
      </c>
      <c r="J234" t="s">
        <v>34</v>
      </c>
      <c r="K234">
        <v>2</v>
      </c>
      <c r="L234" s="4">
        <v>30300</v>
      </c>
      <c r="M234">
        <v>5</v>
      </c>
      <c r="N234" s="4">
        <v>57570</v>
      </c>
      <c r="O234" t="s">
        <v>85</v>
      </c>
      <c r="P234">
        <v>4</v>
      </c>
      <c r="Q234" t="s">
        <v>41</v>
      </c>
      <c r="R234">
        <v>1</v>
      </c>
    </row>
    <row r="235" spans="1:18" x14ac:dyDescent="0.3">
      <c r="A235" t="s">
        <v>703</v>
      </c>
      <c r="B235" s="1">
        <v>45863</v>
      </c>
      <c r="C235" t="s">
        <v>94</v>
      </c>
      <c r="D235" t="s">
        <v>20</v>
      </c>
      <c r="E235">
        <v>20</v>
      </c>
      <c r="F235" t="s">
        <v>61</v>
      </c>
      <c r="G235" t="s">
        <v>61</v>
      </c>
      <c r="H235" t="s">
        <v>32</v>
      </c>
      <c r="I235" t="s">
        <v>33</v>
      </c>
      <c r="J235" t="s">
        <v>34</v>
      </c>
      <c r="K235">
        <v>1</v>
      </c>
      <c r="L235" s="4">
        <v>12000</v>
      </c>
      <c r="M235">
        <v>0</v>
      </c>
      <c r="N235" s="4">
        <v>12000</v>
      </c>
      <c r="O235" t="s">
        <v>85</v>
      </c>
      <c r="Q235" t="s">
        <v>26</v>
      </c>
      <c r="R235">
        <v>0</v>
      </c>
    </row>
    <row r="236" spans="1:18" x14ac:dyDescent="0.3">
      <c r="A236" t="s">
        <v>706</v>
      </c>
      <c r="B236" s="1">
        <v>45911</v>
      </c>
      <c r="C236" t="s">
        <v>60</v>
      </c>
      <c r="D236" t="s">
        <v>20</v>
      </c>
      <c r="E236">
        <v>22</v>
      </c>
      <c r="F236" t="s">
        <v>30</v>
      </c>
      <c r="G236" t="s">
        <v>31</v>
      </c>
      <c r="H236" t="s">
        <v>46</v>
      </c>
      <c r="I236" t="s">
        <v>79</v>
      </c>
      <c r="J236" t="s">
        <v>64</v>
      </c>
      <c r="K236">
        <v>1</v>
      </c>
      <c r="L236" s="4">
        <v>21400</v>
      </c>
      <c r="M236">
        <v>0</v>
      </c>
      <c r="N236" s="4">
        <v>21400</v>
      </c>
      <c r="O236" t="s">
        <v>25</v>
      </c>
      <c r="P236">
        <v>2</v>
      </c>
      <c r="Q236" t="s">
        <v>41</v>
      </c>
      <c r="R236">
        <v>1</v>
      </c>
    </row>
    <row r="237" spans="1:18" x14ac:dyDescent="0.3">
      <c r="A237" t="s">
        <v>708</v>
      </c>
      <c r="B237" s="1">
        <v>46088</v>
      </c>
      <c r="C237" t="s">
        <v>113</v>
      </c>
      <c r="D237" t="s">
        <v>3292</v>
      </c>
      <c r="E237">
        <v>49</v>
      </c>
      <c r="F237" t="s">
        <v>61</v>
      </c>
      <c r="G237" t="s">
        <v>61</v>
      </c>
      <c r="H237" t="s">
        <v>46</v>
      </c>
      <c r="I237" t="s">
        <v>79</v>
      </c>
      <c r="J237" t="s">
        <v>34</v>
      </c>
      <c r="K237">
        <v>1</v>
      </c>
      <c r="L237" s="4">
        <v>30900</v>
      </c>
      <c r="M237">
        <v>0</v>
      </c>
      <c r="N237" s="4">
        <v>30900</v>
      </c>
      <c r="O237" t="s">
        <v>73</v>
      </c>
      <c r="P237">
        <v>1</v>
      </c>
      <c r="Q237" t="s">
        <v>65</v>
      </c>
      <c r="R237">
        <v>0</v>
      </c>
    </row>
    <row r="238" spans="1:18" x14ac:dyDescent="0.3">
      <c r="A238" t="s">
        <v>710</v>
      </c>
      <c r="B238" s="1">
        <v>45956</v>
      </c>
      <c r="C238" t="s">
        <v>88</v>
      </c>
      <c r="D238" t="s">
        <v>39</v>
      </c>
      <c r="E238">
        <v>54</v>
      </c>
      <c r="F238" t="s">
        <v>51</v>
      </c>
      <c r="G238" t="s">
        <v>104</v>
      </c>
      <c r="H238" t="s">
        <v>62</v>
      </c>
      <c r="I238" t="s">
        <v>140</v>
      </c>
      <c r="J238" t="s">
        <v>64</v>
      </c>
      <c r="K238">
        <v>2</v>
      </c>
      <c r="L238" s="4">
        <v>46800</v>
      </c>
      <c r="M238">
        <v>20</v>
      </c>
      <c r="N238" s="4">
        <v>74880</v>
      </c>
      <c r="O238" t="s">
        <v>85</v>
      </c>
      <c r="P238">
        <v>3</v>
      </c>
      <c r="Q238" t="s">
        <v>26</v>
      </c>
      <c r="R238">
        <v>0</v>
      </c>
    </row>
    <row r="239" spans="1:18" x14ac:dyDescent="0.3">
      <c r="A239" t="s">
        <v>713</v>
      </c>
      <c r="B239" s="1">
        <v>45747</v>
      </c>
      <c r="C239" t="s">
        <v>121</v>
      </c>
      <c r="D239" t="s">
        <v>39</v>
      </c>
      <c r="E239">
        <v>18</v>
      </c>
      <c r="F239" t="s">
        <v>30</v>
      </c>
      <c r="G239" t="s">
        <v>31</v>
      </c>
      <c r="H239" t="s">
        <v>32</v>
      </c>
      <c r="I239" t="s">
        <v>53</v>
      </c>
      <c r="J239" t="s">
        <v>72</v>
      </c>
      <c r="K239">
        <v>9</v>
      </c>
      <c r="L239" s="4">
        <v>38300</v>
      </c>
      <c r="M239">
        <v>10</v>
      </c>
      <c r="N239" s="4">
        <v>310230</v>
      </c>
      <c r="O239" t="s">
        <v>85</v>
      </c>
      <c r="P239">
        <v>5</v>
      </c>
      <c r="Q239" t="s">
        <v>65</v>
      </c>
      <c r="R239">
        <v>0</v>
      </c>
    </row>
    <row r="240" spans="1:18" x14ac:dyDescent="0.3">
      <c r="A240" t="s">
        <v>715</v>
      </c>
      <c r="B240" s="1">
        <v>46020</v>
      </c>
      <c r="C240" t="s">
        <v>29</v>
      </c>
      <c r="D240" t="s">
        <v>39</v>
      </c>
      <c r="E240">
        <v>49</v>
      </c>
      <c r="F240" t="s">
        <v>61</v>
      </c>
      <c r="G240" t="s">
        <v>61</v>
      </c>
      <c r="H240" t="s">
        <v>46</v>
      </c>
      <c r="I240" t="s">
        <v>47</v>
      </c>
      <c r="J240" t="s">
        <v>64</v>
      </c>
      <c r="K240">
        <v>3</v>
      </c>
      <c r="L240" s="4">
        <v>48800</v>
      </c>
      <c r="M240">
        <v>20</v>
      </c>
      <c r="N240" s="4">
        <v>117120</v>
      </c>
      <c r="O240" t="s">
        <v>85</v>
      </c>
      <c r="Q240" t="s">
        <v>65</v>
      </c>
      <c r="R240">
        <v>0</v>
      </c>
    </row>
    <row r="241" spans="1:18" x14ac:dyDescent="0.3">
      <c r="A241" t="s">
        <v>717</v>
      </c>
      <c r="B241" s="1">
        <v>46239</v>
      </c>
      <c r="C241" t="s">
        <v>29</v>
      </c>
      <c r="D241" t="s">
        <v>3292</v>
      </c>
      <c r="E241">
        <v>43</v>
      </c>
      <c r="F241" t="s">
        <v>44</v>
      </c>
      <c r="G241" t="s">
        <v>45</v>
      </c>
      <c r="H241" t="s">
        <v>22</v>
      </c>
      <c r="I241" t="s">
        <v>23</v>
      </c>
      <c r="J241" t="s">
        <v>80</v>
      </c>
      <c r="K241">
        <v>4</v>
      </c>
      <c r="L241" s="4">
        <v>30700</v>
      </c>
      <c r="M241">
        <v>15</v>
      </c>
      <c r="N241" s="4">
        <v>104380</v>
      </c>
      <c r="O241" t="s">
        <v>85</v>
      </c>
      <c r="Q241" t="s">
        <v>74</v>
      </c>
      <c r="R241">
        <v>0</v>
      </c>
    </row>
    <row r="242" spans="1:18" x14ac:dyDescent="0.3">
      <c r="A242" t="s">
        <v>719</v>
      </c>
      <c r="B242" s="1">
        <v>45681</v>
      </c>
      <c r="C242" t="s">
        <v>121</v>
      </c>
      <c r="D242" t="s">
        <v>39</v>
      </c>
      <c r="E242">
        <v>48</v>
      </c>
      <c r="F242" t="s">
        <v>61</v>
      </c>
      <c r="G242" t="s">
        <v>61</v>
      </c>
      <c r="H242" t="s">
        <v>62</v>
      </c>
      <c r="I242" t="s">
        <v>63</v>
      </c>
      <c r="J242" t="s">
        <v>34</v>
      </c>
      <c r="K242">
        <v>5</v>
      </c>
      <c r="L242" s="4">
        <v>20000</v>
      </c>
      <c r="M242">
        <v>10</v>
      </c>
      <c r="N242" s="4">
        <v>90000</v>
      </c>
      <c r="O242" t="s">
        <v>85</v>
      </c>
      <c r="Q242" t="s">
        <v>65</v>
      </c>
      <c r="R242">
        <v>0</v>
      </c>
    </row>
    <row r="243" spans="1:18" x14ac:dyDescent="0.3">
      <c r="A243" t="s">
        <v>720</v>
      </c>
      <c r="B243" s="1">
        <v>46054</v>
      </c>
      <c r="C243" t="s">
        <v>19</v>
      </c>
      <c r="D243" t="s">
        <v>3292</v>
      </c>
      <c r="E243">
        <v>39</v>
      </c>
      <c r="F243" t="s">
        <v>44</v>
      </c>
      <c r="G243" t="s">
        <v>45</v>
      </c>
      <c r="H243" t="s">
        <v>32</v>
      </c>
      <c r="I243" t="s">
        <v>53</v>
      </c>
      <c r="J243" t="s">
        <v>80</v>
      </c>
      <c r="K243">
        <v>1</v>
      </c>
      <c r="L243" s="4">
        <v>40400</v>
      </c>
      <c r="M243">
        <v>20</v>
      </c>
      <c r="N243" s="4">
        <v>32320</v>
      </c>
      <c r="O243" t="s">
        <v>85</v>
      </c>
      <c r="P243">
        <v>1</v>
      </c>
      <c r="Q243" t="s">
        <v>41</v>
      </c>
      <c r="R243">
        <v>1</v>
      </c>
    </row>
    <row r="244" spans="1:18" x14ac:dyDescent="0.3">
      <c r="A244" t="s">
        <v>722</v>
      </c>
      <c r="B244" s="1">
        <v>45819</v>
      </c>
      <c r="C244" t="s">
        <v>19</v>
      </c>
      <c r="D244" t="s">
        <v>39</v>
      </c>
      <c r="E244">
        <v>58</v>
      </c>
      <c r="F244" t="s">
        <v>44</v>
      </c>
      <c r="G244" t="s">
        <v>100</v>
      </c>
      <c r="H244" t="s">
        <v>32</v>
      </c>
      <c r="I244" t="s">
        <v>33</v>
      </c>
      <c r="J244" t="s">
        <v>80</v>
      </c>
      <c r="K244">
        <v>10</v>
      </c>
      <c r="L244" s="4">
        <v>30600</v>
      </c>
      <c r="M244">
        <v>15</v>
      </c>
      <c r="N244" s="4">
        <v>260100</v>
      </c>
      <c r="O244" t="s">
        <v>3293</v>
      </c>
      <c r="P244">
        <v>2</v>
      </c>
      <c r="Q244" t="s">
        <v>65</v>
      </c>
      <c r="R244">
        <v>0</v>
      </c>
    </row>
    <row r="245" spans="1:18" x14ac:dyDescent="0.3">
      <c r="A245" t="s">
        <v>724</v>
      </c>
      <c r="B245" s="1">
        <v>45942</v>
      </c>
      <c r="C245" t="s">
        <v>121</v>
      </c>
      <c r="D245" t="s">
        <v>39</v>
      </c>
      <c r="E245">
        <v>43</v>
      </c>
      <c r="F245" t="s">
        <v>21</v>
      </c>
      <c r="G245" t="s">
        <v>21</v>
      </c>
      <c r="H245" t="s">
        <v>46</v>
      </c>
      <c r="I245" t="s">
        <v>79</v>
      </c>
      <c r="J245" t="s">
        <v>64</v>
      </c>
      <c r="K245">
        <v>4</v>
      </c>
      <c r="L245" s="4">
        <v>34500</v>
      </c>
      <c r="M245">
        <v>20</v>
      </c>
      <c r="N245" s="4">
        <v>110400</v>
      </c>
      <c r="O245" t="s">
        <v>25</v>
      </c>
      <c r="Q245" t="s">
        <v>65</v>
      </c>
      <c r="R245">
        <v>0</v>
      </c>
    </row>
    <row r="246" spans="1:18" x14ac:dyDescent="0.3">
      <c r="A246" t="s">
        <v>725</v>
      </c>
      <c r="B246" s="1">
        <v>45972</v>
      </c>
      <c r="C246" t="s">
        <v>121</v>
      </c>
      <c r="D246" t="s">
        <v>20</v>
      </c>
      <c r="E246">
        <v>29</v>
      </c>
      <c r="F246" t="s">
        <v>30</v>
      </c>
      <c r="G246" t="s">
        <v>31</v>
      </c>
      <c r="H246" t="s">
        <v>46</v>
      </c>
      <c r="I246" t="s">
        <v>47</v>
      </c>
      <c r="J246" t="s">
        <v>72</v>
      </c>
      <c r="K246">
        <v>10</v>
      </c>
      <c r="L246" s="4">
        <v>2700</v>
      </c>
      <c r="M246">
        <v>10</v>
      </c>
      <c r="N246" s="4">
        <v>24300</v>
      </c>
      <c r="O246" t="s">
        <v>85</v>
      </c>
      <c r="P246">
        <v>3</v>
      </c>
      <c r="Q246" t="s">
        <v>74</v>
      </c>
      <c r="R246">
        <v>0</v>
      </c>
    </row>
    <row r="247" spans="1:18" x14ac:dyDescent="0.3">
      <c r="A247" t="s">
        <v>727</v>
      </c>
      <c r="B247" s="1">
        <v>46104</v>
      </c>
      <c r="C247" t="s">
        <v>113</v>
      </c>
      <c r="D247" t="s">
        <v>39</v>
      </c>
      <c r="E247">
        <v>40</v>
      </c>
      <c r="F247" t="s">
        <v>21</v>
      </c>
      <c r="G247" t="s">
        <v>21</v>
      </c>
      <c r="H247" t="s">
        <v>46</v>
      </c>
      <c r="I247" t="s">
        <v>47</v>
      </c>
      <c r="J247" t="s">
        <v>89</v>
      </c>
      <c r="K247">
        <v>10</v>
      </c>
      <c r="L247" s="4">
        <v>43400</v>
      </c>
      <c r="M247">
        <v>5</v>
      </c>
      <c r="N247" s="4">
        <v>412300</v>
      </c>
      <c r="O247" t="s">
        <v>25</v>
      </c>
      <c r="P247">
        <v>2</v>
      </c>
      <c r="Q247" t="s">
        <v>41</v>
      </c>
      <c r="R247">
        <v>1</v>
      </c>
    </row>
    <row r="248" spans="1:18" x14ac:dyDescent="0.3">
      <c r="A248" t="s">
        <v>729</v>
      </c>
      <c r="B248" s="1">
        <v>45884</v>
      </c>
      <c r="C248" t="s">
        <v>121</v>
      </c>
      <c r="D248" t="s">
        <v>39</v>
      </c>
      <c r="E248">
        <v>65</v>
      </c>
      <c r="F248" t="s">
        <v>21</v>
      </c>
      <c r="G248" t="s">
        <v>21</v>
      </c>
      <c r="H248" t="s">
        <v>46</v>
      </c>
      <c r="I248" t="s">
        <v>47</v>
      </c>
      <c r="J248" t="s">
        <v>24</v>
      </c>
      <c r="K248">
        <v>5</v>
      </c>
      <c r="L248" s="4">
        <v>38600</v>
      </c>
      <c r="M248">
        <v>15</v>
      </c>
      <c r="N248" s="4">
        <v>164050</v>
      </c>
      <c r="O248" t="s">
        <v>25</v>
      </c>
      <c r="P248">
        <v>3</v>
      </c>
      <c r="Q248" t="s">
        <v>74</v>
      </c>
      <c r="R248">
        <v>0</v>
      </c>
    </row>
    <row r="249" spans="1:18" x14ac:dyDescent="0.3">
      <c r="A249" t="s">
        <v>731</v>
      </c>
      <c r="B249" s="1">
        <v>45905</v>
      </c>
      <c r="C249" t="s">
        <v>68</v>
      </c>
      <c r="D249" t="s">
        <v>3292</v>
      </c>
      <c r="E249">
        <v>25</v>
      </c>
      <c r="F249" t="s">
        <v>30</v>
      </c>
      <c r="G249" t="s">
        <v>31</v>
      </c>
      <c r="H249" t="s">
        <v>32</v>
      </c>
      <c r="I249" t="s">
        <v>33</v>
      </c>
      <c r="J249" t="s">
        <v>72</v>
      </c>
      <c r="K249">
        <v>3</v>
      </c>
      <c r="L249" s="4">
        <v>19400</v>
      </c>
      <c r="M249">
        <v>25</v>
      </c>
      <c r="N249" s="4">
        <v>43650</v>
      </c>
      <c r="O249" t="s">
        <v>25</v>
      </c>
      <c r="P249">
        <v>4</v>
      </c>
      <c r="Q249" t="s">
        <v>65</v>
      </c>
      <c r="R249">
        <v>0</v>
      </c>
    </row>
    <row r="250" spans="1:18" x14ac:dyDescent="0.3">
      <c r="A250" t="s">
        <v>732</v>
      </c>
      <c r="B250" s="1">
        <v>45993</v>
      </c>
      <c r="C250" t="s">
        <v>71</v>
      </c>
      <c r="D250" t="s">
        <v>20</v>
      </c>
      <c r="E250">
        <v>24</v>
      </c>
      <c r="F250" t="s">
        <v>61</v>
      </c>
      <c r="G250" t="s">
        <v>61</v>
      </c>
      <c r="H250" t="s">
        <v>46</v>
      </c>
      <c r="I250" t="s">
        <v>79</v>
      </c>
      <c r="J250" t="s">
        <v>72</v>
      </c>
      <c r="K250">
        <v>5</v>
      </c>
      <c r="L250" s="4">
        <v>32100</v>
      </c>
      <c r="M250">
        <v>20</v>
      </c>
      <c r="N250" s="4">
        <v>128400</v>
      </c>
      <c r="O250" t="s">
        <v>73</v>
      </c>
      <c r="P250">
        <v>3</v>
      </c>
      <c r="Q250" t="s">
        <v>74</v>
      </c>
      <c r="R250">
        <v>0</v>
      </c>
    </row>
    <row r="251" spans="1:18" x14ac:dyDescent="0.3">
      <c r="A251" t="s">
        <v>734</v>
      </c>
      <c r="B251" s="1">
        <v>45996</v>
      </c>
      <c r="C251" t="s">
        <v>121</v>
      </c>
      <c r="D251" t="s">
        <v>20</v>
      </c>
      <c r="E251">
        <v>30</v>
      </c>
      <c r="F251" t="s">
        <v>61</v>
      </c>
      <c r="G251" t="s">
        <v>61</v>
      </c>
      <c r="H251" t="s">
        <v>22</v>
      </c>
      <c r="I251" t="s">
        <v>84</v>
      </c>
      <c r="J251" t="s">
        <v>24</v>
      </c>
      <c r="K251">
        <v>1</v>
      </c>
      <c r="L251" s="4">
        <v>34100</v>
      </c>
      <c r="M251">
        <v>5</v>
      </c>
      <c r="N251" s="4">
        <v>32395</v>
      </c>
      <c r="O251" t="s">
        <v>85</v>
      </c>
      <c r="P251">
        <v>1</v>
      </c>
      <c r="Q251" t="s">
        <v>65</v>
      </c>
      <c r="R251">
        <v>0</v>
      </c>
    </row>
    <row r="252" spans="1:18" x14ac:dyDescent="0.3">
      <c r="A252" t="s">
        <v>735</v>
      </c>
      <c r="B252" s="1">
        <v>45994</v>
      </c>
      <c r="C252" t="s">
        <v>121</v>
      </c>
      <c r="D252" t="s">
        <v>20</v>
      </c>
      <c r="E252">
        <v>29</v>
      </c>
      <c r="F252" t="s">
        <v>51</v>
      </c>
      <c r="G252" t="s">
        <v>52</v>
      </c>
      <c r="H252" t="s">
        <v>62</v>
      </c>
      <c r="I252" t="s">
        <v>140</v>
      </c>
      <c r="J252" t="s">
        <v>80</v>
      </c>
      <c r="K252">
        <v>7</v>
      </c>
      <c r="L252" s="4">
        <v>2100</v>
      </c>
      <c r="M252">
        <v>0</v>
      </c>
      <c r="N252" s="4">
        <v>14700</v>
      </c>
      <c r="O252" t="s">
        <v>73</v>
      </c>
      <c r="Q252" t="s">
        <v>41</v>
      </c>
      <c r="R252">
        <v>1</v>
      </c>
    </row>
    <row r="253" spans="1:18" x14ac:dyDescent="0.3">
      <c r="A253" t="s">
        <v>736</v>
      </c>
      <c r="B253" s="1">
        <v>45663</v>
      </c>
      <c r="C253" t="s">
        <v>29</v>
      </c>
      <c r="D253" t="s">
        <v>3292</v>
      </c>
      <c r="E253">
        <v>35</v>
      </c>
      <c r="F253" t="s">
        <v>30</v>
      </c>
      <c r="G253" t="s">
        <v>57</v>
      </c>
      <c r="H253" t="s">
        <v>22</v>
      </c>
      <c r="I253" t="s">
        <v>23</v>
      </c>
      <c r="J253" t="s">
        <v>72</v>
      </c>
      <c r="K253">
        <v>6</v>
      </c>
      <c r="L253" s="4">
        <v>11000</v>
      </c>
      <c r="M253">
        <v>20</v>
      </c>
      <c r="N253" s="4">
        <v>52800</v>
      </c>
      <c r="O253" t="s">
        <v>85</v>
      </c>
      <c r="P253">
        <v>1</v>
      </c>
      <c r="Q253" t="s">
        <v>26</v>
      </c>
      <c r="R253">
        <v>0</v>
      </c>
    </row>
    <row r="254" spans="1:18" x14ac:dyDescent="0.3">
      <c r="A254" t="s">
        <v>738</v>
      </c>
      <c r="B254" s="1">
        <v>45750</v>
      </c>
      <c r="C254" t="s">
        <v>29</v>
      </c>
      <c r="D254" t="s">
        <v>20</v>
      </c>
      <c r="E254">
        <v>28</v>
      </c>
      <c r="F254" t="s">
        <v>61</v>
      </c>
      <c r="G254" t="s">
        <v>61</v>
      </c>
      <c r="H254" t="s">
        <v>46</v>
      </c>
      <c r="I254" t="s">
        <v>79</v>
      </c>
      <c r="J254" t="s">
        <v>72</v>
      </c>
      <c r="K254">
        <v>3</v>
      </c>
      <c r="L254" s="4">
        <v>46400</v>
      </c>
      <c r="M254">
        <v>0</v>
      </c>
      <c r="N254" s="4">
        <v>139200</v>
      </c>
      <c r="O254" t="s">
        <v>85</v>
      </c>
      <c r="P254">
        <v>3</v>
      </c>
      <c r="Q254" t="s">
        <v>74</v>
      </c>
      <c r="R254">
        <v>0</v>
      </c>
    </row>
    <row r="255" spans="1:18" x14ac:dyDescent="0.3">
      <c r="A255" t="s">
        <v>740</v>
      </c>
      <c r="B255" s="1">
        <v>46036</v>
      </c>
      <c r="C255" t="s">
        <v>29</v>
      </c>
      <c r="D255" t="s">
        <v>20</v>
      </c>
      <c r="E255">
        <v>51</v>
      </c>
      <c r="F255" t="s">
        <v>44</v>
      </c>
      <c r="G255" t="s">
        <v>45</v>
      </c>
      <c r="H255" t="s">
        <v>62</v>
      </c>
      <c r="I255" t="s">
        <v>63</v>
      </c>
      <c r="J255" t="s">
        <v>34</v>
      </c>
      <c r="K255">
        <v>2</v>
      </c>
      <c r="L255" s="4">
        <v>43500</v>
      </c>
      <c r="M255">
        <v>0</v>
      </c>
      <c r="N255" s="4">
        <v>87000</v>
      </c>
      <c r="O255" t="s">
        <v>73</v>
      </c>
      <c r="P255">
        <v>3</v>
      </c>
      <c r="Q255" t="s">
        <v>26</v>
      </c>
      <c r="R255">
        <v>0</v>
      </c>
    </row>
    <row r="256" spans="1:18" x14ac:dyDescent="0.3">
      <c r="A256" t="s">
        <v>741</v>
      </c>
      <c r="B256" s="1">
        <v>45870</v>
      </c>
      <c r="C256" t="s">
        <v>38</v>
      </c>
      <c r="D256" t="s">
        <v>20</v>
      </c>
      <c r="E256">
        <v>55</v>
      </c>
      <c r="F256" t="s">
        <v>30</v>
      </c>
      <c r="G256" t="s">
        <v>31</v>
      </c>
      <c r="H256" t="s">
        <v>62</v>
      </c>
      <c r="I256" t="s">
        <v>63</v>
      </c>
      <c r="J256" t="s">
        <v>89</v>
      </c>
      <c r="K256">
        <v>2</v>
      </c>
      <c r="L256" s="4">
        <v>27000</v>
      </c>
      <c r="M256">
        <v>15</v>
      </c>
      <c r="N256" s="4">
        <v>45900</v>
      </c>
      <c r="O256" t="s">
        <v>73</v>
      </c>
      <c r="Q256" t="s">
        <v>65</v>
      </c>
      <c r="R256">
        <v>0</v>
      </c>
    </row>
    <row r="257" spans="1:18" x14ac:dyDescent="0.3">
      <c r="A257" t="s">
        <v>743</v>
      </c>
      <c r="B257" s="1">
        <v>45881</v>
      </c>
      <c r="C257" t="s">
        <v>121</v>
      </c>
      <c r="D257" t="s">
        <v>39</v>
      </c>
      <c r="E257">
        <v>42</v>
      </c>
      <c r="F257" t="s">
        <v>77</v>
      </c>
      <c r="G257" t="s">
        <v>95</v>
      </c>
      <c r="H257" t="s">
        <v>32</v>
      </c>
      <c r="I257" t="s">
        <v>53</v>
      </c>
      <c r="J257" t="s">
        <v>64</v>
      </c>
      <c r="K257">
        <v>6</v>
      </c>
      <c r="L257" s="4">
        <v>43300</v>
      </c>
      <c r="M257">
        <v>15</v>
      </c>
      <c r="N257" s="4">
        <v>220830</v>
      </c>
      <c r="O257" t="s">
        <v>73</v>
      </c>
      <c r="P257">
        <v>2</v>
      </c>
      <c r="Q257" t="s">
        <v>74</v>
      </c>
      <c r="R257">
        <v>0</v>
      </c>
    </row>
    <row r="258" spans="1:18" x14ac:dyDescent="0.3">
      <c r="A258" t="s">
        <v>745</v>
      </c>
      <c r="B258" s="1">
        <v>45886</v>
      </c>
      <c r="C258" t="s">
        <v>121</v>
      </c>
      <c r="D258" t="s">
        <v>20</v>
      </c>
      <c r="E258">
        <v>45</v>
      </c>
      <c r="F258" t="s">
        <v>30</v>
      </c>
      <c r="G258" t="s">
        <v>57</v>
      </c>
      <c r="H258" t="s">
        <v>22</v>
      </c>
      <c r="I258" t="s">
        <v>23</v>
      </c>
      <c r="J258" t="s">
        <v>80</v>
      </c>
      <c r="K258">
        <v>5</v>
      </c>
      <c r="L258" s="4">
        <v>37900</v>
      </c>
      <c r="M258">
        <v>25</v>
      </c>
      <c r="N258" s="4">
        <v>142125</v>
      </c>
      <c r="O258" t="s">
        <v>85</v>
      </c>
      <c r="Q258" t="s">
        <v>74</v>
      </c>
      <c r="R258">
        <v>0</v>
      </c>
    </row>
    <row r="259" spans="1:18" x14ac:dyDescent="0.3">
      <c r="A259" t="s">
        <v>749</v>
      </c>
      <c r="B259" s="1">
        <v>45955</v>
      </c>
      <c r="C259" t="s">
        <v>68</v>
      </c>
      <c r="D259" t="s">
        <v>39</v>
      </c>
      <c r="E259">
        <v>36</v>
      </c>
      <c r="F259" t="s">
        <v>51</v>
      </c>
      <c r="G259" t="s">
        <v>104</v>
      </c>
      <c r="H259" t="s">
        <v>22</v>
      </c>
      <c r="I259" t="s">
        <v>23</v>
      </c>
      <c r="J259" t="s">
        <v>34</v>
      </c>
      <c r="K259">
        <v>7</v>
      </c>
      <c r="L259" s="4">
        <v>7200</v>
      </c>
      <c r="M259">
        <v>10</v>
      </c>
      <c r="N259" s="4">
        <v>45360</v>
      </c>
      <c r="O259" t="s">
        <v>3293</v>
      </c>
      <c r="P259">
        <v>4</v>
      </c>
      <c r="Q259" t="s">
        <v>74</v>
      </c>
      <c r="R259">
        <v>0</v>
      </c>
    </row>
    <row r="260" spans="1:18" x14ac:dyDescent="0.3">
      <c r="A260" t="s">
        <v>751</v>
      </c>
      <c r="B260" s="1">
        <v>45968</v>
      </c>
      <c r="C260" t="s">
        <v>60</v>
      </c>
      <c r="D260" t="s">
        <v>39</v>
      </c>
      <c r="E260">
        <v>44</v>
      </c>
      <c r="F260" t="s">
        <v>30</v>
      </c>
      <c r="G260" t="s">
        <v>31</v>
      </c>
      <c r="H260" t="s">
        <v>32</v>
      </c>
      <c r="I260" t="s">
        <v>53</v>
      </c>
      <c r="J260" t="s">
        <v>72</v>
      </c>
      <c r="K260">
        <v>4</v>
      </c>
      <c r="L260" s="4">
        <v>44200</v>
      </c>
      <c r="M260">
        <v>0</v>
      </c>
      <c r="N260" s="4">
        <v>176800</v>
      </c>
      <c r="O260" t="s">
        <v>73</v>
      </c>
      <c r="P260">
        <v>5</v>
      </c>
      <c r="Q260" t="s">
        <v>26</v>
      </c>
      <c r="R260">
        <v>0</v>
      </c>
    </row>
    <row r="261" spans="1:18" x14ac:dyDescent="0.3">
      <c r="A261" t="s">
        <v>754</v>
      </c>
      <c r="B261" s="1">
        <v>45741</v>
      </c>
      <c r="C261" t="s">
        <v>88</v>
      </c>
      <c r="D261" t="s">
        <v>3292</v>
      </c>
      <c r="E261">
        <v>57</v>
      </c>
      <c r="F261" t="s">
        <v>61</v>
      </c>
      <c r="G261" t="s">
        <v>61</v>
      </c>
      <c r="H261" t="s">
        <v>22</v>
      </c>
      <c r="I261" t="s">
        <v>23</v>
      </c>
      <c r="J261" t="s">
        <v>64</v>
      </c>
      <c r="K261">
        <v>8</v>
      </c>
      <c r="L261" s="4">
        <v>32800</v>
      </c>
      <c r="M261">
        <v>15</v>
      </c>
      <c r="N261" s="4">
        <v>223040</v>
      </c>
      <c r="O261" t="s">
        <v>73</v>
      </c>
      <c r="P261">
        <v>3</v>
      </c>
      <c r="Q261" t="s">
        <v>74</v>
      </c>
      <c r="R261">
        <v>0</v>
      </c>
    </row>
    <row r="262" spans="1:18" x14ac:dyDescent="0.3">
      <c r="A262" t="s">
        <v>756</v>
      </c>
      <c r="B262" s="1">
        <v>46266</v>
      </c>
      <c r="C262" t="s">
        <v>71</v>
      </c>
      <c r="D262" t="s">
        <v>3292</v>
      </c>
      <c r="E262">
        <v>47</v>
      </c>
      <c r="F262" t="s">
        <v>51</v>
      </c>
      <c r="G262" t="s">
        <v>104</v>
      </c>
      <c r="H262" t="s">
        <v>32</v>
      </c>
      <c r="I262" t="s">
        <v>53</v>
      </c>
      <c r="J262" t="s">
        <v>72</v>
      </c>
      <c r="K262">
        <v>2</v>
      </c>
      <c r="L262" s="4">
        <v>31100</v>
      </c>
      <c r="M262">
        <v>0</v>
      </c>
      <c r="N262" s="4">
        <v>62200</v>
      </c>
      <c r="O262" t="s">
        <v>73</v>
      </c>
      <c r="P262">
        <v>1</v>
      </c>
      <c r="Q262" t="s">
        <v>74</v>
      </c>
      <c r="R262">
        <v>0</v>
      </c>
    </row>
    <row r="263" spans="1:18" x14ac:dyDescent="0.3">
      <c r="A263" t="s">
        <v>758</v>
      </c>
      <c r="B263" s="1">
        <v>45780</v>
      </c>
      <c r="C263" t="s">
        <v>71</v>
      </c>
      <c r="D263" t="s">
        <v>20</v>
      </c>
      <c r="E263">
        <v>22</v>
      </c>
      <c r="F263" t="s">
        <v>77</v>
      </c>
      <c r="G263" t="s">
        <v>78</v>
      </c>
      <c r="H263" t="s">
        <v>46</v>
      </c>
      <c r="I263" t="s">
        <v>79</v>
      </c>
      <c r="J263" t="s">
        <v>72</v>
      </c>
      <c r="K263">
        <v>2</v>
      </c>
      <c r="L263" s="4">
        <v>3900</v>
      </c>
      <c r="M263">
        <v>0</v>
      </c>
      <c r="N263" s="4">
        <v>7800</v>
      </c>
      <c r="O263" t="s">
        <v>73</v>
      </c>
      <c r="P263">
        <v>2</v>
      </c>
      <c r="Q263" t="s">
        <v>26</v>
      </c>
      <c r="R263">
        <v>0</v>
      </c>
    </row>
    <row r="264" spans="1:18" x14ac:dyDescent="0.3">
      <c r="A264" t="s">
        <v>760</v>
      </c>
      <c r="B264" s="1">
        <v>45859</v>
      </c>
      <c r="C264" t="s">
        <v>71</v>
      </c>
      <c r="D264" t="s">
        <v>39</v>
      </c>
      <c r="E264">
        <v>58</v>
      </c>
      <c r="F264" t="s">
        <v>30</v>
      </c>
      <c r="G264" t="s">
        <v>57</v>
      </c>
      <c r="H264" t="s">
        <v>22</v>
      </c>
      <c r="I264" t="s">
        <v>84</v>
      </c>
      <c r="J264" t="s">
        <v>80</v>
      </c>
      <c r="K264">
        <v>7</v>
      </c>
      <c r="L264" s="4">
        <v>22300</v>
      </c>
      <c r="M264">
        <v>10</v>
      </c>
      <c r="N264" s="4">
        <v>140490</v>
      </c>
      <c r="O264" t="s">
        <v>25</v>
      </c>
      <c r="P264">
        <v>2</v>
      </c>
      <c r="Q264" t="s">
        <v>26</v>
      </c>
      <c r="R264">
        <v>0</v>
      </c>
    </row>
    <row r="265" spans="1:18" x14ac:dyDescent="0.3">
      <c r="A265" t="s">
        <v>762</v>
      </c>
      <c r="B265" s="1">
        <v>46057</v>
      </c>
      <c r="C265" t="s">
        <v>19</v>
      </c>
      <c r="D265" t="s">
        <v>3292</v>
      </c>
      <c r="E265">
        <v>25</v>
      </c>
      <c r="F265" t="s">
        <v>44</v>
      </c>
      <c r="G265" t="s">
        <v>100</v>
      </c>
      <c r="H265" t="s">
        <v>62</v>
      </c>
      <c r="I265" t="s">
        <v>63</v>
      </c>
      <c r="J265" t="s">
        <v>89</v>
      </c>
      <c r="K265">
        <v>5</v>
      </c>
      <c r="L265" s="4">
        <v>36900</v>
      </c>
      <c r="M265">
        <v>25</v>
      </c>
      <c r="N265" s="4">
        <v>138375</v>
      </c>
      <c r="O265" t="s">
        <v>85</v>
      </c>
      <c r="P265">
        <v>2</v>
      </c>
      <c r="Q265" t="s">
        <v>41</v>
      </c>
      <c r="R265">
        <v>1</v>
      </c>
    </row>
    <row r="266" spans="1:18" x14ac:dyDescent="0.3">
      <c r="A266" t="s">
        <v>766</v>
      </c>
      <c r="B266" s="1">
        <v>45718</v>
      </c>
      <c r="C266" t="s">
        <v>88</v>
      </c>
      <c r="D266" t="s">
        <v>3292</v>
      </c>
      <c r="E266">
        <v>32</v>
      </c>
      <c r="F266" t="s">
        <v>44</v>
      </c>
      <c r="G266" t="s">
        <v>100</v>
      </c>
      <c r="H266" t="s">
        <v>32</v>
      </c>
      <c r="I266" t="s">
        <v>53</v>
      </c>
      <c r="J266" t="s">
        <v>89</v>
      </c>
      <c r="K266">
        <v>4</v>
      </c>
      <c r="L266" s="4">
        <v>24400</v>
      </c>
      <c r="M266">
        <v>15</v>
      </c>
      <c r="N266" s="4">
        <v>82960</v>
      </c>
      <c r="O266" t="s">
        <v>73</v>
      </c>
      <c r="P266">
        <v>2</v>
      </c>
      <c r="Q266" t="s">
        <v>74</v>
      </c>
      <c r="R266">
        <v>0</v>
      </c>
    </row>
    <row r="267" spans="1:18" x14ac:dyDescent="0.3">
      <c r="A267" t="s">
        <v>768</v>
      </c>
      <c r="B267" s="1">
        <v>45848</v>
      </c>
      <c r="C267" t="s">
        <v>94</v>
      </c>
      <c r="D267" t="s">
        <v>20</v>
      </c>
      <c r="E267">
        <v>33</v>
      </c>
      <c r="F267" t="s">
        <v>77</v>
      </c>
      <c r="G267" t="s">
        <v>78</v>
      </c>
      <c r="H267" t="s">
        <v>22</v>
      </c>
      <c r="I267" t="s">
        <v>23</v>
      </c>
      <c r="J267" t="s">
        <v>72</v>
      </c>
      <c r="K267">
        <v>4</v>
      </c>
      <c r="L267" s="4">
        <v>27100</v>
      </c>
      <c r="M267">
        <v>10</v>
      </c>
      <c r="N267" s="4">
        <v>97560</v>
      </c>
      <c r="O267" t="s">
        <v>73</v>
      </c>
      <c r="Q267" t="s">
        <v>74</v>
      </c>
      <c r="R267">
        <v>0</v>
      </c>
    </row>
    <row r="268" spans="1:18" x14ac:dyDescent="0.3">
      <c r="A268" t="s">
        <v>770</v>
      </c>
      <c r="B268" s="1">
        <v>45778</v>
      </c>
      <c r="C268" t="s">
        <v>121</v>
      </c>
      <c r="D268" t="s">
        <v>20</v>
      </c>
      <c r="E268">
        <v>65</v>
      </c>
      <c r="F268" t="s">
        <v>30</v>
      </c>
      <c r="G268" t="s">
        <v>31</v>
      </c>
      <c r="H268" t="s">
        <v>32</v>
      </c>
      <c r="I268" t="s">
        <v>53</v>
      </c>
      <c r="J268" t="s">
        <v>80</v>
      </c>
      <c r="K268">
        <v>2</v>
      </c>
      <c r="L268" s="4">
        <v>44900</v>
      </c>
      <c r="M268">
        <v>10</v>
      </c>
      <c r="N268" s="4">
        <v>80820</v>
      </c>
      <c r="O268" t="s">
        <v>25</v>
      </c>
      <c r="Q268" t="s">
        <v>74</v>
      </c>
      <c r="R268">
        <v>0</v>
      </c>
    </row>
    <row r="269" spans="1:18" x14ac:dyDescent="0.3">
      <c r="A269" t="s">
        <v>772</v>
      </c>
      <c r="B269" s="1">
        <v>46031</v>
      </c>
      <c r="C269" t="s">
        <v>19</v>
      </c>
      <c r="D269" t="s">
        <v>20</v>
      </c>
      <c r="E269">
        <v>51</v>
      </c>
      <c r="F269" t="s">
        <v>30</v>
      </c>
      <c r="G269" t="s">
        <v>31</v>
      </c>
      <c r="H269" t="s">
        <v>46</v>
      </c>
      <c r="I269" t="s">
        <v>47</v>
      </c>
      <c r="J269" t="s">
        <v>24</v>
      </c>
      <c r="K269">
        <v>3</v>
      </c>
      <c r="L269" s="4">
        <v>2900</v>
      </c>
      <c r="M269">
        <v>25</v>
      </c>
      <c r="N269" s="4">
        <v>6525</v>
      </c>
      <c r="O269" t="s">
        <v>85</v>
      </c>
      <c r="Q269" t="s">
        <v>26</v>
      </c>
      <c r="R269">
        <v>0</v>
      </c>
    </row>
    <row r="270" spans="1:18" x14ac:dyDescent="0.3">
      <c r="A270" t="s">
        <v>773</v>
      </c>
      <c r="B270" s="1">
        <v>45820</v>
      </c>
      <c r="C270" t="s">
        <v>121</v>
      </c>
      <c r="D270" t="s">
        <v>20</v>
      </c>
      <c r="E270">
        <v>38</v>
      </c>
      <c r="F270" t="s">
        <v>30</v>
      </c>
      <c r="G270" t="s">
        <v>57</v>
      </c>
      <c r="H270" t="s">
        <v>32</v>
      </c>
      <c r="I270" t="s">
        <v>53</v>
      </c>
      <c r="J270" t="s">
        <v>34</v>
      </c>
      <c r="K270">
        <v>2</v>
      </c>
      <c r="L270" s="4">
        <v>8300</v>
      </c>
      <c r="M270">
        <v>20</v>
      </c>
      <c r="N270" s="4">
        <v>13280</v>
      </c>
      <c r="O270" t="s">
        <v>73</v>
      </c>
      <c r="P270">
        <v>5</v>
      </c>
      <c r="Q270" t="s">
        <v>74</v>
      </c>
      <c r="R270">
        <v>0</v>
      </c>
    </row>
    <row r="271" spans="1:18" x14ac:dyDescent="0.3">
      <c r="A271" t="s">
        <v>775</v>
      </c>
      <c r="B271" s="1">
        <v>45711</v>
      </c>
      <c r="C271" t="s">
        <v>113</v>
      </c>
      <c r="D271" t="s">
        <v>39</v>
      </c>
      <c r="E271">
        <v>21</v>
      </c>
      <c r="F271" t="s">
        <v>44</v>
      </c>
      <c r="G271" t="s">
        <v>45</v>
      </c>
      <c r="H271" t="s">
        <v>62</v>
      </c>
      <c r="I271" t="s">
        <v>63</v>
      </c>
      <c r="J271" t="s">
        <v>34</v>
      </c>
      <c r="K271">
        <v>1</v>
      </c>
      <c r="L271" s="4">
        <v>34000</v>
      </c>
      <c r="M271">
        <v>0</v>
      </c>
      <c r="N271" s="4">
        <v>34000</v>
      </c>
      <c r="O271" t="s">
        <v>73</v>
      </c>
      <c r="P271">
        <v>3</v>
      </c>
      <c r="Q271" t="s">
        <v>74</v>
      </c>
      <c r="R271">
        <v>0</v>
      </c>
    </row>
    <row r="272" spans="1:18" x14ac:dyDescent="0.3">
      <c r="A272" t="s">
        <v>776</v>
      </c>
      <c r="B272" s="1">
        <v>45866</v>
      </c>
      <c r="C272" t="s">
        <v>113</v>
      </c>
      <c r="D272" t="s">
        <v>39</v>
      </c>
      <c r="E272">
        <v>48</v>
      </c>
      <c r="F272" t="s">
        <v>44</v>
      </c>
      <c r="G272" t="s">
        <v>45</v>
      </c>
      <c r="H272" t="s">
        <v>32</v>
      </c>
      <c r="I272" t="s">
        <v>53</v>
      </c>
      <c r="J272" t="s">
        <v>80</v>
      </c>
      <c r="K272">
        <v>7</v>
      </c>
      <c r="L272" s="4">
        <v>6200</v>
      </c>
      <c r="M272">
        <v>25</v>
      </c>
      <c r="N272" s="4">
        <v>32550</v>
      </c>
      <c r="O272" t="s">
        <v>85</v>
      </c>
      <c r="Q272" t="s">
        <v>41</v>
      </c>
      <c r="R272">
        <v>1</v>
      </c>
    </row>
    <row r="273" spans="1:18" x14ac:dyDescent="0.3">
      <c r="A273" t="s">
        <v>781</v>
      </c>
      <c r="B273" s="1">
        <v>46205</v>
      </c>
      <c r="C273" t="s">
        <v>88</v>
      </c>
      <c r="D273" t="s">
        <v>20</v>
      </c>
      <c r="E273">
        <v>43</v>
      </c>
      <c r="F273" t="s">
        <v>21</v>
      </c>
      <c r="G273" t="s">
        <v>21</v>
      </c>
      <c r="H273" t="s">
        <v>32</v>
      </c>
      <c r="I273" t="s">
        <v>53</v>
      </c>
      <c r="J273" t="s">
        <v>34</v>
      </c>
      <c r="K273">
        <v>2</v>
      </c>
      <c r="L273" s="4">
        <v>42600</v>
      </c>
      <c r="M273">
        <v>20</v>
      </c>
      <c r="N273" s="4">
        <v>68160</v>
      </c>
      <c r="O273" t="s">
        <v>85</v>
      </c>
      <c r="P273">
        <v>5</v>
      </c>
      <c r="Q273" t="s">
        <v>41</v>
      </c>
      <c r="R273">
        <v>1</v>
      </c>
    </row>
    <row r="274" spans="1:18" x14ac:dyDescent="0.3">
      <c r="A274" t="s">
        <v>783</v>
      </c>
      <c r="B274" s="1">
        <v>45866</v>
      </c>
      <c r="C274" t="s">
        <v>29</v>
      </c>
      <c r="D274" t="s">
        <v>20</v>
      </c>
      <c r="E274">
        <v>18</v>
      </c>
      <c r="F274" t="s">
        <v>44</v>
      </c>
      <c r="G274" t="s">
        <v>100</v>
      </c>
      <c r="H274" t="s">
        <v>46</v>
      </c>
      <c r="I274" t="s">
        <v>47</v>
      </c>
      <c r="J274" t="s">
        <v>80</v>
      </c>
      <c r="K274">
        <v>6</v>
      </c>
      <c r="L274" s="4">
        <v>35500</v>
      </c>
      <c r="M274">
        <v>5</v>
      </c>
      <c r="N274" s="4">
        <v>202350</v>
      </c>
      <c r="O274" t="s">
        <v>25</v>
      </c>
      <c r="P274">
        <v>5</v>
      </c>
      <c r="Q274" t="s">
        <v>74</v>
      </c>
      <c r="R274">
        <v>0</v>
      </c>
    </row>
    <row r="275" spans="1:18" x14ac:dyDescent="0.3">
      <c r="A275" t="s">
        <v>784</v>
      </c>
      <c r="B275" s="1">
        <v>45726</v>
      </c>
      <c r="C275" t="s">
        <v>68</v>
      </c>
      <c r="D275" t="s">
        <v>3292</v>
      </c>
      <c r="E275">
        <v>60</v>
      </c>
      <c r="F275" t="s">
        <v>51</v>
      </c>
      <c r="G275" t="s">
        <v>52</v>
      </c>
      <c r="H275" t="s">
        <v>46</v>
      </c>
      <c r="I275" t="s">
        <v>79</v>
      </c>
      <c r="J275" t="s">
        <v>72</v>
      </c>
      <c r="K275">
        <v>2</v>
      </c>
      <c r="L275" s="4">
        <v>44800</v>
      </c>
      <c r="M275">
        <v>0</v>
      </c>
      <c r="N275" s="4">
        <v>89600</v>
      </c>
      <c r="O275" t="s">
        <v>85</v>
      </c>
      <c r="P275">
        <v>1</v>
      </c>
      <c r="Q275" t="s">
        <v>65</v>
      </c>
      <c r="R275">
        <v>0</v>
      </c>
    </row>
    <row r="276" spans="1:18" x14ac:dyDescent="0.3">
      <c r="A276" t="s">
        <v>788</v>
      </c>
      <c r="B276" s="1">
        <v>45843</v>
      </c>
      <c r="C276" t="s">
        <v>60</v>
      </c>
      <c r="D276" t="s">
        <v>20</v>
      </c>
      <c r="E276">
        <v>42</v>
      </c>
      <c r="F276" t="s">
        <v>21</v>
      </c>
      <c r="G276" t="s">
        <v>21</v>
      </c>
      <c r="H276" t="s">
        <v>22</v>
      </c>
      <c r="I276" t="s">
        <v>84</v>
      </c>
      <c r="J276" t="s">
        <v>89</v>
      </c>
      <c r="K276">
        <v>6</v>
      </c>
      <c r="L276" s="4">
        <v>38700</v>
      </c>
      <c r="M276">
        <v>10</v>
      </c>
      <c r="N276" s="4">
        <v>208980</v>
      </c>
      <c r="O276" t="s">
        <v>25</v>
      </c>
      <c r="P276">
        <v>1</v>
      </c>
      <c r="Q276" t="s">
        <v>74</v>
      </c>
      <c r="R276">
        <v>0</v>
      </c>
    </row>
    <row r="277" spans="1:18" x14ac:dyDescent="0.3">
      <c r="A277" t="s">
        <v>790</v>
      </c>
      <c r="B277" s="1">
        <v>45789</v>
      </c>
      <c r="C277" t="s">
        <v>68</v>
      </c>
      <c r="D277" t="s">
        <v>20</v>
      </c>
      <c r="E277">
        <v>44</v>
      </c>
      <c r="F277" t="s">
        <v>61</v>
      </c>
      <c r="G277" t="s">
        <v>61</v>
      </c>
      <c r="H277" t="s">
        <v>32</v>
      </c>
      <c r="I277" t="s">
        <v>33</v>
      </c>
      <c r="J277" t="s">
        <v>89</v>
      </c>
      <c r="K277">
        <v>7</v>
      </c>
      <c r="L277" s="4">
        <v>41700</v>
      </c>
      <c r="M277">
        <v>20</v>
      </c>
      <c r="N277" s="4">
        <v>233520</v>
      </c>
      <c r="O277" t="s">
        <v>25</v>
      </c>
      <c r="P277">
        <v>5</v>
      </c>
      <c r="Q277" t="s">
        <v>26</v>
      </c>
      <c r="R277">
        <v>0</v>
      </c>
    </row>
    <row r="278" spans="1:18" x14ac:dyDescent="0.3">
      <c r="A278" t="s">
        <v>792</v>
      </c>
      <c r="B278" s="1">
        <v>45724</v>
      </c>
      <c r="C278" t="s">
        <v>121</v>
      </c>
      <c r="D278" t="s">
        <v>20</v>
      </c>
      <c r="E278">
        <v>44</v>
      </c>
      <c r="F278" t="s">
        <v>21</v>
      </c>
      <c r="G278" t="s">
        <v>21</v>
      </c>
      <c r="H278" t="s">
        <v>22</v>
      </c>
      <c r="I278" t="s">
        <v>23</v>
      </c>
      <c r="J278" t="s">
        <v>80</v>
      </c>
      <c r="K278">
        <v>7</v>
      </c>
      <c r="L278" s="4">
        <v>38800</v>
      </c>
      <c r="M278">
        <v>20</v>
      </c>
      <c r="N278" s="4">
        <v>217280</v>
      </c>
      <c r="O278" t="s">
        <v>85</v>
      </c>
      <c r="P278">
        <v>3</v>
      </c>
      <c r="Q278" t="s">
        <v>26</v>
      </c>
      <c r="R278">
        <v>0</v>
      </c>
    </row>
    <row r="279" spans="1:18" x14ac:dyDescent="0.3">
      <c r="A279" t="s">
        <v>794</v>
      </c>
      <c r="B279" s="1">
        <v>45735</v>
      </c>
      <c r="C279" t="s">
        <v>29</v>
      </c>
      <c r="D279" t="s">
        <v>20</v>
      </c>
      <c r="E279">
        <v>33</v>
      </c>
      <c r="F279" t="s">
        <v>51</v>
      </c>
      <c r="G279" t="s">
        <v>104</v>
      </c>
      <c r="H279" t="s">
        <v>22</v>
      </c>
      <c r="I279" t="s">
        <v>84</v>
      </c>
      <c r="J279" t="s">
        <v>64</v>
      </c>
      <c r="K279">
        <v>8</v>
      </c>
      <c r="L279" s="4">
        <v>26300</v>
      </c>
      <c r="M279">
        <v>25</v>
      </c>
      <c r="N279" s="4">
        <v>157800</v>
      </c>
      <c r="O279" t="s">
        <v>85</v>
      </c>
      <c r="P279">
        <v>4</v>
      </c>
      <c r="Q279" t="s">
        <v>41</v>
      </c>
      <c r="R279">
        <v>1</v>
      </c>
    </row>
    <row r="280" spans="1:18" x14ac:dyDescent="0.3">
      <c r="A280" t="s">
        <v>795</v>
      </c>
      <c r="B280" s="1">
        <v>45886</v>
      </c>
      <c r="C280" t="s">
        <v>113</v>
      </c>
      <c r="D280" t="s">
        <v>39</v>
      </c>
      <c r="E280">
        <v>42</v>
      </c>
      <c r="F280" t="s">
        <v>44</v>
      </c>
      <c r="G280" t="s">
        <v>100</v>
      </c>
      <c r="H280" t="s">
        <v>22</v>
      </c>
      <c r="I280" t="s">
        <v>84</v>
      </c>
      <c r="J280" t="s">
        <v>89</v>
      </c>
      <c r="K280">
        <v>7</v>
      </c>
      <c r="L280" s="4">
        <v>6900</v>
      </c>
      <c r="M280">
        <v>25</v>
      </c>
      <c r="N280" s="4">
        <v>36225</v>
      </c>
      <c r="O280" t="s">
        <v>85</v>
      </c>
      <c r="P280">
        <v>5</v>
      </c>
      <c r="Q280" t="s">
        <v>74</v>
      </c>
      <c r="R280">
        <v>0</v>
      </c>
    </row>
    <row r="281" spans="1:18" x14ac:dyDescent="0.3">
      <c r="A281" t="s">
        <v>796</v>
      </c>
      <c r="B281" s="1">
        <v>45910</v>
      </c>
      <c r="C281" t="s">
        <v>38</v>
      </c>
      <c r="D281" t="s">
        <v>39</v>
      </c>
      <c r="E281">
        <v>20</v>
      </c>
      <c r="F281" t="s">
        <v>77</v>
      </c>
      <c r="G281" t="s">
        <v>78</v>
      </c>
      <c r="H281" t="s">
        <v>46</v>
      </c>
      <c r="I281" t="s">
        <v>79</v>
      </c>
      <c r="J281" t="s">
        <v>72</v>
      </c>
      <c r="K281">
        <v>5</v>
      </c>
      <c r="L281" s="4">
        <v>43300</v>
      </c>
      <c r="M281">
        <v>5</v>
      </c>
      <c r="N281" s="4">
        <v>205675</v>
      </c>
      <c r="O281" t="s">
        <v>85</v>
      </c>
      <c r="P281">
        <v>5</v>
      </c>
      <c r="Q281" t="s">
        <v>26</v>
      </c>
      <c r="R281">
        <v>0</v>
      </c>
    </row>
    <row r="282" spans="1:18" x14ac:dyDescent="0.3">
      <c r="A282" t="s">
        <v>800</v>
      </c>
      <c r="B282" s="1">
        <v>45853</v>
      </c>
      <c r="C282" t="s">
        <v>71</v>
      </c>
      <c r="D282" t="s">
        <v>39</v>
      </c>
      <c r="E282">
        <v>59</v>
      </c>
      <c r="F282" t="s">
        <v>21</v>
      </c>
      <c r="G282" t="s">
        <v>21</v>
      </c>
      <c r="H282" t="s">
        <v>32</v>
      </c>
      <c r="I282" t="s">
        <v>33</v>
      </c>
      <c r="J282" t="s">
        <v>34</v>
      </c>
      <c r="K282">
        <v>2</v>
      </c>
      <c r="L282" s="4">
        <v>47600</v>
      </c>
      <c r="M282">
        <v>20</v>
      </c>
      <c r="N282" s="4">
        <v>76160</v>
      </c>
      <c r="O282" t="s">
        <v>25</v>
      </c>
      <c r="P282">
        <v>5</v>
      </c>
      <c r="Q282" t="s">
        <v>65</v>
      </c>
      <c r="R282">
        <v>0</v>
      </c>
    </row>
    <row r="283" spans="1:18" x14ac:dyDescent="0.3">
      <c r="A283" t="s">
        <v>802</v>
      </c>
      <c r="B283" s="1">
        <v>46001</v>
      </c>
      <c r="C283" t="s">
        <v>121</v>
      </c>
      <c r="D283" t="s">
        <v>3292</v>
      </c>
      <c r="E283">
        <v>49</v>
      </c>
      <c r="F283" t="s">
        <v>44</v>
      </c>
      <c r="G283" t="s">
        <v>100</v>
      </c>
      <c r="H283" t="s">
        <v>62</v>
      </c>
      <c r="I283" t="s">
        <v>140</v>
      </c>
      <c r="J283" t="s">
        <v>72</v>
      </c>
      <c r="K283">
        <v>7</v>
      </c>
      <c r="L283" s="4">
        <v>35500</v>
      </c>
      <c r="M283">
        <v>25</v>
      </c>
      <c r="N283" s="4">
        <v>186375</v>
      </c>
      <c r="O283" t="s">
        <v>85</v>
      </c>
      <c r="P283">
        <v>5</v>
      </c>
      <c r="Q283" t="s">
        <v>41</v>
      </c>
      <c r="R283">
        <v>1</v>
      </c>
    </row>
    <row r="284" spans="1:18" x14ac:dyDescent="0.3">
      <c r="A284" t="s">
        <v>804</v>
      </c>
      <c r="B284" s="1">
        <v>45774</v>
      </c>
      <c r="C284" t="s">
        <v>68</v>
      </c>
      <c r="D284" t="s">
        <v>20</v>
      </c>
      <c r="E284">
        <v>38</v>
      </c>
      <c r="F284" t="s">
        <v>77</v>
      </c>
      <c r="G284" t="s">
        <v>95</v>
      </c>
      <c r="H284" t="s">
        <v>22</v>
      </c>
      <c r="I284" t="s">
        <v>84</v>
      </c>
      <c r="J284" t="s">
        <v>80</v>
      </c>
      <c r="K284">
        <v>3</v>
      </c>
      <c r="L284" s="4">
        <v>14100</v>
      </c>
      <c r="M284">
        <v>25</v>
      </c>
      <c r="N284" s="4">
        <v>31725</v>
      </c>
      <c r="O284" t="s">
        <v>85</v>
      </c>
      <c r="P284">
        <v>5</v>
      </c>
      <c r="Q284" t="s">
        <v>65</v>
      </c>
      <c r="R284">
        <v>0</v>
      </c>
    </row>
    <row r="285" spans="1:18" x14ac:dyDescent="0.3">
      <c r="A285" t="s">
        <v>806</v>
      </c>
      <c r="B285" s="1">
        <v>45884</v>
      </c>
      <c r="C285" t="s">
        <v>113</v>
      </c>
      <c r="D285" t="s">
        <v>39</v>
      </c>
      <c r="E285">
        <v>28</v>
      </c>
      <c r="F285" t="s">
        <v>61</v>
      </c>
      <c r="G285" t="s">
        <v>61</v>
      </c>
      <c r="H285" t="s">
        <v>46</v>
      </c>
      <c r="I285" t="s">
        <v>79</v>
      </c>
      <c r="J285" t="s">
        <v>34</v>
      </c>
      <c r="K285">
        <v>10</v>
      </c>
      <c r="L285" s="4">
        <v>44900</v>
      </c>
      <c r="M285">
        <v>10</v>
      </c>
      <c r="N285" s="4">
        <v>404100</v>
      </c>
      <c r="O285" t="s">
        <v>73</v>
      </c>
      <c r="Q285" t="s">
        <v>65</v>
      </c>
      <c r="R285">
        <v>0</v>
      </c>
    </row>
    <row r="286" spans="1:18" x14ac:dyDescent="0.3">
      <c r="A286" t="s">
        <v>808</v>
      </c>
      <c r="B286" s="1">
        <v>45696</v>
      </c>
      <c r="C286" t="s">
        <v>113</v>
      </c>
      <c r="D286" t="s">
        <v>39</v>
      </c>
      <c r="E286">
        <v>63</v>
      </c>
      <c r="F286" t="s">
        <v>77</v>
      </c>
      <c r="G286" t="s">
        <v>78</v>
      </c>
      <c r="H286" t="s">
        <v>46</v>
      </c>
      <c r="I286" t="s">
        <v>79</v>
      </c>
      <c r="J286" t="s">
        <v>80</v>
      </c>
      <c r="K286">
        <v>3</v>
      </c>
      <c r="L286" s="4">
        <v>39100</v>
      </c>
      <c r="M286">
        <v>10</v>
      </c>
      <c r="N286" s="4">
        <v>105570</v>
      </c>
      <c r="O286" t="s">
        <v>85</v>
      </c>
      <c r="P286">
        <v>2</v>
      </c>
      <c r="Q286" t="s">
        <v>65</v>
      </c>
      <c r="R286">
        <v>0</v>
      </c>
    </row>
    <row r="287" spans="1:18" x14ac:dyDescent="0.3">
      <c r="A287" t="s">
        <v>810</v>
      </c>
      <c r="B287" s="1">
        <v>46174</v>
      </c>
      <c r="C287" t="s">
        <v>121</v>
      </c>
      <c r="D287" t="s">
        <v>20</v>
      </c>
      <c r="E287">
        <v>22</v>
      </c>
      <c r="F287" t="s">
        <v>77</v>
      </c>
      <c r="G287" t="s">
        <v>78</v>
      </c>
      <c r="H287" t="s">
        <v>46</v>
      </c>
      <c r="I287" t="s">
        <v>47</v>
      </c>
      <c r="J287" t="s">
        <v>89</v>
      </c>
      <c r="K287">
        <v>3</v>
      </c>
      <c r="L287" s="4">
        <v>37600</v>
      </c>
      <c r="M287">
        <v>5</v>
      </c>
      <c r="N287" s="4">
        <v>107160</v>
      </c>
      <c r="O287" t="s">
        <v>73</v>
      </c>
      <c r="P287">
        <v>1</v>
      </c>
      <c r="Q287" t="s">
        <v>74</v>
      </c>
      <c r="R287">
        <v>0</v>
      </c>
    </row>
    <row r="288" spans="1:18" x14ac:dyDescent="0.3">
      <c r="A288" t="s">
        <v>813</v>
      </c>
      <c r="B288" s="1">
        <v>45802</v>
      </c>
      <c r="C288" t="s">
        <v>113</v>
      </c>
      <c r="D288" t="s">
        <v>20</v>
      </c>
      <c r="E288">
        <v>51</v>
      </c>
      <c r="F288" t="s">
        <v>21</v>
      </c>
      <c r="G288" t="s">
        <v>21</v>
      </c>
      <c r="H288" t="s">
        <v>22</v>
      </c>
      <c r="I288" t="s">
        <v>84</v>
      </c>
      <c r="J288" t="s">
        <v>72</v>
      </c>
      <c r="K288">
        <v>7</v>
      </c>
      <c r="L288" s="4">
        <v>41700</v>
      </c>
      <c r="M288">
        <v>20</v>
      </c>
      <c r="N288" s="4">
        <v>233520</v>
      </c>
      <c r="O288" t="s">
        <v>85</v>
      </c>
      <c r="P288">
        <v>2</v>
      </c>
      <c r="Q288" t="s">
        <v>41</v>
      </c>
      <c r="R288">
        <v>1</v>
      </c>
    </row>
    <row r="289" spans="1:18" x14ac:dyDescent="0.3">
      <c r="A289" t="s">
        <v>815</v>
      </c>
      <c r="B289" s="1">
        <v>45915</v>
      </c>
      <c r="C289" t="s">
        <v>88</v>
      </c>
      <c r="D289" t="s">
        <v>3292</v>
      </c>
      <c r="E289">
        <v>21</v>
      </c>
      <c r="F289" t="s">
        <v>77</v>
      </c>
      <c r="G289" t="s">
        <v>95</v>
      </c>
      <c r="H289" t="s">
        <v>22</v>
      </c>
      <c r="I289" t="s">
        <v>84</v>
      </c>
      <c r="J289" t="s">
        <v>89</v>
      </c>
      <c r="K289">
        <v>10</v>
      </c>
      <c r="L289" s="4">
        <v>18800</v>
      </c>
      <c r="M289">
        <v>25</v>
      </c>
      <c r="N289" s="4">
        <v>141000</v>
      </c>
      <c r="O289" t="s">
        <v>85</v>
      </c>
      <c r="P289">
        <v>3</v>
      </c>
      <c r="Q289" t="s">
        <v>65</v>
      </c>
      <c r="R289">
        <v>0</v>
      </c>
    </row>
    <row r="290" spans="1:18" x14ac:dyDescent="0.3">
      <c r="A290" t="s">
        <v>817</v>
      </c>
      <c r="B290" s="1">
        <v>46143</v>
      </c>
      <c r="C290" t="s">
        <v>19</v>
      </c>
      <c r="D290" t="s">
        <v>20</v>
      </c>
      <c r="E290">
        <v>33</v>
      </c>
      <c r="F290" t="s">
        <v>77</v>
      </c>
      <c r="G290" t="s">
        <v>95</v>
      </c>
      <c r="H290" t="s">
        <v>32</v>
      </c>
      <c r="I290" t="s">
        <v>53</v>
      </c>
      <c r="J290" t="s">
        <v>34</v>
      </c>
      <c r="K290">
        <v>6</v>
      </c>
      <c r="L290" s="4">
        <v>33000</v>
      </c>
      <c r="M290">
        <v>0</v>
      </c>
      <c r="N290" s="4">
        <v>198000</v>
      </c>
      <c r="O290" t="s">
        <v>73</v>
      </c>
      <c r="Q290" t="s">
        <v>65</v>
      </c>
      <c r="R290">
        <v>0</v>
      </c>
    </row>
    <row r="291" spans="1:18" x14ac:dyDescent="0.3">
      <c r="A291" t="s">
        <v>821</v>
      </c>
      <c r="B291" s="1">
        <v>45845</v>
      </c>
      <c r="C291" t="s">
        <v>113</v>
      </c>
      <c r="D291" t="s">
        <v>3292</v>
      </c>
      <c r="E291">
        <v>45</v>
      </c>
      <c r="F291" t="s">
        <v>61</v>
      </c>
      <c r="G291" t="s">
        <v>61</v>
      </c>
      <c r="H291" t="s">
        <v>46</v>
      </c>
      <c r="I291" t="s">
        <v>79</v>
      </c>
      <c r="J291" t="s">
        <v>80</v>
      </c>
      <c r="K291">
        <v>4</v>
      </c>
      <c r="L291" s="4">
        <v>15000</v>
      </c>
      <c r="M291">
        <v>15</v>
      </c>
      <c r="N291" s="4">
        <v>51000</v>
      </c>
      <c r="O291" t="s">
        <v>85</v>
      </c>
      <c r="P291">
        <v>4</v>
      </c>
      <c r="Q291" t="s">
        <v>65</v>
      </c>
      <c r="R291">
        <v>0</v>
      </c>
    </row>
    <row r="292" spans="1:18" x14ac:dyDescent="0.3">
      <c r="A292" t="s">
        <v>825</v>
      </c>
      <c r="B292" s="1">
        <v>45786</v>
      </c>
      <c r="C292" t="s">
        <v>121</v>
      </c>
      <c r="D292" t="s">
        <v>20</v>
      </c>
      <c r="E292">
        <v>46</v>
      </c>
      <c r="F292" t="s">
        <v>61</v>
      </c>
      <c r="G292" t="s">
        <v>61</v>
      </c>
      <c r="H292" t="s">
        <v>22</v>
      </c>
      <c r="I292" t="s">
        <v>84</v>
      </c>
      <c r="J292" t="s">
        <v>89</v>
      </c>
      <c r="K292">
        <v>2</v>
      </c>
      <c r="L292" s="4">
        <v>2800</v>
      </c>
      <c r="M292">
        <v>5</v>
      </c>
      <c r="N292" s="4">
        <v>5320</v>
      </c>
      <c r="O292" t="s">
        <v>85</v>
      </c>
      <c r="P292">
        <v>1</v>
      </c>
      <c r="Q292" t="s">
        <v>26</v>
      </c>
      <c r="R292">
        <v>0</v>
      </c>
    </row>
    <row r="293" spans="1:18" x14ac:dyDescent="0.3">
      <c r="A293" t="s">
        <v>827</v>
      </c>
      <c r="B293" s="1">
        <v>45792</v>
      </c>
      <c r="C293" t="s">
        <v>113</v>
      </c>
      <c r="D293" t="s">
        <v>39</v>
      </c>
      <c r="E293">
        <v>39</v>
      </c>
      <c r="F293" t="s">
        <v>44</v>
      </c>
      <c r="G293" t="s">
        <v>100</v>
      </c>
      <c r="H293" t="s">
        <v>22</v>
      </c>
      <c r="I293" t="s">
        <v>84</v>
      </c>
      <c r="J293" t="s">
        <v>24</v>
      </c>
      <c r="K293">
        <v>5</v>
      </c>
      <c r="L293" s="4">
        <v>18900</v>
      </c>
      <c r="M293">
        <v>15</v>
      </c>
      <c r="N293" s="4">
        <v>80325</v>
      </c>
      <c r="O293" t="s">
        <v>3293</v>
      </c>
      <c r="Q293" t="s">
        <v>74</v>
      </c>
      <c r="R293">
        <v>0</v>
      </c>
    </row>
    <row r="294" spans="1:18" x14ac:dyDescent="0.3">
      <c r="A294" t="s">
        <v>829</v>
      </c>
      <c r="B294" s="1">
        <v>45795</v>
      </c>
      <c r="C294" t="s">
        <v>88</v>
      </c>
      <c r="D294" t="s">
        <v>20</v>
      </c>
      <c r="E294">
        <v>25</v>
      </c>
      <c r="F294" t="s">
        <v>30</v>
      </c>
      <c r="G294" t="s">
        <v>57</v>
      </c>
      <c r="H294" t="s">
        <v>22</v>
      </c>
      <c r="I294" t="s">
        <v>23</v>
      </c>
      <c r="J294" t="s">
        <v>89</v>
      </c>
      <c r="K294">
        <v>1</v>
      </c>
      <c r="L294" s="4">
        <v>38200</v>
      </c>
      <c r="M294">
        <v>15</v>
      </c>
      <c r="N294" s="4">
        <v>32470</v>
      </c>
      <c r="O294" t="s">
        <v>85</v>
      </c>
      <c r="P294">
        <v>1</v>
      </c>
      <c r="Q294" t="s">
        <v>41</v>
      </c>
      <c r="R294">
        <v>1</v>
      </c>
    </row>
    <row r="295" spans="1:18" x14ac:dyDescent="0.3">
      <c r="A295" t="s">
        <v>833</v>
      </c>
      <c r="B295" s="1">
        <v>46126</v>
      </c>
      <c r="C295" t="s">
        <v>113</v>
      </c>
      <c r="D295" t="s">
        <v>20</v>
      </c>
      <c r="E295">
        <v>61</v>
      </c>
      <c r="F295" t="s">
        <v>44</v>
      </c>
      <c r="G295" t="s">
        <v>45</v>
      </c>
      <c r="H295" t="s">
        <v>62</v>
      </c>
      <c r="I295" t="s">
        <v>63</v>
      </c>
      <c r="J295" t="s">
        <v>24</v>
      </c>
      <c r="K295">
        <v>10</v>
      </c>
      <c r="L295" s="4">
        <v>33000</v>
      </c>
      <c r="M295">
        <v>5</v>
      </c>
      <c r="N295" s="4">
        <v>313500</v>
      </c>
      <c r="O295" t="s">
        <v>85</v>
      </c>
      <c r="Q295" t="s">
        <v>65</v>
      </c>
      <c r="R295">
        <v>0</v>
      </c>
    </row>
    <row r="296" spans="1:18" x14ac:dyDescent="0.3">
      <c r="A296" t="s">
        <v>835</v>
      </c>
      <c r="B296" s="1">
        <v>45748</v>
      </c>
      <c r="C296" t="s">
        <v>60</v>
      </c>
      <c r="D296" t="s">
        <v>20</v>
      </c>
      <c r="E296">
        <v>48</v>
      </c>
      <c r="F296" t="s">
        <v>21</v>
      </c>
      <c r="G296" t="s">
        <v>21</v>
      </c>
      <c r="H296" t="s">
        <v>32</v>
      </c>
      <c r="I296" t="s">
        <v>33</v>
      </c>
      <c r="J296" t="s">
        <v>80</v>
      </c>
      <c r="K296">
        <v>7</v>
      </c>
      <c r="L296" s="4">
        <v>41900</v>
      </c>
      <c r="M296">
        <v>0</v>
      </c>
      <c r="N296" s="4">
        <v>293300</v>
      </c>
      <c r="O296" t="s">
        <v>85</v>
      </c>
      <c r="Q296" t="s">
        <v>26</v>
      </c>
      <c r="R296">
        <v>0</v>
      </c>
    </row>
    <row r="297" spans="1:18" x14ac:dyDescent="0.3">
      <c r="A297" t="s">
        <v>837</v>
      </c>
      <c r="B297" s="1">
        <v>46015</v>
      </c>
      <c r="C297" t="s">
        <v>94</v>
      </c>
      <c r="D297" t="s">
        <v>20</v>
      </c>
      <c r="E297">
        <v>52</v>
      </c>
      <c r="F297" t="s">
        <v>44</v>
      </c>
      <c r="G297" t="s">
        <v>100</v>
      </c>
      <c r="H297" t="s">
        <v>46</v>
      </c>
      <c r="I297" t="s">
        <v>79</v>
      </c>
      <c r="J297" t="s">
        <v>64</v>
      </c>
      <c r="K297">
        <v>9</v>
      </c>
      <c r="L297" s="4">
        <v>45700</v>
      </c>
      <c r="M297">
        <v>0</v>
      </c>
      <c r="N297" s="4">
        <v>411300</v>
      </c>
      <c r="O297" t="s">
        <v>25</v>
      </c>
      <c r="Q297" t="s">
        <v>26</v>
      </c>
      <c r="R297">
        <v>0</v>
      </c>
    </row>
    <row r="298" spans="1:18" x14ac:dyDescent="0.3">
      <c r="A298" t="s">
        <v>839</v>
      </c>
      <c r="B298" s="1">
        <v>45878</v>
      </c>
      <c r="C298" t="s">
        <v>94</v>
      </c>
      <c r="D298" t="s">
        <v>20</v>
      </c>
      <c r="E298">
        <v>41</v>
      </c>
      <c r="F298" t="s">
        <v>30</v>
      </c>
      <c r="G298" t="s">
        <v>57</v>
      </c>
      <c r="H298" t="s">
        <v>32</v>
      </c>
      <c r="I298" t="s">
        <v>33</v>
      </c>
      <c r="J298" t="s">
        <v>34</v>
      </c>
      <c r="K298">
        <v>7</v>
      </c>
      <c r="L298" s="4">
        <v>30200</v>
      </c>
      <c r="M298">
        <v>20</v>
      </c>
      <c r="N298" s="4">
        <v>169120</v>
      </c>
      <c r="O298" t="s">
        <v>73</v>
      </c>
      <c r="Q298" t="s">
        <v>74</v>
      </c>
      <c r="R298">
        <v>0</v>
      </c>
    </row>
    <row r="299" spans="1:18" x14ac:dyDescent="0.3">
      <c r="A299" t="s">
        <v>840</v>
      </c>
      <c r="B299" s="1">
        <v>46138</v>
      </c>
      <c r="C299" t="s">
        <v>60</v>
      </c>
      <c r="D299" t="s">
        <v>39</v>
      </c>
      <c r="E299">
        <v>21</v>
      </c>
      <c r="F299" t="s">
        <v>61</v>
      </c>
      <c r="G299" t="s">
        <v>61</v>
      </c>
      <c r="H299" t="s">
        <v>32</v>
      </c>
      <c r="I299" t="s">
        <v>53</v>
      </c>
      <c r="J299" t="s">
        <v>34</v>
      </c>
      <c r="K299">
        <v>7</v>
      </c>
      <c r="L299" s="4">
        <v>46500</v>
      </c>
      <c r="M299">
        <v>20</v>
      </c>
      <c r="N299" s="4">
        <v>260400</v>
      </c>
      <c r="O299" t="s">
        <v>25</v>
      </c>
      <c r="P299">
        <v>1</v>
      </c>
      <c r="Q299" t="s">
        <v>65</v>
      </c>
      <c r="R299">
        <v>0</v>
      </c>
    </row>
    <row r="300" spans="1:18" x14ac:dyDescent="0.3">
      <c r="A300" t="s">
        <v>841</v>
      </c>
      <c r="B300" s="1">
        <v>46161</v>
      </c>
      <c r="C300" t="s">
        <v>38</v>
      </c>
      <c r="D300" t="s">
        <v>20</v>
      </c>
      <c r="E300">
        <v>41</v>
      </c>
      <c r="F300" t="s">
        <v>61</v>
      </c>
      <c r="G300" t="s">
        <v>61</v>
      </c>
      <c r="H300" t="s">
        <v>62</v>
      </c>
      <c r="I300" t="s">
        <v>140</v>
      </c>
      <c r="J300" t="s">
        <v>34</v>
      </c>
      <c r="K300">
        <v>5</v>
      </c>
      <c r="L300" s="4">
        <v>43900</v>
      </c>
      <c r="M300">
        <v>5</v>
      </c>
      <c r="N300" s="4">
        <v>208525</v>
      </c>
      <c r="O300" t="s">
        <v>85</v>
      </c>
      <c r="P300">
        <v>2</v>
      </c>
      <c r="Q300" t="s">
        <v>65</v>
      </c>
      <c r="R300">
        <v>0</v>
      </c>
    </row>
    <row r="301" spans="1:18" x14ac:dyDescent="0.3">
      <c r="A301" t="s">
        <v>843</v>
      </c>
      <c r="B301" s="1">
        <v>46136</v>
      </c>
      <c r="C301" t="s">
        <v>68</v>
      </c>
      <c r="D301" t="s">
        <v>20</v>
      </c>
      <c r="E301">
        <v>29</v>
      </c>
      <c r="F301" t="s">
        <v>51</v>
      </c>
      <c r="G301" t="s">
        <v>104</v>
      </c>
      <c r="H301" t="s">
        <v>22</v>
      </c>
      <c r="I301" t="s">
        <v>23</v>
      </c>
      <c r="J301" t="s">
        <v>34</v>
      </c>
      <c r="K301">
        <v>2</v>
      </c>
      <c r="L301" s="4">
        <v>10500</v>
      </c>
      <c r="M301">
        <v>15</v>
      </c>
      <c r="N301" s="4">
        <v>17850</v>
      </c>
      <c r="O301" t="s">
        <v>25</v>
      </c>
      <c r="P301">
        <v>1</v>
      </c>
      <c r="Q301" t="s">
        <v>65</v>
      </c>
      <c r="R301">
        <v>0</v>
      </c>
    </row>
    <row r="302" spans="1:18" x14ac:dyDescent="0.3">
      <c r="A302" t="s">
        <v>845</v>
      </c>
      <c r="B302" s="1">
        <v>45823</v>
      </c>
      <c r="C302" t="s">
        <v>60</v>
      </c>
      <c r="D302" t="s">
        <v>3292</v>
      </c>
      <c r="E302">
        <v>48</v>
      </c>
      <c r="F302" t="s">
        <v>51</v>
      </c>
      <c r="G302" t="s">
        <v>104</v>
      </c>
      <c r="H302" t="s">
        <v>46</v>
      </c>
      <c r="I302" t="s">
        <v>47</v>
      </c>
      <c r="J302" t="s">
        <v>34</v>
      </c>
      <c r="K302">
        <v>2</v>
      </c>
      <c r="L302" s="4">
        <v>2000</v>
      </c>
      <c r="M302">
        <v>10</v>
      </c>
      <c r="N302" s="4">
        <v>3600</v>
      </c>
      <c r="O302" t="s">
        <v>25</v>
      </c>
      <c r="Q302" t="s">
        <v>65</v>
      </c>
      <c r="R302">
        <v>0</v>
      </c>
    </row>
    <row r="303" spans="1:18" x14ac:dyDescent="0.3">
      <c r="A303" t="s">
        <v>847</v>
      </c>
      <c r="B303" s="1">
        <v>45963</v>
      </c>
      <c r="C303" t="s">
        <v>94</v>
      </c>
      <c r="D303" t="s">
        <v>39</v>
      </c>
      <c r="E303">
        <v>49</v>
      </c>
      <c r="F303" t="s">
        <v>21</v>
      </c>
      <c r="G303" t="s">
        <v>21</v>
      </c>
      <c r="H303" t="s">
        <v>32</v>
      </c>
      <c r="I303" t="s">
        <v>33</v>
      </c>
      <c r="J303" t="s">
        <v>24</v>
      </c>
      <c r="K303">
        <v>10</v>
      </c>
      <c r="L303" s="4">
        <v>3500</v>
      </c>
      <c r="M303">
        <v>25</v>
      </c>
      <c r="N303" s="4">
        <v>26250</v>
      </c>
      <c r="O303" t="s">
        <v>73</v>
      </c>
      <c r="Q303" t="s">
        <v>74</v>
      </c>
      <c r="R303">
        <v>0</v>
      </c>
    </row>
    <row r="304" spans="1:18" x14ac:dyDescent="0.3">
      <c r="A304" t="s">
        <v>849</v>
      </c>
      <c r="B304" s="1">
        <v>45765</v>
      </c>
      <c r="C304" t="s">
        <v>29</v>
      </c>
      <c r="D304" t="s">
        <v>39</v>
      </c>
      <c r="E304">
        <v>21</v>
      </c>
      <c r="F304" t="s">
        <v>51</v>
      </c>
      <c r="G304" t="s">
        <v>104</v>
      </c>
      <c r="H304" t="s">
        <v>46</v>
      </c>
      <c r="I304" t="s">
        <v>47</v>
      </c>
      <c r="J304" t="s">
        <v>24</v>
      </c>
      <c r="K304">
        <v>6</v>
      </c>
      <c r="L304" s="4">
        <v>43300</v>
      </c>
      <c r="M304">
        <v>25</v>
      </c>
      <c r="N304" s="4">
        <v>194850</v>
      </c>
      <c r="O304" t="s">
        <v>73</v>
      </c>
      <c r="P304">
        <v>1</v>
      </c>
      <c r="Q304" t="s">
        <v>65</v>
      </c>
      <c r="R304">
        <v>0</v>
      </c>
    </row>
    <row r="305" spans="1:18" x14ac:dyDescent="0.3">
      <c r="A305" t="s">
        <v>851</v>
      </c>
      <c r="B305" s="1">
        <v>45716</v>
      </c>
      <c r="C305" t="s">
        <v>94</v>
      </c>
      <c r="D305" t="s">
        <v>39</v>
      </c>
      <c r="E305">
        <v>61</v>
      </c>
      <c r="F305" t="s">
        <v>21</v>
      </c>
      <c r="G305" t="s">
        <v>21</v>
      </c>
      <c r="H305" t="s">
        <v>32</v>
      </c>
      <c r="I305" t="s">
        <v>53</v>
      </c>
      <c r="J305" t="s">
        <v>34</v>
      </c>
      <c r="K305">
        <v>7</v>
      </c>
      <c r="L305" s="4">
        <v>49000</v>
      </c>
      <c r="M305">
        <v>10</v>
      </c>
      <c r="N305" s="4">
        <v>308700</v>
      </c>
      <c r="O305" t="s">
        <v>25</v>
      </c>
      <c r="P305">
        <v>4</v>
      </c>
      <c r="Q305" t="s">
        <v>41</v>
      </c>
      <c r="R305">
        <v>1</v>
      </c>
    </row>
    <row r="306" spans="1:18" x14ac:dyDescent="0.3">
      <c r="A306" t="s">
        <v>852</v>
      </c>
      <c r="B306" s="1">
        <v>46362</v>
      </c>
      <c r="C306" t="s">
        <v>94</v>
      </c>
      <c r="D306" t="s">
        <v>3292</v>
      </c>
      <c r="E306">
        <v>49</v>
      </c>
      <c r="F306" t="s">
        <v>77</v>
      </c>
      <c r="G306" t="s">
        <v>78</v>
      </c>
      <c r="H306" t="s">
        <v>62</v>
      </c>
      <c r="I306" t="s">
        <v>63</v>
      </c>
      <c r="J306" t="s">
        <v>80</v>
      </c>
      <c r="K306">
        <v>7</v>
      </c>
      <c r="L306" s="4">
        <v>44900</v>
      </c>
      <c r="M306">
        <v>20</v>
      </c>
      <c r="N306" s="4">
        <v>251440</v>
      </c>
      <c r="O306" t="s">
        <v>85</v>
      </c>
      <c r="P306">
        <v>2</v>
      </c>
      <c r="Q306" t="s">
        <v>65</v>
      </c>
      <c r="R306">
        <v>0</v>
      </c>
    </row>
    <row r="307" spans="1:18" x14ac:dyDescent="0.3">
      <c r="A307" t="s">
        <v>854</v>
      </c>
      <c r="B307" s="1">
        <v>45875</v>
      </c>
      <c r="C307" t="s">
        <v>121</v>
      </c>
      <c r="D307" t="s">
        <v>39</v>
      </c>
      <c r="E307">
        <v>33</v>
      </c>
      <c r="F307" t="s">
        <v>61</v>
      </c>
      <c r="G307" t="s">
        <v>61</v>
      </c>
      <c r="H307" t="s">
        <v>62</v>
      </c>
      <c r="I307" t="s">
        <v>140</v>
      </c>
      <c r="J307" t="s">
        <v>80</v>
      </c>
      <c r="K307">
        <v>7</v>
      </c>
      <c r="L307" s="4">
        <v>16200</v>
      </c>
      <c r="M307">
        <v>25</v>
      </c>
      <c r="N307" s="4">
        <v>85050</v>
      </c>
      <c r="O307" t="s">
        <v>25</v>
      </c>
      <c r="Q307" t="s">
        <v>26</v>
      </c>
      <c r="R307">
        <v>0</v>
      </c>
    </row>
    <row r="308" spans="1:18" x14ac:dyDescent="0.3">
      <c r="A308" t="s">
        <v>857</v>
      </c>
      <c r="B308" s="1">
        <v>46188</v>
      </c>
      <c r="C308" t="s">
        <v>29</v>
      </c>
      <c r="D308" t="s">
        <v>39</v>
      </c>
      <c r="E308">
        <v>35</v>
      </c>
      <c r="F308" t="s">
        <v>77</v>
      </c>
      <c r="G308" t="s">
        <v>78</v>
      </c>
      <c r="H308" t="s">
        <v>22</v>
      </c>
      <c r="I308" t="s">
        <v>84</v>
      </c>
      <c r="J308" t="s">
        <v>89</v>
      </c>
      <c r="K308">
        <v>7</v>
      </c>
      <c r="L308" s="4">
        <v>45800</v>
      </c>
      <c r="M308">
        <v>25</v>
      </c>
      <c r="N308" s="4">
        <v>240450</v>
      </c>
      <c r="O308" t="s">
        <v>3293</v>
      </c>
      <c r="P308">
        <v>2</v>
      </c>
      <c r="Q308" t="s">
        <v>26</v>
      </c>
      <c r="R308">
        <v>0</v>
      </c>
    </row>
    <row r="309" spans="1:18" x14ac:dyDescent="0.3">
      <c r="A309" t="s">
        <v>860</v>
      </c>
      <c r="B309" s="1">
        <v>45764</v>
      </c>
      <c r="C309" t="s">
        <v>88</v>
      </c>
      <c r="D309" t="s">
        <v>39</v>
      </c>
      <c r="E309">
        <v>44</v>
      </c>
      <c r="F309" t="s">
        <v>51</v>
      </c>
      <c r="G309" t="s">
        <v>52</v>
      </c>
      <c r="H309" t="s">
        <v>46</v>
      </c>
      <c r="I309" t="s">
        <v>79</v>
      </c>
      <c r="J309" t="s">
        <v>89</v>
      </c>
      <c r="K309">
        <v>4</v>
      </c>
      <c r="L309" s="4">
        <v>30700</v>
      </c>
      <c r="M309">
        <v>25</v>
      </c>
      <c r="N309" s="4">
        <v>92100</v>
      </c>
      <c r="O309" t="s">
        <v>25</v>
      </c>
      <c r="P309">
        <v>5</v>
      </c>
      <c r="Q309" t="s">
        <v>74</v>
      </c>
      <c r="R309">
        <v>0</v>
      </c>
    </row>
    <row r="310" spans="1:18" x14ac:dyDescent="0.3">
      <c r="A310" t="s">
        <v>861</v>
      </c>
      <c r="B310" s="1">
        <v>46237</v>
      </c>
      <c r="C310" t="s">
        <v>60</v>
      </c>
      <c r="D310" t="s">
        <v>39</v>
      </c>
      <c r="E310">
        <v>19</v>
      </c>
      <c r="F310" t="s">
        <v>44</v>
      </c>
      <c r="G310" t="s">
        <v>45</v>
      </c>
      <c r="H310" t="s">
        <v>32</v>
      </c>
      <c r="I310" t="s">
        <v>33</v>
      </c>
      <c r="J310" t="s">
        <v>34</v>
      </c>
      <c r="K310">
        <v>7</v>
      </c>
      <c r="L310" s="4">
        <v>17400</v>
      </c>
      <c r="M310">
        <v>15</v>
      </c>
      <c r="N310" s="4">
        <v>103530</v>
      </c>
      <c r="O310" t="s">
        <v>85</v>
      </c>
      <c r="P310">
        <v>3</v>
      </c>
      <c r="Q310" t="s">
        <v>65</v>
      </c>
      <c r="R310">
        <v>0</v>
      </c>
    </row>
    <row r="311" spans="1:18" x14ac:dyDescent="0.3">
      <c r="A311" t="s">
        <v>864</v>
      </c>
      <c r="B311" s="1">
        <v>45813</v>
      </c>
      <c r="C311" t="s">
        <v>113</v>
      </c>
      <c r="D311" t="s">
        <v>39</v>
      </c>
      <c r="E311">
        <v>34</v>
      </c>
      <c r="F311" t="s">
        <v>51</v>
      </c>
      <c r="G311" t="s">
        <v>104</v>
      </c>
      <c r="H311" t="s">
        <v>62</v>
      </c>
      <c r="I311" t="s">
        <v>63</v>
      </c>
      <c r="J311" t="s">
        <v>24</v>
      </c>
      <c r="K311">
        <v>5</v>
      </c>
      <c r="L311" s="4">
        <v>47800</v>
      </c>
      <c r="M311">
        <v>0</v>
      </c>
      <c r="N311" s="4">
        <v>239000</v>
      </c>
      <c r="O311" t="s">
        <v>85</v>
      </c>
      <c r="P311">
        <v>5</v>
      </c>
      <c r="Q311" t="s">
        <v>41</v>
      </c>
      <c r="R311">
        <v>1</v>
      </c>
    </row>
    <row r="312" spans="1:18" x14ac:dyDescent="0.3">
      <c r="A312" t="s">
        <v>866</v>
      </c>
      <c r="B312" s="1">
        <v>46046</v>
      </c>
      <c r="C312" t="s">
        <v>19</v>
      </c>
      <c r="D312" t="s">
        <v>39</v>
      </c>
      <c r="E312">
        <v>43</v>
      </c>
      <c r="F312" t="s">
        <v>61</v>
      </c>
      <c r="G312" t="s">
        <v>61</v>
      </c>
      <c r="H312" t="s">
        <v>46</v>
      </c>
      <c r="I312" t="s">
        <v>47</v>
      </c>
      <c r="J312" t="s">
        <v>89</v>
      </c>
      <c r="K312">
        <v>6</v>
      </c>
      <c r="L312" s="4">
        <v>27100</v>
      </c>
      <c r="M312">
        <v>25</v>
      </c>
      <c r="N312" s="4">
        <v>121950</v>
      </c>
      <c r="O312" t="s">
        <v>73</v>
      </c>
      <c r="P312">
        <v>5</v>
      </c>
      <c r="Q312" t="s">
        <v>65</v>
      </c>
      <c r="R312">
        <v>0</v>
      </c>
    </row>
    <row r="313" spans="1:18" x14ac:dyDescent="0.3">
      <c r="A313" t="s">
        <v>868</v>
      </c>
      <c r="B313" s="1">
        <v>46055</v>
      </c>
      <c r="C313" t="s">
        <v>60</v>
      </c>
      <c r="D313" t="s">
        <v>20</v>
      </c>
      <c r="E313">
        <v>40</v>
      </c>
      <c r="F313" t="s">
        <v>44</v>
      </c>
      <c r="G313" t="s">
        <v>100</v>
      </c>
      <c r="H313" t="s">
        <v>32</v>
      </c>
      <c r="I313" t="s">
        <v>33</v>
      </c>
      <c r="J313" t="s">
        <v>64</v>
      </c>
      <c r="K313">
        <v>10</v>
      </c>
      <c r="L313" s="4">
        <v>45000</v>
      </c>
      <c r="M313">
        <v>20</v>
      </c>
      <c r="N313" s="4">
        <v>360000</v>
      </c>
      <c r="O313" t="s">
        <v>85</v>
      </c>
      <c r="Q313" t="s">
        <v>41</v>
      </c>
      <c r="R313">
        <v>1</v>
      </c>
    </row>
    <row r="314" spans="1:18" x14ac:dyDescent="0.3">
      <c r="A314" t="s">
        <v>869</v>
      </c>
      <c r="B314" s="1">
        <v>45954</v>
      </c>
      <c r="C314" t="s">
        <v>113</v>
      </c>
      <c r="D314" t="s">
        <v>39</v>
      </c>
      <c r="E314">
        <v>54</v>
      </c>
      <c r="F314" t="s">
        <v>61</v>
      </c>
      <c r="G314" t="s">
        <v>61</v>
      </c>
      <c r="H314" t="s">
        <v>22</v>
      </c>
      <c r="I314" t="s">
        <v>23</v>
      </c>
      <c r="J314" t="s">
        <v>72</v>
      </c>
      <c r="K314">
        <v>8</v>
      </c>
      <c r="L314" s="4">
        <v>37500</v>
      </c>
      <c r="M314">
        <v>5</v>
      </c>
      <c r="N314" s="4">
        <v>285000</v>
      </c>
      <c r="O314" t="s">
        <v>85</v>
      </c>
      <c r="Q314" t="s">
        <v>65</v>
      </c>
      <c r="R314">
        <v>0</v>
      </c>
    </row>
    <row r="315" spans="1:18" x14ac:dyDescent="0.3">
      <c r="A315" t="s">
        <v>872</v>
      </c>
      <c r="B315" s="1">
        <v>45843</v>
      </c>
      <c r="C315" t="s">
        <v>38</v>
      </c>
      <c r="D315" t="s">
        <v>3292</v>
      </c>
      <c r="E315">
        <v>30</v>
      </c>
      <c r="F315" t="s">
        <v>61</v>
      </c>
      <c r="G315" t="s">
        <v>61</v>
      </c>
      <c r="H315" t="s">
        <v>32</v>
      </c>
      <c r="I315" t="s">
        <v>33</v>
      </c>
      <c r="J315" t="s">
        <v>72</v>
      </c>
      <c r="K315">
        <v>9</v>
      </c>
      <c r="L315" s="4">
        <v>12300</v>
      </c>
      <c r="M315">
        <v>5</v>
      </c>
      <c r="N315" s="4">
        <v>105165</v>
      </c>
      <c r="O315" t="s">
        <v>85</v>
      </c>
      <c r="P315">
        <v>1</v>
      </c>
      <c r="Q315" t="s">
        <v>41</v>
      </c>
      <c r="R315">
        <v>1</v>
      </c>
    </row>
    <row r="316" spans="1:18" x14ac:dyDescent="0.3">
      <c r="A316" t="s">
        <v>875</v>
      </c>
      <c r="B316" s="1">
        <v>45988</v>
      </c>
      <c r="C316" t="s">
        <v>19</v>
      </c>
      <c r="D316" t="s">
        <v>3292</v>
      </c>
      <c r="E316">
        <v>39</v>
      </c>
      <c r="F316" t="s">
        <v>77</v>
      </c>
      <c r="G316" t="s">
        <v>95</v>
      </c>
      <c r="H316" t="s">
        <v>46</v>
      </c>
      <c r="I316" t="s">
        <v>47</v>
      </c>
      <c r="J316" t="s">
        <v>72</v>
      </c>
      <c r="K316">
        <v>6</v>
      </c>
      <c r="L316" s="4">
        <v>3400</v>
      </c>
      <c r="M316">
        <v>25</v>
      </c>
      <c r="N316" s="4">
        <v>15300</v>
      </c>
      <c r="O316" t="s">
        <v>3293</v>
      </c>
      <c r="P316">
        <v>3</v>
      </c>
      <c r="Q316" t="s">
        <v>41</v>
      </c>
      <c r="R316">
        <v>1</v>
      </c>
    </row>
    <row r="317" spans="1:18" x14ac:dyDescent="0.3">
      <c r="A317" t="s">
        <v>877</v>
      </c>
      <c r="B317" s="1">
        <v>45939</v>
      </c>
      <c r="C317" t="s">
        <v>88</v>
      </c>
      <c r="D317" t="s">
        <v>39</v>
      </c>
      <c r="E317">
        <v>38</v>
      </c>
      <c r="F317" t="s">
        <v>51</v>
      </c>
      <c r="G317" t="s">
        <v>104</v>
      </c>
      <c r="H317" t="s">
        <v>46</v>
      </c>
      <c r="I317" t="s">
        <v>79</v>
      </c>
      <c r="J317" t="s">
        <v>24</v>
      </c>
      <c r="K317">
        <v>2</v>
      </c>
      <c r="L317" s="4">
        <v>24100</v>
      </c>
      <c r="M317">
        <v>0</v>
      </c>
      <c r="N317" s="4">
        <v>48200</v>
      </c>
      <c r="O317" t="s">
        <v>85</v>
      </c>
      <c r="P317">
        <v>5</v>
      </c>
      <c r="Q317" t="s">
        <v>65</v>
      </c>
      <c r="R317">
        <v>0</v>
      </c>
    </row>
    <row r="318" spans="1:18" x14ac:dyDescent="0.3">
      <c r="A318" t="s">
        <v>878</v>
      </c>
      <c r="B318" s="1">
        <v>45908</v>
      </c>
      <c r="C318" t="s">
        <v>19</v>
      </c>
      <c r="D318" t="s">
        <v>20</v>
      </c>
      <c r="E318">
        <v>46</v>
      </c>
      <c r="F318" t="s">
        <v>51</v>
      </c>
      <c r="G318" t="s">
        <v>104</v>
      </c>
      <c r="H318" t="s">
        <v>32</v>
      </c>
      <c r="I318" t="s">
        <v>33</v>
      </c>
      <c r="J318" t="s">
        <v>24</v>
      </c>
      <c r="K318">
        <v>4</v>
      </c>
      <c r="L318" s="4">
        <v>48900</v>
      </c>
      <c r="M318">
        <v>20</v>
      </c>
      <c r="N318" s="4">
        <v>156480</v>
      </c>
      <c r="O318" t="s">
        <v>25</v>
      </c>
      <c r="P318">
        <v>4</v>
      </c>
      <c r="Q318" t="s">
        <v>26</v>
      </c>
      <c r="R318">
        <v>0</v>
      </c>
    </row>
    <row r="319" spans="1:18" x14ac:dyDescent="0.3">
      <c r="A319" t="s">
        <v>882</v>
      </c>
      <c r="B319" s="1">
        <v>45826</v>
      </c>
      <c r="C319" t="s">
        <v>29</v>
      </c>
      <c r="D319" t="s">
        <v>39</v>
      </c>
      <c r="E319">
        <v>24</v>
      </c>
      <c r="F319" t="s">
        <v>77</v>
      </c>
      <c r="G319" t="s">
        <v>78</v>
      </c>
      <c r="H319" t="s">
        <v>62</v>
      </c>
      <c r="I319" t="s">
        <v>63</v>
      </c>
      <c r="J319" t="s">
        <v>72</v>
      </c>
      <c r="K319">
        <v>3</v>
      </c>
      <c r="L319" s="4">
        <v>43000</v>
      </c>
      <c r="M319">
        <v>20</v>
      </c>
      <c r="N319" s="4">
        <v>103200</v>
      </c>
      <c r="O319" t="s">
        <v>85</v>
      </c>
      <c r="Q319" t="s">
        <v>65</v>
      </c>
      <c r="R319">
        <v>0</v>
      </c>
    </row>
    <row r="320" spans="1:18" x14ac:dyDescent="0.3">
      <c r="A320" t="s">
        <v>884</v>
      </c>
      <c r="B320" s="1">
        <v>45976</v>
      </c>
      <c r="C320" t="s">
        <v>60</v>
      </c>
      <c r="D320" t="s">
        <v>3292</v>
      </c>
      <c r="E320">
        <v>54</v>
      </c>
      <c r="F320" t="s">
        <v>77</v>
      </c>
      <c r="G320" t="s">
        <v>95</v>
      </c>
      <c r="H320" t="s">
        <v>46</v>
      </c>
      <c r="I320" t="s">
        <v>79</v>
      </c>
      <c r="J320" t="s">
        <v>34</v>
      </c>
      <c r="K320">
        <v>3</v>
      </c>
      <c r="L320" s="4">
        <v>10800</v>
      </c>
      <c r="M320">
        <v>20</v>
      </c>
      <c r="N320" s="4">
        <v>25920</v>
      </c>
      <c r="O320" t="s">
        <v>85</v>
      </c>
      <c r="Q320" t="s">
        <v>65</v>
      </c>
      <c r="R320">
        <v>0</v>
      </c>
    </row>
    <row r="321" spans="1:18" x14ac:dyDescent="0.3">
      <c r="A321" t="s">
        <v>886</v>
      </c>
      <c r="B321" s="1">
        <v>46056</v>
      </c>
      <c r="C321" t="s">
        <v>121</v>
      </c>
      <c r="D321" t="s">
        <v>39</v>
      </c>
      <c r="E321">
        <v>54</v>
      </c>
      <c r="F321" t="s">
        <v>44</v>
      </c>
      <c r="G321" t="s">
        <v>100</v>
      </c>
      <c r="H321" t="s">
        <v>46</v>
      </c>
      <c r="I321" t="s">
        <v>47</v>
      </c>
      <c r="J321" t="s">
        <v>80</v>
      </c>
      <c r="K321">
        <v>9</v>
      </c>
      <c r="L321" s="4">
        <v>16500</v>
      </c>
      <c r="M321">
        <v>0</v>
      </c>
      <c r="N321" s="4">
        <v>148500</v>
      </c>
      <c r="O321" t="s">
        <v>85</v>
      </c>
      <c r="P321">
        <v>4</v>
      </c>
      <c r="Q321" t="s">
        <v>41</v>
      </c>
      <c r="R321">
        <v>1</v>
      </c>
    </row>
    <row r="322" spans="1:18" x14ac:dyDescent="0.3">
      <c r="A322" t="s">
        <v>889</v>
      </c>
      <c r="B322" s="1">
        <v>46095</v>
      </c>
      <c r="C322" t="s">
        <v>71</v>
      </c>
      <c r="D322" t="s">
        <v>3292</v>
      </c>
      <c r="E322">
        <v>58</v>
      </c>
      <c r="F322" t="s">
        <v>61</v>
      </c>
      <c r="G322" t="s">
        <v>61</v>
      </c>
      <c r="H322" t="s">
        <v>46</v>
      </c>
      <c r="I322" t="s">
        <v>47</v>
      </c>
      <c r="J322" t="s">
        <v>34</v>
      </c>
      <c r="K322">
        <v>1</v>
      </c>
      <c r="L322" s="4">
        <v>3300</v>
      </c>
      <c r="M322">
        <v>25</v>
      </c>
      <c r="N322" s="4">
        <v>2475</v>
      </c>
      <c r="O322" t="s">
        <v>85</v>
      </c>
      <c r="P322">
        <v>5</v>
      </c>
      <c r="Q322" t="s">
        <v>65</v>
      </c>
      <c r="R322">
        <v>0</v>
      </c>
    </row>
    <row r="323" spans="1:18" x14ac:dyDescent="0.3">
      <c r="A323" t="s">
        <v>891</v>
      </c>
      <c r="B323" s="1">
        <v>45902</v>
      </c>
      <c r="C323" t="s">
        <v>94</v>
      </c>
      <c r="D323" t="s">
        <v>20</v>
      </c>
      <c r="E323">
        <v>63</v>
      </c>
      <c r="F323" t="s">
        <v>51</v>
      </c>
      <c r="G323" t="s">
        <v>104</v>
      </c>
      <c r="H323" t="s">
        <v>22</v>
      </c>
      <c r="I323" t="s">
        <v>84</v>
      </c>
      <c r="J323" t="s">
        <v>24</v>
      </c>
      <c r="K323">
        <v>4</v>
      </c>
      <c r="L323" s="4">
        <v>27400</v>
      </c>
      <c r="M323">
        <v>5</v>
      </c>
      <c r="N323" s="4">
        <v>104120</v>
      </c>
      <c r="O323" t="s">
        <v>85</v>
      </c>
      <c r="P323">
        <v>3</v>
      </c>
      <c r="Q323" t="s">
        <v>26</v>
      </c>
      <c r="R323">
        <v>0</v>
      </c>
    </row>
    <row r="324" spans="1:18" x14ac:dyDescent="0.3">
      <c r="A324" t="s">
        <v>892</v>
      </c>
      <c r="B324" s="1">
        <v>45812</v>
      </c>
      <c r="C324" t="s">
        <v>60</v>
      </c>
      <c r="D324" t="s">
        <v>39</v>
      </c>
      <c r="E324">
        <v>29</v>
      </c>
      <c r="F324" t="s">
        <v>30</v>
      </c>
      <c r="G324" t="s">
        <v>31</v>
      </c>
      <c r="H324" t="s">
        <v>32</v>
      </c>
      <c r="I324" t="s">
        <v>33</v>
      </c>
      <c r="J324" t="s">
        <v>72</v>
      </c>
      <c r="K324">
        <v>10</v>
      </c>
      <c r="L324" s="4">
        <v>39900</v>
      </c>
      <c r="M324">
        <v>25</v>
      </c>
      <c r="N324" s="4">
        <v>299250</v>
      </c>
      <c r="O324" t="s">
        <v>25</v>
      </c>
      <c r="Q324" t="s">
        <v>74</v>
      </c>
      <c r="R324">
        <v>0</v>
      </c>
    </row>
    <row r="325" spans="1:18" x14ac:dyDescent="0.3">
      <c r="A325" t="s">
        <v>896</v>
      </c>
      <c r="B325" s="1">
        <v>45825</v>
      </c>
      <c r="C325" t="s">
        <v>38</v>
      </c>
      <c r="D325" t="s">
        <v>20</v>
      </c>
      <c r="E325">
        <v>39</v>
      </c>
      <c r="F325" t="s">
        <v>44</v>
      </c>
      <c r="G325" t="s">
        <v>100</v>
      </c>
      <c r="H325" t="s">
        <v>32</v>
      </c>
      <c r="I325" t="s">
        <v>33</v>
      </c>
      <c r="J325" t="s">
        <v>89</v>
      </c>
      <c r="K325">
        <v>1</v>
      </c>
      <c r="L325" s="4">
        <v>46500</v>
      </c>
      <c r="M325">
        <v>5</v>
      </c>
      <c r="N325" s="4">
        <v>44175</v>
      </c>
      <c r="O325" t="s">
        <v>73</v>
      </c>
      <c r="P325">
        <v>1</v>
      </c>
      <c r="Q325" t="s">
        <v>65</v>
      </c>
      <c r="R325">
        <v>0</v>
      </c>
    </row>
    <row r="326" spans="1:18" x14ac:dyDescent="0.3">
      <c r="A326" t="s">
        <v>898</v>
      </c>
      <c r="B326" s="1">
        <v>46198</v>
      </c>
      <c r="C326" t="s">
        <v>113</v>
      </c>
      <c r="D326" t="s">
        <v>20</v>
      </c>
      <c r="E326">
        <v>58</v>
      </c>
      <c r="F326" t="s">
        <v>61</v>
      </c>
      <c r="G326" t="s">
        <v>61</v>
      </c>
      <c r="H326" t="s">
        <v>62</v>
      </c>
      <c r="I326" t="s">
        <v>140</v>
      </c>
      <c r="J326" t="s">
        <v>24</v>
      </c>
      <c r="K326">
        <v>3</v>
      </c>
      <c r="L326" s="4">
        <v>8200</v>
      </c>
      <c r="M326">
        <v>0</v>
      </c>
      <c r="N326" s="4">
        <v>24600</v>
      </c>
      <c r="O326" t="s">
        <v>85</v>
      </c>
      <c r="P326">
        <v>5</v>
      </c>
      <c r="Q326" t="s">
        <v>26</v>
      </c>
      <c r="R326">
        <v>0</v>
      </c>
    </row>
    <row r="327" spans="1:18" x14ac:dyDescent="0.3">
      <c r="A327" t="s">
        <v>899</v>
      </c>
      <c r="B327" s="1">
        <v>45821</v>
      </c>
      <c r="C327" t="s">
        <v>121</v>
      </c>
      <c r="D327" t="s">
        <v>39</v>
      </c>
      <c r="E327">
        <v>44</v>
      </c>
      <c r="F327" t="s">
        <v>61</v>
      </c>
      <c r="G327" t="s">
        <v>61</v>
      </c>
      <c r="H327" t="s">
        <v>32</v>
      </c>
      <c r="I327" t="s">
        <v>53</v>
      </c>
      <c r="J327" t="s">
        <v>64</v>
      </c>
      <c r="K327">
        <v>9</v>
      </c>
      <c r="L327" s="4">
        <v>9700</v>
      </c>
      <c r="M327">
        <v>10</v>
      </c>
      <c r="N327" s="4">
        <v>78570</v>
      </c>
      <c r="O327" t="s">
        <v>73</v>
      </c>
      <c r="P327">
        <v>1</v>
      </c>
      <c r="Q327" t="s">
        <v>26</v>
      </c>
      <c r="R327">
        <v>0</v>
      </c>
    </row>
    <row r="328" spans="1:18" x14ac:dyDescent="0.3">
      <c r="A328" t="s">
        <v>901</v>
      </c>
      <c r="B328" s="1">
        <v>45869</v>
      </c>
      <c r="C328" t="s">
        <v>121</v>
      </c>
      <c r="D328" t="s">
        <v>3292</v>
      </c>
      <c r="E328">
        <v>43</v>
      </c>
      <c r="F328" t="s">
        <v>44</v>
      </c>
      <c r="G328" t="s">
        <v>100</v>
      </c>
      <c r="H328" t="s">
        <v>32</v>
      </c>
      <c r="I328" t="s">
        <v>33</v>
      </c>
      <c r="J328" t="s">
        <v>24</v>
      </c>
      <c r="K328">
        <v>1</v>
      </c>
      <c r="L328" s="4">
        <v>15900</v>
      </c>
      <c r="M328">
        <v>20</v>
      </c>
      <c r="N328" s="4">
        <v>12720</v>
      </c>
      <c r="O328" t="s">
        <v>85</v>
      </c>
      <c r="P328">
        <v>2</v>
      </c>
      <c r="Q328" t="s">
        <v>65</v>
      </c>
      <c r="R328">
        <v>0</v>
      </c>
    </row>
    <row r="329" spans="1:18" x14ac:dyDescent="0.3">
      <c r="A329" t="s">
        <v>903</v>
      </c>
      <c r="B329" s="1">
        <v>45683</v>
      </c>
      <c r="C329" t="s">
        <v>19</v>
      </c>
      <c r="D329" t="s">
        <v>3292</v>
      </c>
      <c r="E329">
        <v>39</v>
      </c>
      <c r="F329" t="s">
        <v>21</v>
      </c>
      <c r="G329" t="s">
        <v>21</v>
      </c>
      <c r="H329" t="s">
        <v>22</v>
      </c>
      <c r="I329" t="s">
        <v>23</v>
      </c>
      <c r="J329" t="s">
        <v>64</v>
      </c>
      <c r="K329">
        <v>1</v>
      </c>
      <c r="L329" s="4">
        <v>39300</v>
      </c>
      <c r="M329">
        <v>0</v>
      </c>
      <c r="N329" s="4">
        <v>39300</v>
      </c>
      <c r="O329" t="s">
        <v>85</v>
      </c>
      <c r="Q329" t="s">
        <v>65</v>
      </c>
      <c r="R329">
        <v>0</v>
      </c>
    </row>
    <row r="330" spans="1:18" x14ac:dyDescent="0.3">
      <c r="A330" t="s">
        <v>905</v>
      </c>
      <c r="B330" s="1">
        <v>45660</v>
      </c>
      <c r="C330" t="s">
        <v>121</v>
      </c>
      <c r="D330" t="s">
        <v>39</v>
      </c>
      <c r="E330">
        <v>63</v>
      </c>
      <c r="F330" t="s">
        <v>77</v>
      </c>
      <c r="G330" t="s">
        <v>78</v>
      </c>
      <c r="H330" t="s">
        <v>32</v>
      </c>
      <c r="I330" t="s">
        <v>33</v>
      </c>
      <c r="J330" t="s">
        <v>24</v>
      </c>
      <c r="K330">
        <v>3</v>
      </c>
      <c r="L330" s="4">
        <v>47200</v>
      </c>
      <c r="M330">
        <v>20</v>
      </c>
      <c r="N330" s="4">
        <v>113280</v>
      </c>
      <c r="O330" t="s">
        <v>85</v>
      </c>
      <c r="P330">
        <v>1</v>
      </c>
      <c r="Q330" t="s">
        <v>41</v>
      </c>
      <c r="R330">
        <v>1</v>
      </c>
    </row>
    <row r="331" spans="1:18" x14ac:dyDescent="0.3">
      <c r="A331" t="s">
        <v>907</v>
      </c>
      <c r="B331" s="1">
        <v>46044</v>
      </c>
      <c r="C331" t="s">
        <v>29</v>
      </c>
      <c r="D331" t="s">
        <v>39</v>
      </c>
      <c r="E331">
        <v>51</v>
      </c>
      <c r="F331" t="s">
        <v>77</v>
      </c>
      <c r="G331" t="s">
        <v>78</v>
      </c>
      <c r="H331" t="s">
        <v>62</v>
      </c>
      <c r="I331" t="s">
        <v>140</v>
      </c>
      <c r="J331" t="s">
        <v>34</v>
      </c>
      <c r="K331">
        <v>5</v>
      </c>
      <c r="L331" s="4">
        <v>7200</v>
      </c>
      <c r="M331">
        <v>10</v>
      </c>
      <c r="N331" s="4">
        <v>32400</v>
      </c>
      <c r="O331" t="s">
        <v>25</v>
      </c>
      <c r="Q331" t="s">
        <v>26</v>
      </c>
      <c r="R331">
        <v>0</v>
      </c>
    </row>
    <row r="332" spans="1:18" x14ac:dyDescent="0.3">
      <c r="A332" t="s">
        <v>909</v>
      </c>
      <c r="B332" s="1">
        <v>45959</v>
      </c>
      <c r="C332" t="s">
        <v>29</v>
      </c>
      <c r="D332" t="s">
        <v>20</v>
      </c>
      <c r="E332">
        <v>43</v>
      </c>
      <c r="F332" t="s">
        <v>61</v>
      </c>
      <c r="G332" t="s">
        <v>61</v>
      </c>
      <c r="H332" t="s">
        <v>46</v>
      </c>
      <c r="I332" t="s">
        <v>47</v>
      </c>
      <c r="J332" t="s">
        <v>89</v>
      </c>
      <c r="K332">
        <v>7</v>
      </c>
      <c r="L332" s="4">
        <v>5700</v>
      </c>
      <c r="M332">
        <v>10</v>
      </c>
      <c r="N332" s="4">
        <v>35910</v>
      </c>
      <c r="O332" t="s">
        <v>85</v>
      </c>
      <c r="Q332" t="s">
        <v>26</v>
      </c>
      <c r="R332">
        <v>0</v>
      </c>
    </row>
    <row r="333" spans="1:18" x14ac:dyDescent="0.3">
      <c r="A333" t="s">
        <v>911</v>
      </c>
      <c r="B333" s="1">
        <v>46056</v>
      </c>
      <c r="C333" t="s">
        <v>38</v>
      </c>
      <c r="D333" t="s">
        <v>20</v>
      </c>
      <c r="E333">
        <v>32</v>
      </c>
      <c r="F333" t="s">
        <v>44</v>
      </c>
      <c r="G333" t="s">
        <v>45</v>
      </c>
      <c r="H333" t="s">
        <v>62</v>
      </c>
      <c r="I333" t="s">
        <v>140</v>
      </c>
      <c r="J333" t="s">
        <v>89</v>
      </c>
      <c r="K333">
        <v>9</v>
      </c>
      <c r="L333" s="4">
        <v>27100</v>
      </c>
      <c r="M333">
        <v>20</v>
      </c>
      <c r="N333" s="4">
        <v>195120</v>
      </c>
      <c r="O333" t="s">
        <v>85</v>
      </c>
      <c r="Q333" t="s">
        <v>26</v>
      </c>
      <c r="R333">
        <v>0</v>
      </c>
    </row>
    <row r="334" spans="1:18" x14ac:dyDescent="0.3">
      <c r="A334" t="s">
        <v>913</v>
      </c>
      <c r="B334" s="1">
        <v>45868</v>
      </c>
      <c r="C334" t="s">
        <v>94</v>
      </c>
      <c r="D334" t="s">
        <v>20</v>
      </c>
      <c r="E334">
        <v>33</v>
      </c>
      <c r="F334" t="s">
        <v>21</v>
      </c>
      <c r="G334" t="s">
        <v>21</v>
      </c>
      <c r="H334" t="s">
        <v>46</v>
      </c>
      <c r="I334" t="s">
        <v>47</v>
      </c>
      <c r="J334" t="s">
        <v>80</v>
      </c>
      <c r="K334">
        <v>2</v>
      </c>
      <c r="L334" s="4">
        <v>31300</v>
      </c>
      <c r="M334">
        <v>25</v>
      </c>
      <c r="N334" s="4">
        <v>46950</v>
      </c>
      <c r="O334" t="s">
        <v>25</v>
      </c>
      <c r="P334">
        <v>4</v>
      </c>
      <c r="Q334" t="s">
        <v>41</v>
      </c>
      <c r="R334">
        <v>1</v>
      </c>
    </row>
    <row r="335" spans="1:18" x14ac:dyDescent="0.3">
      <c r="A335" t="s">
        <v>915</v>
      </c>
      <c r="B335" s="1">
        <v>45997</v>
      </c>
      <c r="C335" t="s">
        <v>19</v>
      </c>
      <c r="D335" t="s">
        <v>39</v>
      </c>
      <c r="E335">
        <v>40</v>
      </c>
      <c r="F335" t="s">
        <v>51</v>
      </c>
      <c r="G335" t="s">
        <v>104</v>
      </c>
      <c r="H335" t="s">
        <v>22</v>
      </c>
      <c r="I335" t="s">
        <v>23</v>
      </c>
      <c r="J335" t="s">
        <v>80</v>
      </c>
      <c r="K335">
        <v>8</v>
      </c>
      <c r="L335" s="4">
        <v>38200</v>
      </c>
      <c r="M335">
        <v>5</v>
      </c>
      <c r="N335" s="4">
        <v>290320</v>
      </c>
      <c r="O335" t="s">
        <v>25</v>
      </c>
      <c r="P335">
        <v>2</v>
      </c>
      <c r="Q335" t="s">
        <v>65</v>
      </c>
      <c r="R335">
        <v>0</v>
      </c>
    </row>
    <row r="336" spans="1:18" x14ac:dyDescent="0.3">
      <c r="A336" t="s">
        <v>917</v>
      </c>
      <c r="B336" s="1">
        <v>46005</v>
      </c>
      <c r="C336" t="s">
        <v>19</v>
      </c>
      <c r="D336" t="s">
        <v>3292</v>
      </c>
      <c r="E336">
        <v>34</v>
      </c>
      <c r="F336" t="s">
        <v>51</v>
      </c>
      <c r="G336" t="s">
        <v>104</v>
      </c>
      <c r="H336" t="s">
        <v>62</v>
      </c>
      <c r="I336" t="s">
        <v>63</v>
      </c>
      <c r="J336" t="s">
        <v>24</v>
      </c>
      <c r="K336">
        <v>6</v>
      </c>
      <c r="L336" s="4">
        <v>43400</v>
      </c>
      <c r="M336">
        <v>5</v>
      </c>
      <c r="N336" s="4">
        <v>247380</v>
      </c>
      <c r="O336" t="s">
        <v>73</v>
      </c>
      <c r="P336">
        <v>4</v>
      </c>
      <c r="Q336" t="s">
        <v>41</v>
      </c>
      <c r="R336">
        <v>1</v>
      </c>
    </row>
    <row r="337" spans="1:18" x14ac:dyDescent="0.3">
      <c r="A337" t="s">
        <v>921</v>
      </c>
      <c r="B337" s="1">
        <v>45686</v>
      </c>
      <c r="C337" t="s">
        <v>29</v>
      </c>
      <c r="D337" t="s">
        <v>20</v>
      </c>
      <c r="E337">
        <v>29</v>
      </c>
      <c r="F337" t="s">
        <v>77</v>
      </c>
      <c r="G337" t="s">
        <v>78</v>
      </c>
      <c r="H337" t="s">
        <v>32</v>
      </c>
      <c r="I337" t="s">
        <v>53</v>
      </c>
      <c r="J337" t="s">
        <v>34</v>
      </c>
      <c r="K337">
        <v>4</v>
      </c>
      <c r="L337" s="4">
        <v>17200</v>
      </c>
      <c r="M337">
        <v>10</v>
      </c>
      <c r="N337" s="4">
        <v>61920</v>
      </c>
      <c r="O337" t="s">
        <v>85</v>
      </c>
      <c r="P337">
        <v>5</v>
      </c>
      <c r="Q337" t="s">
        <v>65</v>
      </c>
      <c r="R337">
        <v>0</v>
      </c>
    </row>
    <row r="338" spans="1:18" x14ac:dyDescent="0.3">
      <c r="A338" t="s">
        <v>927</v>
      </c>
      <c r="B338" s="1">
        <v>45849</v>
      </c>
      <c r="C338" t="s">
        <v>38</v>
      </c>
      <c r="D338" t="s">
        <v>39</v>
      </c>
      <c r="E338">
        <v>56</v>
      </c>
      <c r="F338" t="s">
        <v>51</v>
      </c>
      <c r="G338" t="s">
        <v>52</v>
      </c>
      <c r="H338" t="s">
        <v>46</v>
      </c>
      <c r="I338" t="s">
        <v>47</v>
      </c>
      <c r="J338" t="s">
        <v>64</v>
      </c>
      <c r="K338">
        <v>10</v>
      </c>
      <c r="L338" s="4">
        <v>37300</v>
      </c>
      <c r="M338">
        <v>10</v>
      </c>
      <c r="N338" s="4">
        <v>335700</v>
      </c>
      <c r="O338" t="s">
        <v>25</v>
      </c>
      <c r="Q338" t="s">
        <v>41</v>
      </c>
      <c r="R338">
        <v>1</v>
      </c>
    </row>
    <row r="339" spans="1:18" x14ac:dyDescent="0.3">
      <c r="A339" t="s">
        <v>929</v>
      </c>
      <c r="B339" s="1">
        <v>45699</v>
      </c>
      <c r="C339" t="s">
        <v>113</v>
      </c>
      <c r="D339" t="s">
        <v>39</v>
      </c>
      <c r="E339">
        <v>45</v>
      </c>
      <c r="F339" t="s">
        <v>44</v>
      </c>
      <c r="G339" t="s">
        <v>45</v>
      </c>
      <c r="H339" t="s">
        <v>32</v>
      </c>
      <c r="I339" t="s">
        <v>53</v>
      </c>
      <c r="J339" t="s">
        <v>64</v>
      </c>
      <c r="K339">
        <v>10</v>
      </c>
      <c r="L339" s="4">
        <v>28000</v>
      </c>
      <c r="M339">
        <v>5</v>
      </c>
      <c r="N339" s="4">
        <v>266000</v>
      </c>
      <c r="O339" t="s">
        <v>85</v>
      </c>
      <c r="P339">
        <v>1</v>
      </c>
      <c r="Q339" t="s">
        <v>26</v>
      </c>
      <c r="R339">
        <v>0</v>
      </c>
    </row>
    <row r="340" spans="1:18" x14ac:dyDescent="0.3">
      <c r="A340" t="s">
        <v>931</v>
      </c>
      <c r="B340" s="1">
        <v>46026</v>
      </c>
      <c r="C340" t="s">
        <v>29</v>
      </c>
      <c r="D340" t="s">
        <v>3292</v>
      </c>
      <c r="E340">
        <v>39</v>
      </c>
      <c r="F340" t="s">
        <v>30</v>
      </c>
      <c r="G340" t="s">
        <v>57</v>
      </c>
      <c r="H340" t="s">
        <v>22</v>
      </c>
      <c r="I340" t="s">
        <v>23</v>
      </c>
      <c r="J340" t="s">
        <v>80</v>
      </c>
      <c r="K340">
        <v>10</v>
      </c>
      <c r="L340" s="4">
        <v>42100</v>
      </c>
      <c r="M340">
        <v>25</v>
      </c>
      <c r="N340" s="4">
        <v>315750</v>
      </c>
      <c r="O340" t="s">
        <v>85</v>
      </c>
      <c r="P340">
        <v>3</v>
      </c>
      <c r="Q340" t="s">
        <v>41</v>
      </c>
      <c r="R340">
        <v>1</v>
      </c>
    </row>
    <row r="341" spans="1:18" x14ac:dyDescent="0.3">
      <c r="A341" t="s">
        <v>939</v>
      </c>
      <c r="B341" s="1">
        <v>45719</v>
      </c>
      <c r="C341" t="s">
        <v>113</v>
      </c>
      <c r="D341" t="s">
        <v>20</v>
      </c>
      <c r="E341">
        <v>40</v>
      </c>
      <c r="F341" t="s">
        <v>21</v>
      </c>
      <c r="G341" t="s">
        <v>21</v>
      </c>
      <c r="H341" t="s">
        <v>22</v>
      </c>
      <c r="I341" t="s">
        <v>23</v>
      </c>
      <c r="J341" t="s">
        <v>24</v>
      </c>
      <c r="K341">
        <v>9</v>
      </c>
      <c r="L341" s="4">
        <v>48200</v>
      </c>
      <c r="M341">
        <v>15</v>
      </c>
      <c r="N341" s="4">
        <v>368730</v>
      </c>
      <c r="O341" t="s">
        <v>85</v>
      </c>
      <c r="P341">
        <v>2</v>
      </c>
      <c r="Q341" t="s">
        <v>65</v>
      </c>
      <c r="R341">
        <v>0</v>
      </c>
    </row>
    <row r="342" spans="1:18" x14ac:dyDescent="0.3">
      <c r="A342" t="s">
        <v>945</v>
      </c>
      <c r="B342" s="1">
        <v>46074</v>
      </c>
      <c r="C342" t="s">
        <v>38</v>
      </c>
      <c r="D342" t="s">
        <v>20</v>
      </c>
      <c r="E342">
        <v>64</v>
      </c>
      <c r="F342" t="s">
        <v>44</v>
      </c>
      <c r="G342" t="s">
        <v>100</v>
      </c>
      <c r="H342" t="s">
        <v>22</v>
      </c>
      <c r="I342" t="s">
        <v>23</v>
      </c>
      <c r="J342" t="s">
        <v>24</v>
      </c>
      <c r="K342">
        <v>6</v>
      </c>
      <c r="L342" s="4">
        <v>26700</v>
      </c>
      <c r="M342">
        <v>0</v>
      </c>
      <c r="N342" s="4">
        <v>160200</v>
      </c>
      <c r="O342" t="s">
        <v>85</v>
      </c>
      <c r="Q342" t="s">
        <v>41</v>
      </c>
      <c r="R342">
        <v>1</v>
      </c>
    </row>
    <row r="343" spans="1:18" x14ac:dyDescent="0.3">
      <c r="A343" t="s">
        <v>947</v>
      </c>
      <c r="B343" s="1">
        <v>45767</v>
      </c>
      <c r="C343" t="s">
        <v>19</v>
      </c>
      <c r="D343" t="s">
        <v>39</v>
      </c>
      <c r="E343">
        <v>63</v>
      </c>
      <c r="F343" t="s">
        <v>77</v>
      </c>
      <c r="G343" t="s">
        <v>95</v>
      </c>
      <c r="H343" t="s">
        <v>62</v>
      </c>
      <c r="I343" t="s">
        <v>140</v>
      </c>
      <c r="J343" t="s">
        <v>89</v>
      </c>
      <c r="K343">
        <v>1</v>
      </c>
      <c r="L343" s="4">
        <v>28700</v>
      </c>
      <c r="M343">
        <v>20</v>
      </c>
      <c r="N343" s="4">
        <v>22960</v>
      </c>
      <c r="O343" t="s">
        <v>73</v>
      </c>
      <c r="P343">
        <v>2</v>
      </c>
      <c r="Q343" t="s">
        <v>74</v>
      </c>
      <c r="R343">
        <v>0</v>
      </c>
    </row>
    <row r="344" spans="1:18" x14ac:dyDescent="0.3">
      <c r="A344" t="s">
        <v>949</v>
      </c>
      <c r="B344" s="1">
        <v>46049</v>
      </c>
      <c r="C344" t="s">
        <v>113</v>
      </c>
      <c r="D344" t="s">
        <v>3292</v>
      </c>
      <c r="E344">
        <v>26</v>
      </c>
      <c r="F344" t="s">
        <v>61</v>
      </c>
      <c r="G344" t="s">
        <v>61</v>
      </c>
      <c r="H344" t="s">
        <v>22</v>
      </c>
      <c r="I344" t="s">
        <v>23</v>
      </c>
      <c r="J344" t="s">
        <v>80</v>
      </c>
      <c r="K344">
        <v>5</v>
      </c>
      <c r="L344" s="4">
        <v>36000</v>
      </c>
      <c r="M344">
        <v>10</v>
      </c>
      <c r="N344" s="4">
        <v>162000</v>
      </c>
      <c r="O344" t="s">
        <v>73</v>
      </c>
      <c r="P344">
        <v>1</v>
      </c>
      <c r="Q344" t="s">
        <v>74</v>
      </c>
      <c r="R344">
        <v>0</v>
      </c>
    </row>
    <row r="345" spans="1:18" x14ac:dyDescent="0.3">
      <c r="A345" t="s">
        <v>950</v>
      </c>
      <c r="B345" s="1">
        <v>46115</v>
      </c>
      <c r="C345" t="s">
        <v>38</v>
      </c>
      <c r="D345" t="s">
        <v>39</v>
      </c>
      <c r="E345">
        <v>61</v>
      </c>
      <c r="F345" t="s">
        <v>21</v>
      </c>
      <c r="G345" t="s">
        <v>21</v>
      </c>
      <c r="H345" t="s">
        <v>46</v>
      </c>
      <c r="I345" t="s">
        <v>47</v>
      </c>
      <c r="J345" t="s">
        <v>34</v>
      </c>
      <c r="K345">
        <v>8</v>
      </c>
      <c r="L345" s="4">
        <v>43300</v>
      </c>
      <c r="M345">
        <v>5</v>
      </c>
      <c r="N345" s="4">
        <v>329080</v>
      </c>
      <c r="O345" t="s">
        <v>25</v>
      </c>
      <c r="P345">
        <v>1</v>
      </c>
      <c r="Q345" t="s">
        <v>41</v>
      </c>
      <c r="R345">
        <v>1</v>
      </c>
    </row>
    <row r="346" spans="1:18" x14ac:dyDescent="0.3">
      <c r="A346" t="s">
        <v>952</v>
      </c>
      <c r="B346" s="1">
        <v>45668</v>
      </c>
      <c r="C346" t="s">
        <v>38</v>
      </c>
      <c r="D346" t="s">
        <v>20</v>
      </c>
      <c r="E346">
        <v>65</v>
      </c>
      <c r="F346" t="s">
        <v>61</v>
      </c>
      <c r="G346" t="s">
        <v>61</v>
      </c>
      <c r="H346" t="s">
        <v>62</v>
      </c>
      <c r="I346" t="s">
        <v>63</v>
      </c>
      <c r="J346" t="s">
        <v>64</v>
      </c>
      <c r="K346">
        <v>7</v>
      </c>
      <c r="L346" s="4">
        <v>40100</v>
      </c>
      <c r="M346">
        <v>10</v>
      </c>
      <c r="N346" s="4">
        <v>252630</v>
      </c>
      <c r="O346" t="s">
        <v>25</v>
      </c>
      <c r="P346">
        <v>3</v>
      </c>
      <c r="Q346" t="s">
        <v>41</v>
      </c>
      <c r="R346">
        <v>1</v>
      </c>
    </row>
    <row r="347" spans="1:18" x14ac:dyDescent="0.3">
      <c r="A347" t="s">
        <v>954</v>
      </c>
      <c r="B347" s="1">
        <v>45823</v>
      </c>
      <c r="C347" t="s">
        <v>38</v>
      </c>
      <c r="D347" t="s">
        <v>3292</v>
      </c>
      <c r="E347">
        <v>33</v>
      </c>
      <c r="F347" t="s">
        <v>77</v>
      </c>
      <c r="G347" t="s">
        <v>78</v>
      </c>
      <c r="H347" t="s">
        <v>22</v>
      </c>
      <c r="I347" t="s">
        <v>84</v>
      </c>
      <c r="J347" t="s">
        <v>72</v>
      </c>
      <c r="K347">
        <v>4</v>
      </c>
      <c r="L347" s="4">
        <v>6000</v>
      </c>
      <c r="M347">
        <v>25</v>
      </c>
      <c r="N347" s="4">
        <v>18000</v>
      </c>
      <c r="O347" t="s">
        <v>25</v>
      </c>
      <c r="P347">
        <v>1</v>
      </c>
      <c r="Q347" t="s">
        <v>26</v>
      </c>
      <c r="R347">
        <v>0</v>
      </c>
    </row>
    <row r="348" spans="1:18" x14ac:dyDescent="0.3">
      <c r="A348" t="s">
        <v>956</v>
      </c>
      <c r="B348" s="1">
        <v>45903</v>
      </c>
      <c r="C348" t="s">
        <v>19</v>
      </c>
      <c r="D348" t="s">
        <v>39</v>
      </c>
      <c r="E348">
        <v>27</v>
      </c>
      <c r="F348" t="s">
        <v>51</v>
      </c>
      <c r="G348" t="s">
        <v>52</v>
      </c>
      <c r="H348" t="s">
        <v>22</v>
      </c>
      <c r="I348" t="s">
        <v>23</v>
      </c>
      <c r="J348" t="s">
        <v>72</v>
      </c>
      <c r="K348">
        <v>5</v>
      </c>
      <c r="L348" s="4">
        <v>22400</v>
      </c>
      <c r="M348">
        <v>20</v>
      </c>
      <c r="N348" s="4">
        <v>89600</v>
      </c>
      <c r="O348" t="s">
        <v>85</v>
      </c>
      <c r="Q348" t="s">
        <v>26</v>
      </c>
      <c r="R348">
        <v>0</v>
      </c>
    </row>
    <row r="349" spans="1:18" x14ac:dyDescent="0.3">
      <c r="A349" t="s">
        <v>959</v>
      </c>
      <c r="B349" s="1">
        <v>45919</v>
      </c>
      <c r="C349" t="s">
        <v>29</v>
      </c>
      <c r="D349" t="s">
        <v>20</v>
      </c>
      <c r="E349">
        <v>46</v>
      </c>
      <c r="F349" t="s">
        <v>51</v>
      </c>
      <c r="G349" t="s">
        <v>52</v>
      </c>
      <c r="H349" t="s">
        <v>62</v>
      </c>
      <c r="I349" t="s">
        <v>63</v>
      </c>
      <c r="J349" t="s">
        <v>24</v>
      </c>
      <c r="K349">
        <v>9</v>
      </c>
      <c r="L349" s="4">
        <v>48600</v>
      </c>
      <c r="M349">
        <v>0</v>
      </c>
      <c r="N349" s="4">
        <v>437400</v>
      </c>
      <c r="O349" t="s">
        <v>73</v>
      </c>
      <c r="P349">
        <v>1</v>
      </c>
      <c r="Q349" t="s">
        <v>74</v>
      </c>
      <c r="R349">
        <v>0</v>
      </c>
    </row>
    <row r="350" spans="1:18" x14ac:dyDescent="0.3">
      <c r="A350" t="s">
        <v>961</v>
      </c>
      <c r="B350" s="1">
        <v>45812</v>
      </c>
      <c r="C350" t="s">
        <v>60</v>
      </c>
      <c r="D350" t="s">
        <v>3292</v>
      </c>
      <c r="E350">
        <v>46</v>
      </c>
      <c r="F350" t="s">
        <v>61</v>
      </c>
      <c r="G350" t="s">
        <v>61</v>
      </c>
      <c r="H350" t="s">
        <v>22</v>
      </c>
      <c r="I350" t="s">
        <v>23</v>
      </c>
      <c r="J350" t="s">
        <v>80</v>
      </c>
      <c r="K350">
        <v>1</v>
      </c>
      <c r="L350" s="4">
        <v>11900</v>
      </c>
      <c r="M350">
        <v>10</v>
      </c>
      <c r="N350" s="4">
        <v>10710</v>
      </c>
      <c r="O350" t="s">
        <v>85</v>
      </c>
      <c r="P350">
        <v>4</v>
      </c>
      <c r="Q350" t="s">
        <v>26</v>
      </c>
      <c r="R350">
        <v>0</v>
      </c>
    </row>
    <row r="351" spans="1:18" x14ac:dyDescent="0.3">
      <c r="A351" t="s">
        <v>967</v>
      </c>
      <c r="B351" s="1">
        <v>45706</v>
      </c>
      <c r="C351" t="s">
        <v>68</v>
      </c>
      <c r="D351" t="s">
        <v>3292</v>
      </c>
      <c r="E351">
        <v>37</v>
      </c>
      <c r="F351" t="s">
        <v>51</v>
      </c>
      <c r="G351" t="s">
        <v>52</v>
      </c>
      <c r="H351" t="s">
        <v>62</v>
      </c>
      <c r="I351" t="s">
        <v>140</v>
      </c>
      <c r="J351" t="s">
        <v>80</v>
      </c>
      <c r="K351">
        <v>2</v>
      </c>
      <c r="L351" s="4">
        <v>33300</v>
      </c>
      <c r="M351">
        <v>20</v>
      </c>
      <c r="N351" s="4">
        <v>53280</v>
      </c>
      <c r="O351" t="s">
        <v>85</v>
      </c>
      <c r="P351">
        <v>2</v>
      </c>
      <c r="Q351" t="s">
        <v>65</v>
      </c>
      <c r="R351">
        <v>0</v>
      </c>
    </row>
    <row r="352" spans="1:18" x14ac:dyDescent="0.3">
      <c r="A352" t="s">
        <v>969</v>
      </c>
      <c r="B352" s="1">
        <v>45818</v>
      </c>
      <c r="C352" t="s">
        <v>29</v>
      </c>
      <c r="D352" t="s">
        <v>20</v>
      </c>
      <c r="E352">
        <v>47</v>
      </c>
      <c r="F352" t="s">
        <v>61</v>
      </c>
      <c r="G352" t="s">
        <v>61</v>
      </c>
      <c r="H352" t="s">
        <v>22</v>
      </c>
      <c r="I352" t="s">
        <v>23</v>
      </c>
      <c r="J352" t="s">
        <v>80</v>
      </c>
      <c r="K352">
        <v>1</v>
      </c>
      <c r="L352" s="4">
        <v>7200</v>
      </c>
      <c r="M352">
        <v>15</v>
      </c>
      <c r="N352" s="4">
        <v>6120</v>
      </c>
      <c r="O352" t="s">
        <v>73</v>
      </c>
      <c r="P352">
        <v>5</v>
      </c>
      <c r="Q352" t="s">
        <v>41</v>
      </c>
      <c r="R352">
        <v>1</v>
      </c>
    </row>
    <row r="353" spans="1:18" x14ac:dyDescent="0.3">
      <c r="A353" t="s">
        <v>971</v>
      </c>
      <c r="B353" s="1">
        <v>45994</v>
      </c>
      <c r="C353" t="s">
        <v>60</v>
      </c>
      <c r="D353" t="s">
        <v>39</v>
      </c>
      <c r="E353">
        <v>62</v>
      </c>
      <c r="F353" t="s">
        <v>61</v>
      </c>
      <c r="G353" t="s">
        <v>61</v>
      </c>
      <c r="H353" t="s">
        <v>32</v>
      </c>
      <c r="I353" t="s">
        <v>33</v>
      </c>
      <c r="J353" t="s">
        <v>80</v>
      </c>
      <c r="K353">
        <v>10</v>
      </c>
      <c r="L353" s="4">
        <v>43600</v>
      </c>
      <c r="M353">
        <v>0</v>
      </c>
      <c r="N353" s="4">
        <v>436000</v>
      </c>
      <c r="O353" t="s">
        <v>3293</v>
      </c>
      <c r="Q353" t="s">
        <v>74</v>
      </c>
      <c r="R353">
        <v>0</v>
      </c>
    </row>
    <row r="354" spans="1:18" x14ac:dyDescent="0.3">
      <c r="A354" t="s">
        <v>975</v>
      </c>
      <c r="B354" s="1">
        <v>46056</v>
      </c>
      <c r="C354" t="s">
        <v>38</v>
      </c>
      <c r="D354" t="s">
        <v>20</v>
      </c>
      <c r="E354">
        <v>19</v>
      </c>
      <c r="F354" t="s">
        <v>21</v>
      </c>
      <c r="G354" t="s">
        <v>21</v>
      </c>
      <c r="H354" t="s">
        <v>22</v>
      </c>
      <c r="I354" t="s">
        <v>23</v>
      </c>
      <c r="J354" t="s">
        <v>89</v>
      </c>
      <c r="K354">
        <v>3</v>
      </c>
      <c r="L354" s="4">
        <v>46000</v>
      </c>
      <c r="M354">
        <v>25</v>
      </c>
      <c r="N354" s="4">
        <v>103500</v>
      </c>
      <c r="O354" t="s">
        <v>25</v>
      </c>
      <c r="P354">
        <v>5</v>
      </c>
      <c r="Q354" t="s">
        <v>65</v>
      </c>
      <c r="R354">
        <v>0</v>
      </c>
    </row>
    <row r="355" spans="1:18" x14ac:dyDescent="0.3">
      <c r="A355" t="s">
        <v>976</v>
      </c>
      <c r="B355" s="1">
        <v>45838</v>
      </c>
      <c r="C355" t="s">
        <v>38</v>
      </c>
      <c r="D355" t="s">
        <v>20</v>
      </c>
      <c r="E355">
        <v>40</v>
      </c>
      <c r="F355" t="s">
        <v>21</v>
      </c>
      <c r="G355" t="s">
        <v>21</v>
      </c>
      <c r="H355" t="s">
        <v>32</v>
      </c>
      <c r="I355" t="s">
        <v>53</v>
      </c>
      <c r="J355" t="s">
        <v>24</v>
      </c>
      <c r="K355">
        <v>2</v>
      </c>
      <c r="L355" s="4">
        <v>24000</v>
      </c>
      <c r="M355">
        <v>0</v>
      </c>
      <c r="N355" s="4">
        <v>48000</v>
      </c>
      <c r="O355" t="s">
        <v>25</v>
      </c>
      <c r="Q355" t="s">
        <v>26</v>
      </c>
      <c r="R355">
        <v>0</v>
      </c>
    </row>
    <row r="356" spans="1:18" x14ac:dyDescent="0.3">
      <c r="A356" t="s">
        <v>982</v>
      </c>
      <c r="B356" s="1">
        <v>45990</v>
      </c>
      <c r="C356" t="s">
        <v>38</v>
      </c>
      <c r="D356" t="s">
        <v>39</v>
      </c>
      <c r="E356">
        <v>61</v>
      </c>
      <c r="F356" t="s">
        <v>30</v>
      </c>
      <c r="G356" t="s">
        <v>57</v>
      </c>
      <c r="H356" t="s">
        <v>46</v>
      </c>
      <c r="I356" t="s">
        <v>79</v>
      </c>
      <c r="J356" t="s">
        <v>64</v>
      </c>
      <c r="K356">
        <v>6</v>
      </c>
      <c r="L356" s="4">
        <v>11900</v>
      </c>
      <c r="M356">
        <v>25</v>
      </c>
      <c r="N356" s="4">
        <v>53550</v>
      </c>
      <c r="O356" t="s">
        <v>85</v>
      </c>
      <c r="Q356" t="s">
        <v>41</v>
      </c>
      <c r="R356">
        <v>1</v>
      </c>
    </row>
    <row r="357" spans="1:18" x14ac:dyDescent="0.3">
      <c r="A357" t="s">
        <v>984</v>
      </c>
      <c r="B357" s="1">
        <v>46079</v>
      </c>
      <c r="C357" t="s">
        <v>94</v>
      </c>
      <c r="D357" t="s">
        <v>39</v>
      </c>
      <c r="E357">
        <v>33</v>
      </c>
      <c r="F357" t="s">
        <v>44</v>
      </c>
      <c r="G357" t="s">
        <v>45</v>
      </c>
      <c r="H357" t="s">
        <v>22</v>
      </c>
      <c r="I357" t="s">
        <v>84</v>
      </c>
      <c r="J357" t="s">
        <v>89</v>
      </c>
      <c r="K357">
        <v>9</v>
      </c>
      <c r="L357" s="4">
        <v>39400</v>
      </c>
      <c r="M357">
        <v>20</v>
      </c>
      <c r="N357" s="4">
        <v>283680</v>
      </c>
      <c r="O357" t="s">
        <v>85</v>
      </c>
      <c r="Q357" t="s">
        <v>65</v>
      </c>
      <c r="R357">
        <v>0</v>
      </c>
    </row>
    <row r="358" spans="1:18" x14ac:dyDescent="0.3">
      <c r="A358" t="s">
        <v>988</v>
      </c>
      <c r="B358" s="1">
        <v>45696</v>
      </c>
      <c r="C358" t="s">
        <v>71</v>
      </c>
      <c r="D358" t="s">
        <v>39</v>
      </c>
      <c r="E358">
        <v>47</v>
      </c>
      <c r="F358" t="s">
        <v>30</v>
      </c>
      <c r="G358" t="s">
        <v>57</v>
      </c>
      <c r="H358" t="s">
        <v>62</v>
      </c>
      <c r="I358" t="s">
        <v>140</v>
      </c>
      <c r="J358" t="s">
        <v>24</v>
      </c>
      <c r="K358">
        <v>5</v>
      </c>
      <c r="L358" s="4">
        <v>27300</v>
      </c>
      <c r="M358">
        <v>15</v>
      </c>
      <c r="N358" s="4">
        <v>116025</v>
      </c>
      <c r="O358" t="s">
        <v>73</v>
      </c>
      <c r="P358">
        <v>4</v>
      </c>
      <c r="Q358" t="s">
        <v>65</v>
      </c>
      <c r="R358">
        <v>0</v>
      </c>
    </row>
    <row r="359" spans="1:18" x14ac:dyDescent="0.3">
      <c r="A359" t="s">
        <v>992</v>
      </c>
      <c r="B359" s="1">
        <v>45727</v>
      </c>
      <c r="C359" t="s">
        <v>19</v>
      </c>
      <c r="D359" t="s">
        <v>3292</v>
      </c>
      <c r="E359">
        <v>61</v>
      </c>
      <c r="F359" t="s">
        <v>77</v>
      </c>
      <c r="G359" t="s">
        <v>78</v>
      </c>
      <c r="H359" t="s">
        <v>62</v>
      </c>
      <c r="I359" t="s">
        <v>140</v>
      </c>
      <c r="J359" t="s">
        <v>34</v>
      </c>
      <c r="K359">
        <v>6</v>
      </c>
      <c r="L359" s="4">
        <v>49100</v>
      </c>
      <c r="M359">
        <v>15</v>
      </c>
      <c r="N359" s="4">
        <v>250410</v>
      </c>
      <c r="O359" t="s">
        <v>73</v>
      </c>
      <c r="P359">
        <v>1</v>
      </c>
      <c r="Q359" t="s">
        <v>65</v>
      </c>
      <c r="R359">
        <v>0</v>
      </c>
    </row>
    <row r="360" spans="1:18" x14ac:dyDescent="0.3">
      <c r="A360" t="s">
        <v>994</v>
      </c>
      <c r="B360" s="1">
        <v>46129</v>
      </c>
      <c r="C360" t="s">
        <v>68</v>
      </c>
      <c r="D360" t="s">
        <v>20</v>
      </c>
      <c r="E360">
        <v>30</v>
      </c>
      <c r="F360" t="s">
        <v>51</v>
      </c>
      <c r="G360" t="s">
        <v>52</v>
      </c>
      <c r="H360" t="s">
        <v>32</v>
      </c>
      <c r="I360" t="s">
        <v>53</v>
      </c>
      <c r="J360" t="s">
        <v>89</v>
      </c>
      <c r="K360">
        <v>10</v>
      </c>
      <c r="L360" s="4">
        <v>30900</v>
      </c>
      <c r="M360">
        <v>10</v>
      </c>
      <c r="N360" s="4">
        <v>278100</v>
      </c>
      <c r="O360" t="s">
        <v>73</v>
      </c>
      <c r="Q360" t="s">
        <v>26</v>
      </c>
      <c r="R360">
        <v>0</v>
      </c>
    </row>
    <row r="361" spans="1:18" x14ac:dyDescent="0.3">
      <c r="A361" t="s">
        <v>996</v>
      </c>
      <c r="B361" s="1">
        <v>46136</v>
      </c>
      <c r="C361" t="s">
        <v>94</v>
      </c>
      <c r="D361" t="s">
        <v>39</v>
      </c>
      <c r="E361">
        <v>60</v>
      </c>
      <c r="F361" t="s">
        <v>30</v>
      </c>
      <c r="G361" t="s">
        <v>31</v>
      </c>
      <c r="H361" t="s">
        <v>46</v>
      </c>
      <c r="I361" t="s">
        <v>79</v>
      </c>
      <c r="J361" t="s">
        <v>24</v>
      </c>
      <c r="K361">
        <v>6</v>
      </c>
      <c r="L361" s="4">
        <v>34900</v>
      </c>
      <c r="M361">
        <v>0</v>
      </c>
      <c r="N361" s="4">
        <v>209400</v>
      </c>
      <c r="O361" t="s">
        <v>73</v>
      </c>
      <c r="P361">
        <v>4</v>
      </c>
      <c r="Q361" t="s">
        <v>41</v>
      </c>
      <c r="R361">
        <v>1</v>
      </c>
    </row>
    <row r="362" spans="1:18" x14ac:dyDescent="0.3">
      <c r="A362" t="s">
        <v>997</v>
      </c>
      <c r="B362" s="1">
        <v>46039</v>
      </c>
      <c r="C362" t="s">
        <v>38</v>
      </c>
      <c r="D362" t="s">
        <v>39</v>
      </c>
      <c r="E362">
        <v>36</v>
      </c>
      <c r="F362" t="s">
        <v>77</v>
      </c>
      <c r="G362" t="s">
        <v>78</v>
      </c>
      <c r="H362" t="s">
        <v>32</v>
      </c>
      <c r="I362" t="s">
        <v>33</v>
      </c>
      <c r="J362" t="s">
        <v>24</v>
      </c>
      <c r="K362">
        <v>5</v>
      </c>
      <c r="L362" s="4">
        <v>35100</v>
      </c>
      <c r="M362">
        <v>20</v>
      </c>
      <c r="N362" s="4">
        <v>140400</v>
      </c>
      <c r="O362" t="s">
        <v>73</v>
      </c>
      <c r="P362">
        <v>5</v>
      </c>
      <c r="Q362" t="s">
        <v>65</v>
      </c>
      <c r="R362">
        <v>0</v>
      </c>
    </row>
    <row r="363" spans="1:18" x14ac:dyDescent="0.3">
      <c r="A363" t="s">
        <v>999</v>
      </c>
      <c r="B363" s="1">
        <v>46163</v>
      </c>
      <c r="C363" t="s">
        <v>88</v>
      </c>
      <c r="D363" t="s">
        <v>20</v>
      </c>
      <c r="E363">
        <v>39</v>
      </c>
      <c r="F363" t="s">
        <v>44</v>
      </c>
      <c r="G363" t="s">
        <v>100</v>
      </c>
      <c r="H363" t="s">
        <v>32</v>
      </c>
      <c r="I363" t="s">
        <v>53</v>
      </c>
      <c r="J363" t="s">
        <v>34</v>
      </c>
      <c r="K363">
        <v>4</v>
      </c>
      <c r="L363" s="4">
        <v>26600</v>
      </c>
      <c r="M363">
        <v>15</v>
      </c>
      <c r="N363" s="4">
        <v>90440</v>
      </c>
      <c r="O363" t="s">
        <v>85</v>
      </c>
      <c r="Q363" t="s">
        <v>74</v>
      </c>
      <c r="R363">
        <v>0</v>
      </c>
    </row>
    <row r="364" spans="1:18" x14ac:dyDescent="0.3">
      <c r="A364" t="s">
        <v>1001</v>
      </c>
      <c r="B364" s="1">
        <v>45794</v>
      </c>
      <c r="C364" t="s">
        <v>94</v>
      </c>
      <c r="D364" t="s">
        <v>20</v>
      </c>
      <c r="E364">
        <v>50</v>
      </c>
      <c r="F364" t="s">
        <v>44</v>
      </c>
      <c r="G364" t="s">
        <v>100</v>
      </c>
      <c r="H364" t="s">
        <v>46</v>
      </c>
      <c r="I364" t="s">
        <v>47</v>
      </c>
      <c r="J364" t="s">
        <v>34</v>
      </c>
      <c r="K364">
        <v>9</v>
      </c>
      <c r="L364" s="4">
        <v>40100</v>
      </c>
      <c r="M364">
        <v>25</v>
      </c>
      <c r="N364" s="4">
        <v>270675</v>
      </c>
      <c r="O364" t="s">
        <v>85</v>
      </c>
      <c r="P364">
        <v>4</v>
      </c>
      <c r="Q364" t="s">
        <v>65</v>
      </c>
      <c r="R364">
        <v>0</v>
      </c>
    </row>
    <row r="365" spans="1:18" x14ac:dyDescent="0.3">
      <c r="A365" t="s">
        <v>1004</v>
      </c>
      <c r="B365" s="1">
        <v>46064</v>
      </c>
      <c r="C365" t="s">
        <v>94</v>
      </c>
      <c r="D365" t="s">
        <v>39</v>
      </c>
      <c r="E365">
        <v>38</v>
      </c>
      <c r="F365" t="s">
        <v>77</v>
      </c>
      <c r="G365" t="s">
        <v>78</v>
      </c>
      <c r="H365" t="s">
        <v>22</v>
      </c>
      <c r="I365" t="s">
        <v>84</v>
      </c>
      <c r="J365" t="s">
        <v>34</v>
      </c>
      <c r="K365">
        <v>9</v>
      </c>
      <c r="L365" s="4">
        <v>13300</v>
      </c>
      <c r="M365">
        <v>5</v>
      </c>
      <c r="N365" s="4">
        <v>113715</v>
      </c>
      <c r="O365" t="s">
        <v>85</v>
      </c>
      <c r="P365">
        <v>3</v>
      </c>
      <c r="Q365" t="s">
        <v>74</v>
      </c>
      <c r="R365">
        <v>0</v>
      </c>
    </row>
    <row r="366" spans="1:18" x14ac:dyDescent="0.3">
      <c r="A366" t="s">
        <v>1006</v>
      </c>
      <c r="B366" s="1">
        <v>45865</v>
      </c>
      <c r="C366" t="s">
        <v>113</v>
      </c>
      <c r="D366" t="s">
        <v>39</v>
      </c>
      <c r="E366">
        <v>20</v>
      </c>
      <c r="F366" t="s">
        <v>21</v>
      </c>
      <c r="G366" t="s">
        <v>21</v>
      </c>
      <c r="H366" t="s">
        <v>32</v>
      </c>
      <c r="I366" t="s">
        <v>53</v>
      </c>
      <c r="J366" t="s">
        <v>34</v>
      </c>
      <c r="K366">
        <v>7</v>
      </c>
      <c r="L366" s="4">
        <v>25100</v>
      </c>
      <c r="M366">
        <v>15</v>
      </c>
      <c r="N366" s="4">
        <v>149345</v>
      </c>
      <c r="O366" t="s">
        <v>25</v>
      </c>
      <c r="Q366" t="s">
        <v>65</v>
      </c>
      <c r="R366">
        <v>0</v>
      </c>
    </row>
    <row r="367" spans="1:18" x14ac:dyDescent="0.3">
      <c r="A367" t="s">
        <v>1008</v>
      </c>
      <c r="B367" s="1">
        <v>45748</v>
      </c>
      <c r="C367" t="s">
        <v>29</v>
      </c>
      <c r="D367" t="s">
        <v>39</v>
      </c>
      <c r="E367">
        <v>20</v>
      </c>
      <c r="F367" t="s">
        <v>77</v>
      </c>
      <c r="G367" t="s">
        <v>95</v>
      </c>
      <c r="H367" t="s">
        <v>22</v>
      </c>
      <c r="I367" t="s">
        <v>23</v>
      </c>
      <c r="J367" t="s">
        <v>24</v>
      </c>
      <c r="K367">
        <v>8</v>
      </c>
      <c r="L367" s="4">
        <v>13700</v>
      </c>
      <c r="M367">
        <v>10</v>
      </c>
      <c r="N367" s="4">
        <v>98640</v>
      </c>
      <c r="O367" t="s">
        <v>25</v>
      </c>
      <c r="Q367" t="s">
        <v>41</v>
      </c>
      <c r="R367">
        <v>1</v>
      </c>
    </row>
    <row r="368" spans="1:18" x14ac:dyDescent="0.3">
      <c r="A368" t="s">
        <v>1010</v>
      </c>
      <c r="B368" s="1">
        <v>45806</v>
      </c>
      <c r="C368" t="s">
        <v>19</v>
      </c>
      <c r="D368" t="s">
        <v>20</v>
      </c>
      <c r="E368">
        <v>30</v>
      </c>
      <c r="F368" t="s">
        <v>61</v>
      </c>
      <c r="G368" t="s">
        <v>61</v>
      </c>
      <c r="H368" t="s">
        <v>32</v>
      </c>
      <c r="I368" t="s">
        <v>33</v>
      </c>
      <c r="J368" t="s">
        <v>64</v>
      </c>
      <c r="K368">
        <v>7</v>
      </c>
      <c r="L368" s="4">
        <v>26900</v>
      </c>
      <c r="M368">
        <v>20</v>
      </c>
      <c r="N368" s="4">
        <v>150640</v>
      </c>
      <c r="O368" t="s">
        <v>73</v>
      </c>
      <c r="P368">
        <v>2</v>
      </c>
      <c r="Q368" t="s">
        <v>26</v>
      </c>
      <c r="R368">
        <v>0</v>
      </c>
    </row>
    <row r="369" spans="1:18" x14ac:dyDescent="0.3">
      <c r="A369" t="s">
        <v>1011</v>
      </c>
      <c r="B369" s="1">
        <v>45693</v>
      </c>
      <c r="C369" t="s">
        <v>88</v>
      </c>
      <c r="D369" t="s">
        <v>3292</v>
      </c>
      <c r="E369">
        <v>40</v>
      </c>
      <c r="F369" t="s">
        <v>51</v>
      </c>
      <c r="G369" t="s">
        <v>104</v>
      </c>
      <c r="H369" t="s">
        <v>22</v>
      </c>
      <c r="I369" t="s">
        <v>84</v>
      </c>
      <c r="J369" t="s">
        <v>24</v>
      </c>
      <c r="K369">
        <v>4</v>
      </c>
      <c r="L369" s="4">
        <v>46500</v>
      </c>
      <c r="M369">
        <v>20</v>
      </c>
      <c r="N369" s="4">
        <v>148800</v>
      </c>
      <c r="O369" t="s">
        <v>85</v>
      </c>
      <c r="Q369" t="s">
        <v>41</v>
      </c>
      <c r="R369">
        <v>1</v>
      </c>
    </row>
    <row r="370" spans="1:18" x14ac:dyDescent="0.3">
      <c r="A370" t="s">
        <v>1015</v>
      </c>
      <c r="B370" s="1">
        <v>45865</v>
      </c>
      <c r="C370" t="s">
        <v>38</v>
      </c>
      <c r="D370" t="s">
        <v>39</v>
      </c>
      <c r="E370">
        <v>22</v>
      </c>
      <c r="F370" t="s">
        <v>44</v>
      </c>
      <c r="G370" t="s">
        <v>45</v>
      </c>
      <c r="H370" t="s">
        <v>32</v>
      </c>
      <c r="I370" t="s">
        <v>33</v>
      </c>
      <c r="J370" t="s">
        <v>24</v>
      </c>
      <c r="K370">
        <v>10</v>
      </c>
      <c r="L370" s="4">
        <v>50000</v>
      </c>
      <c r="M370">
        <v>20</v>
      </c>
      <c r="N370" s="4">
        <v>400000</v>
      </c>
      <c r="O370" t="s">
        <v>25</v>
      </c>
      <c r="P370">
        <v>3</v>
      </c>
      <c r="Q370" t="s">
        <v>65</v>
      </c>
      <c r="R370">
        <v>0</v>
      </c>
    </row>
    <row r="371" spans="1:18" x14ac:dyDescent="0.3">
      <c r="A371" t="s">
        <v>1019</v>
      </c>
      <c r="B371" s="1">
        <v>46191</v>
      </c>
      <c r="C371" t="s">
        <v>94</v>
      </c>
      <c r="D371" t="s">
        <v>39</v>
      </c>
      <c r="E371">
        <v>29</v>
      </c>
      <c r="F371" t="s">
        <v>61</v>
      </c>
      <c r="G371" t="s">
        <v>61</v>
      </c>
      <c r="H371" t="s">
        <v>46</v>
      </c>
      <c r="I371" t="s">
        <v>47</v>
      </c>
      <c r="J371" t="s">
        <v>72</v>
      </c>
      <c r="K371">
        <v>9</v>
      </c>
      <c r="L371" s="4">
        <v>38400</v>
      </c>
      <c r="M371">
        <v>10</v>
      </c>
      <c r="N371" s="4">
        <v>311040</v>
      </c>
      <c r="O371" t="s">
        <v>73</v>
      </c>
      <c r="Q371" t="s">
        <v>74</v>
      </c>
      <c r="R371">
        <v>0</v>
      </c>
    </row>
    <row r="372" spans="1:18" x14ac:dyDescent="0.3">
      <c r="A372" t="s">
        <v>1021</v>
      </c>
      <c r="B372" s="1">
        <v>45709</v>
      </c>
      <c r="C372" t="s">
        <v>113</v>
      </c>
      <c r="D372" t="s">
        <v>39</v>
      </c>
      <c r="E372">
        <v>58</v>
      </c>
      <c r="F372" t="s">
        <v>77</v>
      </c>
      <c r="G372" t="s">
        <v>78</v>
      </c>
      <c r="H372" t="s">
        <v>22</v>
      </c>
      <c r="I372" t="s">
        <v>84</v>
      </c>
      <c r="J372" t="s">
        <v>34</v>
      </c>
      <c r="K372">
        <v>9</v>
      </c>
      <c r="L372" s="4">
        <v>4700</v>
      </c>
      <c r="M372">
        <v>15</v>
      </c>
      <c r="N372" s="4">
        <v>35955</v>
      </c>
      <c r="O372" t="s">
        <v>85</v>
      </c>
      <c r="P372">
        <v>2</v>
      </c>
      <c r="Q372" t="s">
        <v>41</v>
      </c>
      <c r="R372">
        <v>1</v>
      </c>
    </row>
    <row r="373" spans="1:18" x14ac:dyDescent="0.3">
      <c r="A373" t="s">
        <v>1023</v>
      </c>
      <c r="B373" s="1">
        <v>46157</v>
      </c>
      <c r="C373" t="s">
        <v>68</v>
      </c>
      <c r="D373" t="s">
        <v>39</v>
      </c>
      <c r="E373">
        <v>22</v>
      </c>
      <c r="F373" t="s">
        <v>61</v>
      </c>
      <c r="G373" t="s">
        <v>61</v>
      </c>
      <c r="H373" t="s">
        <v>32</v>
      </c>
      <c r="I373" t="s">
        <v>33</v>
      </c>
      <c r="J373" t="s">
        <v>80</v>
      </c>
      <c r="K373">
        <v>1</v>
      </c>
      <c r="L373" s="4">
        <v>42300</v>
      </c>
      <c r="M373">
        <v>10</v>
      </c>
      <c r="N373" s="4">
        <v>38070</v>
      </c>
      <c r="O373" t="s">
        <v>85</v>
      </c>
      <c r="P373">
        <v>3</v>
      </c>
      <c r="Q373" t="s">
        <v>41</v>
      </c>
      <c r="R373">
        <v>1</v>
      </c>
    </row>
    <row r="374" spans="1:18" x14ac:dyDescent="0.3">
      <c r="A374" t="s">
        <v>1025</v>
      </c>
      <c r="B374" s="1">
        <v>46065</v>
      </c>
      <c r="C374" t="s">
        <v>29</v>
      </c>
      <c r="D374" t="s">
        <v>3292</v>
      </c>
      <c r="E374">
        <v>41</v>
      </c>
      <c r="F374" t="s">
        <v>21</v>
      </c>
      <c r="G374" t="s">
        <v>21</v>
      </c>
      <c r="H374" t="s">
        <v>32</v>
      </c>
      <c r="I374" t="s">
        <v>53</v>
      </c>
      <c r="J374" t="s">
        <v>64</v>
      </c>
      <c r="K374">
        <v>3</v>
      </c>
      <c r="L374" s="4">
        <v>15900</v>
      </c>
      <c r="M374">
        <v>10</v>
      </c>
      <c r="N374" s="4">
        <v>42930</v>
      </c>
      <c r="O374" t="s">
        <v>85</v>
      </c>
      <c r="P374">
        <v>5</v>
      </c>
      <c r="Q374" t="s">
        <v>41</v>
      </c>
      <c r="R374">
        <v>1</v>
      </c>
    </row>
    <row r="375" spans="1:18" x14ac:dyDescent="0.3">
      <c r="A375" t="s">
        <v>1026</v>
      </c>
      <c r="B375" s="1">
        <v>45836</v>
      </c>
      <c r="C375" t="s">
        <v>68</v>
      </c>
      <c r="D375" t="s">
        <v>20</v>
      </c>
      <c r="E375">
        <v>42</v>
      </c>
      <c r="F375" t="s">
        <v>77</v>
      </c>
      <c r="G375" t="s">
        <v>95</v>
      </c>
      <c r="H375" t="s">
        <v>22</v>
      </c>
      <c r="I375" t="s">
        <v>84</v>
      </c>
      <c r="J375" t="s">
        <v>89</v>
      </c>
      <c r="K375">
        <v>7</v>
      </c>
      <c r="L375" s="4">
        <v>8900</v>
      </c>
      <c r="M375">
        <v>5</v>
      </c>
      <c r="N375" s="4">
        <v>59185</v>
      </c>
      <c r="O375" t="s">
        <v>85</v>
      </c>
      <c r="Q375" t="s">
        <v>65</v>
      </c>
      <c r="R375">
        <v>0</v>
      </c>
    </row>
    <row r="376" spans="1:18" x14ac:dyDescent="0.3">
      <c r="A376" t="s">
        <v>1028</v>
      </c>
      <c r="B376" s="1">
        <v>45674</v>
      </c>
      <c r="C376" t="s">
        <v>121</v>
      </c>
      <c r="D376" t="s">
        <v>20</v>
      </c>
      <c r="E376">
        <v>53</v>
      </c>
      <c r="F376" t="s">
        <v>30</v>
      </c>
      <c r="G376" t="s">
        <v>31</v>
      </c>
      <c r="H376" t="s">
        <v>22</v>
      </c>
      <c r="I376" t="s">
        <v>84</v>
      </c>
      <c r="J376" t="s">
        <v>34</v>
      </c>
      <c r="K376">
        <v>10</v>
      </c>
      <c r="L376" s="4">
        <v>44800</v>
      </c>
      <c r="M376">
        <v>25</v>
      </c>
      <c r="N376" s="4">
        <v>336000</v>
      </c>
      <c r="O376" t="s">
        <v>85</v>
      </c>
      <c r="P376">
        <v>1</v>
      </c>
      <c r="Q376" t="s">
        <v>74</v>
      </c>
      <c r="R376">
        <v>0</v>
      </c>
    </row>
    <row r="377" spans="1:18" x14ac:dyDescent="0.3">
      <c r="A377" t="s">
        <v>1030</v>
      </c>
      <c r="B377" s="1">
        <v>46209</v>
      </c>
      <c r="C377" t="s">
        <v>113</v>
      </c>
      <c r="D377" t="s">
        <v>39</v>
      </c>
      <c r="E377">
        <v>34</v>
      </c>
      <c r="F377" t="s">
        <v>61</v>
      </c>
      <c r="G377" t="s">
        <v>61</v>
      </c>
      <c r="H377" t="s">
        <v>22</v>
      </c>
      <c r="I377" t="s">
        <v>84</v>
      </c>
      <c r="J377" t="s">
        <v>89</v>
      </c>
      <c r="K377">
        <v>10</v>
      </c>
      <c r="L377" s="4">
        <v>6500</v>
      </c>
      <c r="M377">
        <v>20</v>
      </c>
      <c r="N377" s="4">
        <v>52000</v>
      </c>
      <c r="O377" t="s">
        <v>85</v>
      </c>
      <c r="Q377" t="s">
        <v>41</v>
      </c>
      <c r="R377">
        <v>1</v>
      </c>
    </row>
    <row r="378" spans="1:18" x14ac:dyDescent="0.3">
      <c r="A378" t="s">
        <v>1033</v>
      </c>
      <c r="B378" s="1">
        <v>45850</v>
      </c>
      <c r="C378" t="s">
        <v>29</v>
      </c>
      <c r="D378" t="s">
        <v>20</v>
      </c>
      <c r="E378">
        <v>22</v>
      </c>
      <c r="F378" t="s">
        <v>77</v>
      </c>
      <c r="G378" t="s">
        <v>78</v>
      </c>
      <c r="H378" t="s">
        <v>62</v>
      </c>
      <c r="I378" t="s">
        <v>63</v>
      </c>
      <c r="J378" t="s">
        <v>64</v>
      </c>
      <c r="K378">
        <v>8</v>
      </c>
      <c r="L378" s="4">
        <v>41400</v>
      </c>
      <c r="M378">
        <v>5</v>
      </c>
      <c r="N378" s="4">
        <v>314640</v>
      </c>
      <c r="O378" t="s">
        <v>73</v>
      </c>
      <c r="P378">
        <v>2</v>
      </c>
      <c r="Q378" t="s">
        <v>26</v>
      </c>
      <c r="R378">
        <v>0</v>
      </c>
    </row>
    <row r="379" spans="1:18" x14ac:dyDescent="0.3">
      <c r="A379" t="s">
        <v>1034</v>
      </c>
      <c r="B379" s="1">
        <v>45807</v>
      </c>
      <c r="C379" t="s">
        <v>113</v>
      </c>
      <c r="D379" t="s">
        <v>3292</v>
      </c>
      <c r="E379">
        <v>46</v>
      </c>
      <c r="F379" t="s">
        <v>77</v>
      </c>
      <c r="G379" t="s">
        <v>95</v>
      </c>
      <c r="H379" t="s">
        <v>22</v>
      </c>
      <c r="I379" t="s">
        <v>84</v>
      </c>
      <c r="J379" t="s">
        <v>24</v>
      </c>
      <c r="K379">
        <v>4</v>
      </c>
      <c r="L379" s="4">
        <v>15100</v>
      </c>
      <c r="M379">
        <v>0</v>
      </c>
      <c r="N379" s="4">
        <v>60400</v>
      </c>
      <c r="O379" t="s">
        <v>85</v>
      </c>
      <c r="P379">
        <v>4</v>
      </c>
      <c r="Q379" t="s">
        <v>41</v>
      </c>
      <c r="R379">
        <v>1</v>
      </c>
    </row>
    <row r="380" spans="1:18" x14ac:dyDescent="0.3">
      <c r="A380" t="s">
        <v>1036</v>
      </c>
      <c r="B380" s="1">
        <v>46048</v>
      </c>
      <c r="C380" t="s">
        <v>29</v>
      </c>
      <c r="D380" t="s">
        <v>20</v>
      </c>
      <c r="E380">
        <v>53</v>
      </c>
      <c r="F380" t="s">
        <v>77</v>
      </c>
      <c r="G380" t="s">
        <v>95</v>
      </c>
      <c r="H380" t="s">
        <v>46</v>
      </c>
      <c r="I380" t="s">
        <v>79</v>
      </c>
      <c r="J380" t="s">
        <v>24</v>
      </c>
      <c r="K380">
        <v>5</v>
      </c>
      <c r="L380" s="4">
        <v>11700</v>
      </c>
      <c r="M380">
        <v>0</v>
      </c>
      <c r="N380" s="4">
        <v>58500</v>
      </c>
      <c r="O380" t="s">
        <v>3293</v>
      </c>
      <c r="P380">
        <v>5</v>
      </c>
      <c r="Q380" t="s">
        <v>41</v>
      </c>
      <c r="R380">
        <v>1</v>
      </c>
    </row>
    <row r="381" spans="1:18" x14ac:dyDescent="0.3">
      <c r="A381" t="s">
        <v>1038</v>
      </c>
      <c r="B381" s="1">
        <v>45923</v>
      </c>
      <c r="C381" t="s">
        <v>121</v>
      </c>
      <c r="D381" t="s">
        <v>3292</v>
      </c>
      <c r="E381">
        <v>37</v>
      </c>
      <c r="F381" t="s">
        <v>51</v>
      </c>
      <c r="G381" t="s">
        <v>52</v>
      </c>
      <c r="H381" t="s">
        <v>32</v>
      </c>
      <c r="I381" t="s">
        <v>33</v>
      </c>
      <c r="J381" t="s">
        <v>34</v>
      </c>
      <c r="K381">
        <v>4</v>
      </c>
      <c r="L381" s="4">
        <v>16700</v>
      </c>
      <c r="M381">
        <v>5</v>
      </c>
      <c r="N381" s="4">
        <v>63460</v>
      </c>
      <c r="O381" t="s">
        <v>25</v>
      </c>
      <c r="P381">
        <v>3</v>
      </c>
      <c r="Q381" t="s">
        <v>74</v>
      </c>
      <c r="R381">
        <v>0</v>
      </c>
    </row>
    <row r="382" spans="1:18" x14ac:dyDescent="0.3">
      <c r="A382" t="s">
        <v>1041</v>
      </c>
      <c r="B382" s="1">
        <v>45952</v>
      </c>
      <c r="C382" t="s">
        <v>113</v>
      </c>
      <c r="D382" t="s">
        <v>3292</v>
      </c>
      <c r="E382">
        <v>61</v>
      </c>
      <c r="F382" t="s">
        <v>51</v>
      </c>
      <c r="G382" t="s">
        <v>52</v>
      </c>
      <c r="H382" t="s">
        <v>46</v>
      </c>
      <c r="I382" t="s">
        <v>79</v>
      </c>
      <c r="J382" t="s">
        <v>89</v>
      </c>
      <c r="K382">
        <v>9</v>
      </c>
      <c r="L382" s="4">
        <v>38100</v>
      </c>
      <c r="M382">
        <v>10</v>
      </c>
      <c r="N382" s="4">
        <v>308610</v>
      </c>
      <c r="O382" t="s">
        <v>3293</v>
      </c>
      <c r="Q382" t="s">
        <v>74</v>
      </c>
      <c r="R382">
        <v>0</v>
      </c>
    </row>
    <row r="383" spans="1:18" x14ac:dyDescent="0.3">
      <c r="A383" t="s">
        <v>1043</v>
      </c>
      <c r="B383" s="1">
        <v>45776</v>
      </c>
      <c r="C383" t="s">
        <v>60</v>
      </c>
      <c r="D383" t="s">
        <v>20</v>
      </c>
      <c r="E383">
        <v>63</v>
      </c>
      <c r="F383" t="s">
        <v>21</v>
      </c>
      <c r="G383" t="s">
        <v>21</v>
      </c>
      <c r="H383" t="s">
        <v>62</v>
      </c>
      <c r="I383" t="s">
        <v>140</v>
      </c>
      <c r="J383" t="s">
        <v>34</v>
      </c>
      <c r="K383">
        <v>1</v>
      </c>
      <c r="L383" s="4">
        <v>43500</v>
      </c>
      <c r="M383">
        <v>10</v>
      </c>
      <c r="N383" s="4">
        <v>39150</v>
      </c>
      <c r="O383" t="s">
        <v>25</v>
      </c>
      <c r="P383">
        <v>3</v>
      </c>
      <c r="Q383" t="s">
        <v>41</v>
      </c>
      <c r="R383">
        <v>1</v>
      </c>
    </row>
    <row r="384" spans="1:18" x14ac:dyDescent="0.3">
      <c r="A384" t="s">
        <v>1044</v>
      </c>
      <c r="B384" s="1">
        <v>46143</v>
      </c>
      <c r="C384" t="s">
        <v>71</v>
      </c>
      <c r="D384" t="s">
        <v>20</v>
      </c>
      <c r="E384">
        <v>25</v>
      </c>
      <c r="F384" t="s">
        <v>21</v>
      </c>
      <c r="G384" t="s">
        <v>21</v>
      </c>
      <c r="H384" t="s">
        <v>62</v>
      </c>
      <c r="I384" t="s">
        <v>63</v>
      </c>
      <c r="J384" t="s">
        <v>72</v>
      </c>
      <c r="K384">
        <v>9</v>
      </c>
      <c r="L384" s="4">
        <v>36200</v>
      </c>
      <c r="M384">
        <v>5</v>
      </c>
      <c r="N384" s="4">
        <v>309510</v>
      </c>
      <c r="O384" t="s">
        <v>85</v>
      </c>
      <c r="P384">
        <v>2</v>
      </c>
      <c r="Q384" t="s">
        <v>41</v>
      </c>
      <c r="R384">
        <v>1</v>
      </c>
    </row>
    <row r="385" spans="1:18" x14ac:dyDescent="0.3">
      <c r="A385" t="s">
        <v>1045</v>
      </c>
      <c r="B385" s="1">
        <v>46191</v>
      </c>
      <c r="C385" t="s">
        <v>60</v>
      </c>
      <c r="D385" t="s">
        <v>39</v>
      </c>
      <c r="E385">
        <v>63</v>
      </c>
      <c r="F385" t="s">
        <v>21</v>
      </c>
      <c r="G385" t="s">
        <v>21</v>
      </c>
      <c r="H385" t="s">
        <v>46</v>
      </c>
      <c r="I385" t="s">
        <v>47</v>
      </c>
      <c r="J385" t="s">
        <v>24</v>
      </c>
      <c r="K385">
        <v>7</v>
      </c>
      <c r="L385" s="4">
        <v>48900</v>
      </c>
      <c r="M385">
        <v>0</v>
      </c>
      <c r="N385" s="4">
        <v>342300</v>
      </c>
      <c r="O385" t="s">
        <v>85</v>
      </c>
      <c r="Q385" t="s">
        <v>26</v>
      </c>
      <c r="R385">
        <v>0</v>
      </c>
    </row>
    <row r="386" spans="1:18" x14ac:dyDescent="0.3">
      <c r="A386" t="s">
        <v>1047</v>
      </c>
      <c r="B386" s="1">
        <v>45916</v>
      </c>
      <c r="C386" t="s">
        <v>94</v>
      </c>
      <c r="D386" t="s">
        <v>39</v>
      </c>
      <c r="E386">
        <v>56</v>
      </c>
      <c r="F386" t="s">
        <v>77</v>
      </c>
      <c r="G386" t="s">
        <v>78</v>
      </c>
      <c r="H386" t="s">
        <v>22</v>
      </c>
      <c r="I386" t="s">
        <v>84</v>
      </c>
      <c r="J386" t="s">
        <v>64</v>
      </c>
      <c r="K386">
        <v>8</v>
      </c>
      <c r="L386" s="4">
        <v>24000</v>
      </c>
      <c r="M386">
        <v>5</v>
      </c>
      <c r="N386" s="4">
        <v>182400</v>
      </c>
      <c r="O386" t="s">
        <v>25</v>
      </c>
      <c r="P386">
        <v>5</v>
      </c>
      <c r="Q386" t="s">
        <v>65</v>
      </c>
      <c r="R386">
        <v>0</v>
      </c>
    </row>
    <row r="387" spans="1:18" x14ac:dyDescent="0.3">
      <c r="A387" t="s">
        <v>1049</v>
      </c>
      <c r="B387" s="1">
        <v>46019</v>
      </c>
      <c r="C387" t="s">
        <v>113</v>
      </c>
      <c r="D387" t="s">
        <v>20</v>
      </c>
      <c r="E387">
        <v>25</v>
      </c>
      <c r="F387" t="s">
        <v>61</v>
      </c>
      <c r="G387" t="s">
        <v>61</v>
      </c>
      <c r="H387" t="s">
        <v>62</v>
      </c>
      <c r="I387" t="s">
        <v>140</v>
      </c>
      <c r="J387" t="s">
        <v>89</v>
      </c>
      <c r="K387">
        <v>2</v>
      </c>
      <c r="L387" s="4">
        <v>4100</v>
      </c>
      <c r="M387">
        <v>20</v>
      </c>
      <c r="N387" s="4">
        <v>6560</v>
      </c>
      <c r="O387" t="s">
        <v>85</v>
      </c>
      <c r="P387">
        <v>2</v>
      </c>
      <c r="Q387" t="s">
        <v>41</v>
      </c>
      <c r="R387">
        <v>1</v>
      </c>
    </row>
    <row r="388" spans="1:18" x14ac:dyDescent="0.3">
      <c r="A388" t="s">
        <v>1051</v>
      </c>
      <c r="B388" s="1">
        <v>45891</v>
      </c>
      <c r="C388" t="s">
        <v>60</v>
      </c>
      <c r="D388" t="s">
        <v>39</v>
      </c>
      <c r="E388">
        <v>32</v>
      </c>
      <c r="F388" t="s">
        <v>30</v>
      </c>
      <c r="G388" t="s">
        <v>31</v>
      </c>
      <c r="H388" t="s">
        <v>22</v>
      </c>
      <c r="I388" t="s">
        <v>84</v>
      </c>
      <c r="J388" t="s">
        <v>80</v>
      </c>
      <c r="K388">
        <v>7</v>
      </c>
      <c r="L388" s="4">
        <v>22400</v>
      </c>
      <c r="M388">
        <v>10</v>
      </c>
      <c r="N388" s="4">
        <v>141120</v>
      </c>
      <c r="O388" t="s">
        <v>73</v>
      </c>
      <c r="P388">
        <v>4</v>
      </c>
      <c r="Q388" t="s">
        <v>26</v>
      </c>
      <c r="R388">
        <v>0</v>
      </c>
    </row>
    <row r="389" spans="1:18" x14ac:dyDescent="0.3">
      <c r="A389" t="s">
        <v>1056</v>
      </c>
      <c r="B389" s="1">
        <v>45969</v>
      </c>
      <c r="C389" t="s">
        <v>29</v>
      </c>
      <c r="D389" t="s">
        <v>3292</v>
      </c>
      <c r="E389">
        <v>63</v>
      </c>
      <c r="F389" t="s">
        <v>44</v>
      </c>
      <c r="G389" t="s">
        <v>45</v>
      </c>
      <c r="H389" t="s">
        <v>62</v>
      </c>
      <c r="I389" t="s">
        <v>140</v>
      </c>
      <c r="J389" t="s">
        <v>24</v>
      </c>
      <c r="K389">
        <v>9</v>
      </c>
      <c r="L389" s="4">
        <v>46600</v>
      </c>
      <c r="M389">
        <v>20</v>
      </c>
      <c r="N389" s="4">
        <v>335520</v>
      </c>
      <c r="O389" t="s">
        <v>85</v>
      </c>
      <c r="P389">
        <v>5</v>
      </c>
      <c r="Q389" t="s">
        <v>26</v>
      </c>
      <c r="R389">
        <v>0</v>
      </c>
    </row>
    <row r="390" spans="1:18" x14ac:dyDescent="0.3">
      <c r="A390" t="s">
        <v>1058</v>
      </c>
      <c r="B390" s="1">
        <v>45912</v>
      </c>
      <c r="C390" t="s">
        <v>121</v>
      </c>
      <c r="D390" t="s">
        <v>39</v>
      </c>
      <c r="E390">
        <v>47</v>
      </c>
      <c r="F390" t="s">
        <v>44</v>
      </c>
      <c r="G390" t="s">
        <v>45</v>
      </c>
      <c r="H390" t="s">
        <v>32</v>
      </c>
      <c r="I390" t="s">
        <v>53</v>
      </c>
      <c r="J390" t="s">
        <v>72</v>
      </c>
      <c r="K390">
        <v>7</v>
      </c>
      <c r="L390" s="4">
        <v>28700</v>
      </c>
      <c r="M390">
        <v>20</v>
      </c>
      <c r="N390" s="4">
        <v>160720</v>
      </c>
      <c r="O390" t="s">
        <v>85</v>
      </c>
      <c r="P390">
        <v>4</v>
      </c>
      <c r="Q390" t="s">
        <v>26</v>
      </c>
      <c r="R390">
        <v>0</v>
      </c>
    </row>
    <row r="391" spans="1:18" x14ac:dyDescent="0.3">
      <c r="A391" t="s">
        <v>1060</v>
      </c>
      <c r="B391" s="1">
        <v>45866</v>
      </c>
      <c r="C391" t="s">
        <v>38</v>
      </c>
      <c r="D391" t="s">
        <v>39</v>
      </c>
      <c r="E391">
        <v>54</v>
      </c>
      <c r="F391" t="s">
        <v>44</v>
      </c>
      <c r="G391" t="s">
        <v>45</v>
      </c>
      <c r="H391" t="s">
        <v>62</v>
      </c>
      <c r="I391" t="s">
        <v>140</v>
      </c>
      <c r="J391" t="s">
        <v>24</v>
      </c>
      <c r="K391">
        <v>4</v>
      </c>
      <c r="L391" s="4">
        <v>30500</v>
      </c>
      <c r="M391">
        <v>10</v>
      </c>
      <c r="N391" s="4">
        <v>109800</v>
      </c>
      <c r="O391" t="s">
        <v>25</v>
      </c>
      <c r="P391">
        <v>2</v>
      </c>
      <c r="Q391" t="s">
        <v>26</v>
      </c>
      <c r="R391">
        <v>0</v>
      </c>
    </row>
    <row r="392" spans="1:18" x14ac:dyDescent="0.3">
      <c r="A392" t="s">
        <v>1064</v>
      </c>
      <c r="B392" s="1">
        <v>45923</v>
      </c>
      <c r="C392" t="s">
        <v>38</v>
      </c>
      <c r="D392" t="s">
        <v>20</v>
      </c>
      <c r="E392">
        <v>53</v>
      </c>
      <c r="F392" t="s">
        <v>44</v>
      </c>
      <c r="G392" t="s">
        <v>100</v>
      </c>
      <c r="H392" t="s">
        <v>32</v>
      </c>
      <c r="I392" t="s">
        <v>33</v>
      </c>
      <c r="J392" t="s">
        <v>24</v>
      </c>
      <c r="K392">
        <v>2</v>
      </c>
      <c r="L392" s="4">
        <v>29300</v>
      </c>
      <c r="M392">
        <v>20</v>
      </c>
      <c r="N392" s="4">
        <v>46880</v>
      </c>
      <c r="O392" t="s">
        <v>25</v>
      </c>
      <c r="P392">
        <v>1</v>
      </c>
      <c r="Q392" t="s">
        <v>41</v>
      </c>
      <c r="R392">
        <v>1</v>
      </c>
    </row>
    <row r="393" spans="1:18" x14ac:dyDescent="0.3">
      <c r="A393" t="s">
        <v>1065</v>
      </c>
      <c r="B393" s="1">
        <v>45801</v>
      </c>
      <c r="C393" t="s">
        <v>29</v>
      </c>
      <c r="D393" t="s">
        <v>39</v>
      </c>
      <c r="E393">
        <v>64</v>
      </c>
      <c r="F393" t="s">
        <v>61</v>
      </c>
      <c r="G393" t="s">
        <v>61</v>
      </c>
      <c r="H393" t="s">
        <v>62</v>
      </c>
      <c r="I393" t="s">
        <v>63</v>
      </c>
      <c r="J393" t="s">
        <v>80</v>
      </c>
      <c r="K393">
        <v>7</v>
      </c>
      <c r="L393" s="4">
        <v>15600</v>
      </c>
      <c r="M393">
        <v>0</v>
      </c>
      <c r="N393" s="4">
        <v>109200</v>
      </c>
      <c r="O393" t="s">
        <v>85</v>
      </c>
      <c r="Q393" t="s">
        <v>65</v>
      </c>
      <c r="R393">
        <v>0</v>
      </c>
    </row>
    <row r="394" spans="1:18" x14ac:dyDescent="0.3">
      <c r="A394" t="s">
        <v>1067</v>
      </c>
      <c r="B394" s="1">
        <v>45929</v>
      </c>
      <c r="C394" t="s">
        <v>88</v>
      </c>
      <c r="D394" t="s">
        <v>20</v>
      </c>
      <c r="E394">
        <v>32</v>
      </c>
      <c r="F394" t="s">
        <v>51</v>
      </c>
      <c r="G394" t="s">
        <v>104</v>
      </c>
      <c r="H394" t="s">
        <v>22</v>
      </c>
      <c r="I394" t="s">
        <v>84</v>
      </c>
      <c r="J394" t="s">
        <v>80</v>
      </c>
      <c r="K394">
        <v>3</v>
      </c>
      <c r="L394" s="4">
        <v>7900</v>
      </c>
      <c r="M394">
        <v>5</v>
      </c>
      <c r="N394" s="4">
        <v>22515</v>
      </c>
      <c r="O394" t="s">
        <v>85</v>
      </c>
      <c r="P394">
        <v>1</v>
      </c>
      <c r="Q394" t="s">
        <v>41</v>
      </c>
      <c r="R394">
        <v>1</v>
      </c>
    </row>
    <row r="395" spans="1:18" x14ac:dyDescent="0.3">
      <c r="A395" t="s">
        <v>1068</v>
      </c>
      <c r="B395" s="1">
        <v>46299</v>
      </c>
      <c r="C395" t="s">
        <v>88</v>
      </c>
      <c r="D395" t="s">
        <v>3292</v>
      </c>
      <c r="E395">
        <v>45</v>
      </c>
      <c r="F395" t="s">
        <v>21</v>
      </c>
      <c r="G395" t="s">
        <v>21</v>
      </c>
      <c r="H395" t="s">
        <v>62</v>
      </c>
      <c r="I395" t="s">
        <v>63</v>
      </c>
      <c r="J395" t="s">
        <v>72</v>
      </c>
      <c r="K395">
        <v>5</v>
      </c>
      <c r="L395" s="4">
        <v>4800</v>
      </c>
      <c r="M395">
        <v>5</v>
      </c>
      <c r="N395" s="4">
        <v>22800</v>
      </c>
      <c r="O395" t="s">
        <v>85</v>
      </c>
      <c r="Q395" t="s">
        <v>26</v>
      </c>
      <c r="R395">
        <v>0</v>
      </c>
    </row>
    <row r="396" spans="1:18" x14ac:dyDescent="0.3">
      <c r="A396" t="s">
        <v>1070</v>
      </c>
      <c r="B396" s="1">
        <v>45851</v>
      </c>
      <c r="C396" t="s">
        <v>60</v>
      </c>
      <c r="D396" t="s">
        <v>20</v>
      </c>
      <c r="E396">
        <v>31</v>
      </c>
      <c r="F396" t="s">
        <v>51</v>
      </c>
      <c r="G396" t="s">
        <v>52</v>
      </c>
      <c r="H396" t="s">
        <v>22</v>
      </c>
      <c r="I396" t="s">
        <v>84</v>
      </c>
      <c r="J396" t="s">
        <v>72</v>
      </c>
      <c r="K396">
        <v>4</v>
      </c>
      <c r="L396" s="4">
        <v>47600</v>
      </c>
      <c r="M396">
        <v>5</v>
      </c>
      <c r="N396" s="4">
        <v>180880</v>
      </c>
      <c r="O396" t="s">
        <v>25</v>
      </c>
      <c r="P396">
        <v>5</v>
      </c>
      <c r="Q396" t="s">
        <v>26</v>
      </c>
      <c r="R396">
        <v>0</v>
      </c>
    </row>
    <row r="397" spans="1:18" x14ac:dyDescent="0.3">
      <c r="A397" t="s">
        <v>1071</v>
      </c>
      <c r="B397" s="1">
        <v>46237</v>
      </c>
      <c r="C397" t="s">
        <v>113</v>
      </c>
      <c r="D397" t="s">
        <v>20</v>
      </c>
      <c r="E397">
        <v>61</v>
      </c>
      <c r="F397" t="s">
        <v>61</v>
      </c>
      <c r="G397" t="s">
        <v>61</v>
      </c>
      <c r="H397" t="s">
        <v>22</v>
      </c>
      <c r="I397" t="s">
        <v>23</v>
      </c>
      <c r="J397" t="s">
        <v>34</v>
      </c>
      <c r="K397">
        <v>8</v>
      </c>
      <c r="L397" s="4">
        <v>44200</v>
      </c>
      <c r="M397">
        <v>15</v>
      </c>
      <c r="N397" s="4">
        <v>300560</v>
      </c>
      <c r="O397" t="s">
        <v>3293</v>
      </c>
      <c r="P397">
        <v>5</v>
      </c>
      <c r="Q397" t="s">
        <v>74</v>
      </c>
      <c r="R397">
        <v>0</v>
      </c>
    </row>
    <row r="398" spans="1:18" x14ac:dyDescent="0.3">
      <c r="A398" t="s">
        <v>1073</v>
      </c>
      <c r="B398" s="1">
        <v>45742</v>
      </c>
      <c r="C398" t="s">
        <v>19</v>
      </c>
      <c r="D398" t="s">
        <v>39</v>
      </c>
      <c r="E398">
        <v>19</v>
      </c>
      <c r="F398" t="s">
        <v>77</v>
      </c>
      <c r="G398" t="s">
        <v>78</v>
      </c>
      <c r="H398" t="s">
        <v>32</v>
      </c>
      <c r="I398" t="s">
        <v>53</v>
      </c>
      <c r="J398" t="s">
        <v>34</v>
      </c>
      <c r="K398">
        <v>1</v>
      </c>
      <c r="L398" s="4">
        <v>28200</v>
      </c>
      <c r="M398">
        <v>25</v>
      </c>
      <c r="N398" s="4">
        <v>21150</v>
      </c>
      <c r="O398" t="s">
        <v>85</v>
      </c>
      <c r="Q398" t="s">
        <v>26</v>
      </c>
      <c r="R398">
        <v>0</v>
      </c>
    </row>
    <row r="399" spans="1:18" x14ac:dyDescent="0.3">
      <c r="A399" t="s">
        <v>1077</v>
      </c>
      <c r="B399" s="1">
        <v>45946</v>
      </c>
      <c r="C399" t="s">
        <v>113</v>
      </c>
      <c r="D399" t="s">
        <v>20</v>
      </c>
      <c r="E399">
        <v>63</v>
      </c>
      <c r="F399" t="s">
        <v>21</v>
      </c>
      <c r="G399" t="s">
        <v>21</v>
      </c>
      <c r="H399" t="s">
        <v>22</v>
      </c>
      <c r="I399" t="s">
        <v>84</v>
      </c>
      <c r="J399" t="s">
        <v>24</v>
      </c>
      <c r="K399">
        <v>6</v>
      </c>
      <c r="L399" s="4">
        <v>39600</v>
      </c>
      <c r="M399">
        <v>15</v>
      </c>
      <c r="N399" s="4">
        <v>201960</v>
      </c>
      <c r="O399" t="s">
        <v>73</v>
      </c>
      <c r="Q399" t="s">
        <v>65</v>
      </c>
      <c r="R399">
        <v>0</v>
      </c>
    </row>
    <row r="400" spans="1:18" x14ac:dyDescent="0.3">
      <c r="A400" t="s">
        <v>1079</v>
      </c>
      <c r="B400" s="1">
        <v>45972</v>
      </c>
      <c r="C400" t="s">
        <v>68</v>
      </c>
      <c r="D400" t="s">
        <v>3292</v>
      </c>
      <c r="E400">
        <v>62</v>
      </c>
      <c r="F400" t="s">
        <v>61</v>
      </c>
      <c r="G400" t="s">
        <v>61</v>
      </c>
      <c r="H400" t="s">
        <v>46</v>
      </c>
      <c r="I400" t="s">
        <v>79</v>
      </c>
      <c r="J400" t="s">
        <v>64</v>
      </c>
      <c r="K400">
        <v>1</v>
      </c>
      <c r="L400" s="4">
        <v>19200</v>
      </c>
      <c r="M400">
        <v>5</v>
      </c>
      <c r="N400" s="4">
        <v>18240</v>
      </c>
      <c r="O400" t="s">
        <v>73</v>
      </c>
      <c r="P400">
        <v>5</v>
      </c>
      <c r="Q400" t="s">
        <v>41</v>
      </c>
      <c r="R400">
        <v>1</v>
      </c>
    </row>
    <row r="401" spans="1:18" x14ac:dyDescent="0.3">
      <c r="A401" t="s">
        <v>1081</v>
      </c>
      <c r="B401" s="1">
        <v>45926</v>
      </c>
      <c r="C401" t="s">
        <v>38</v>
      </c>
      <c r="D401" t="s">
        <v>3292</v>
      </c>
      <c r="E401">
        <v>53</v>
      </c>
      <c r="F401" t="s">
        <v>21</v>
      </c>
      <c r="G401" t="s">
        <v>21</v>
      </c>
      <c r="H401" t="s">
        <v>22</v>
      </c>
      <c r="I401" t="s">
        <v>23</v>
      </c>
      <c r="J401" t="s">
        <v>24</v>
      </c>
      <c r="K401">
        <v>9</v>
      </c>
      <c r="L401" s="4">
        <v>22900</v>
      </c>
      <c r="M401">
        <v>15</v>
      </c>
      <c r="N401" s="4">
        <v>175185</v>
      </c>
      <c r="O401" t="s">
        <v>85</v>
      </c>
      <c r="Q401" t="s">
        <v>41</v>
      </c>
      <c r="R401">
        <v>1</v>
      </c>
    </row>
    <row r="402" spans="1:18" x14ac:dyDescent="0.3">
      <c r="A402" t="s">
        <v>1085</v>
      </c>
      <c r="B402" s="1">
        <v>45856</v>
      </c>
      <c r="C402" t="s">
        <v>60</v>
      </c>
      <c r="D402" t="s">
        <v>20</v>
      </c>
      <c r="E402">
        <v>44</v>
      </c>
      <c r="F402" t="s">
        <v>44</v>
      </c>
      <c r="G402" t="s">
        <v>45</v>
      </c>
      <c r="H402" t="s">
        <v>22</v>
      </c>
      <c r="I402" t="s">
        <v>23</v>
      </c>
      <c r="J402" t="s">
        <v>80</v>
      </c>
      <c r="K402">
        <v>2</v>
      </c>
      <c r="L402" s="4">
        <v>25900</v>
      </c>
      <c r="M402">
        <v>20</v>
      </c>
      <c r="N402" s="4">
        <v>41440</v>
      </c>
      <c r="O402" t="s">
        <v>85</v>
      </c>
      <c r="P402">
        <v>5</v>
      </c>
      <c r="Q402" t="s">
        <v>41</v>
      </c>
      <c r="R402">
        <v>1</v>
      </c>
    </row>
    <row r="403" spans="1:18" x14ac:dyDescent="0.3">
      <c r="A403" t="s">
        <v>1087</v>
      </c>
      <c r="B403" s="1">
        <v>45986</v>
      </c>
      <c r="C403" t="s">
        <v>94</v>
      </c>
      <c r="D403" t="s">
        <v>20</v>
      </c>
      <c r="E403">
        <v>34</v>
      </c>
      <c r="F403" t="s">
        <v>77</v>
      </c>
      <c r="G403" t="s">
        <v>95</v>
      </c>
      <c r="H403" t="s">
        <v>32</v>
      </c>
      <c r="I403" t="s">
        <v>33</v>
      </c>
      <c r="J403" t="s">
        <v>80</v>
      </c>
      <c r="K403">
        <v>10</v>
      </c>
      <c r="L403" s="4">
        <v>44400</v>
      </c>
      <c r="M403">
        <v>20</v>
      </c>
      <c r="N403" s="4">
        <v>355200</v>
      </c>
      <c r="O403" t="s">
        <v>25</v>
      </c>
      <c r="Q403" t="s">
        <v>65</v>
      </c>
      <c r="R403">
        <v>0</v>
      </c>
    </row>
    <row r="404" spans="1:18" x14ac:dyDescent="0.3">
      <c r="A404" t="s">
        <v>1089</v>
      </c>
      <c r="B404" s="1">
        <v>46021</v>
      </c>
      <c r="C404" t="s">
        <v>38</v>
      </c>
      <c r="D404" t="s">
        <v>39</v>
      </c>
      <c r="E404">
        <v>38</v>
      </c>
      <c r="F404" t="s">
        <v>77</v>
      </c>
      <c r="G404" t="s">
        <v>95</v>
      </c>
      <c r="H404" t="s">
        <v>62</v>
      </c>
      <c r="I404" t="s">
        <v>63</v>
      </c>
      <c r="J404" t="s">
        <v>72</v>
      </c>
      <c r="K404">
        <v>3</v>
      </c>
      <c r="L404" s="4">
        <v>47200</v>
      </c>
      <c r="M404">
        <v>15</v>
      </c>
      <c r="N404" s="4">
        <v>120360</v>
      </c>
      <c r="O404" t="s">
        <v>85</v>
      </c>
      <c r="P404">
        <v>1</v>
      </c>
      <c r="Q404" t="s">
        <v>65</v>
      </c>
      <c r="R404">
        <v>0</v>
      </c>
    </row>
    <row r="405" spans="1:18" x14ac:dyDescent="0.3">
      <c r="A405" t="s">
        <v>1091</v>
      </c>
      <c r="B405" s="1">
        <v>45900</v>
      </c>
      <c r="C405" t="s">
        <v>88</v>
      </c>
      <c r="D405" t="s">
        <v>3292</v>
      </c>
      <c r="E405">
        <v>39</v>
      </c>
      <c r="F405" t="s">
        <v>30</v>
      </c>
      <c r="G405" t="s">
        <v>31</v>
      </c>
      <c r="H405" t="s">
        <v>62</v>
      </c>
      <c r="I405" t="s">
        <v>140</v>
      </c>
      <c r="J405" t="s">
        <v>89</v>
      </c>
      <c r="K405">
        <v>8</v>
      </c>
      <c r="L405" s="4">
        <v>4100</v>
      </c>
      <c r="M405">
        <v>0</v>
      </c>
      <c r="N405" s="4">
        <v>32800</v>
      </c>
      <c r="O405" t="s">
        <v>25</v>
      </c>
      <c r="Q405" t="s">
        <v>26</v>
      </c>
      <c r="R405">
        <v>0</v>
      </c>
    </row>
    <row r="406" spans="1:18" x14ac:dyDescent="0.3">
      <c r="A406" t="s">
        <v>1094</v>
      </c>
      <c r="B406" s="1">
        <v>45935</v>
      </c>
      <c r="C406" t="s">
        <v>71</v>
      </c>
      <c r="D406" t="s">
        <v>20</v>
      </c>
      <c r="E406">
        <v>36</v>
      </c>
      <c r="F406" t="s">
        <v>61</v>
      </c>
      <c r="G406" t="s">
        <v>61</v>
      </c>
      <c r="H406" t="s">
        <v>22</v>
      </c>
      <c r="I406" t="s">
        <v>84</v>
      </c>
      <c r="J406" t="s">
        <v>80</v>
      </c>
      <c r="K406">
        <v>5</v>
      </c>
      <c r="L406" s="4">
        <v>3800</v>
      </c>
      <c r="M406">
        <v>15</v>
      </c>
      <c r="N406" s="4">
        <v>16150</v>
      </c>
      <c r="O406" t="s">
        <v>85</v>
      </c>
      <c r="Q406" t="s">
        <v>74</v>
      </c>
      <c r="R406">
        <v>0</v>
      </c>
    </row>
    <row r="407" spans="1:18" x14ac:dyDescent="0.3">
      <c r="A407" t="s">
        <v>1096</v>
      </c>
      <c r="B407" s="1">
        <v>46301</v>
      </c>
      <c r="C407" t="s">
        <v>113</v>
      </c>
      <c r="D407" t="s">
        <v>20</v>
      </c>
      <c r="E407">
        <v>36</v>
      </c>
      <c r="F407" t="s">
        <v>30</v>
      </c>
      <c r="G407" t="s">
        <v>31</v>
      </c>
      <c r="H407" t="s">
        <v>22</v>
      </c>
      <c r="I407" t="s">
        <v>84</v>
      </c>
      <c r="J407" t="s">
        <v>89</v>
      </c>
      <c r="K407">
        <v>1</v>
      </c>
      <c r="L407" s="4">
        <v>42000</v>
      </c>
      <c r="M407">
        <v>5</v>
      </c>
      <c r="N407" s="4">
        <v>39900</v>
      </c>
      <c r="O407" t="s">
        <v>73</v>
      </c>
      <c r="Q407" t="s">
        <v>26</v>
      </c>
      <c r="R407">
        <v>0</v>
      </c>
    </row>
    <row r="408" spans="1:18" x14ac:dyDescent="0.3">
      <c r="A408" t="s">
        <v>1098</v>
      </c>
      <c r="B408" s="1">
        <v>45820</v>
      </c>
      <c r="C408" t="s">
        <v>113</v>
      </c>
      <c r="D408" t="s">
        <v>39</v>
      </c>
      <c r="E408">
        <v>50</v>
      </c>
      <c r="F408" t="s">
        <v>21</v>
      </c>
      <c r="G408" t="s">
        <v>21</v>
      </c>
      <c r="H408" t="s">
        <v>32</v>
      </c>
      <c r="I408" t="s">
        <v>33</v>
      </c>
      <c r="J408" t="s">
        <v>64</v>
      </c>
      <c r="K408">
        <v>10</v>
      </c>
      <c r="L408" s="4">
        <v>17700</v>
      </c>
      <c r="M408">
        <v>25</v>
      </c>
      <c r="N408" s="4">
        <v>132750</v>
      </c>
      <c r="O408" t="s">
        <v>85</v>
      </c>
      <c r="P408">
        <v>1</v>
      </c>
      <c r="Q408" t="s">
        <v>41</v>
      </c>
      <c r="R408">
        <v>1</v>
      </c>
    </row>
    <row r="409" spans="1:18" x14ac:dyDescent="0.3">
      <c r="A409" t="s">
        <v>1101</v>
      </c>
      <c r="B409" s="1">
        <v>46071</v>
      </c>
      <c r="C409" t="s">
        <v>19</v>
      </c>
      <c r="D409" t="s">
        <v>3292</v>
      </c>
      <c r="E409">
        <v>59</v>
      </c>
      <c r="F409" t="s">
        <v>44</v>
      </c>
      <c r="G409" t="s">
        <v>100</v>
      </c>
      <c r="H409" t="s">
        <v>46</v>
      </c>
      <c r="I409" t="s">
        <v>47</v>
      </c>
      <c r="J409" t="s">
        <v>89</v>
      </c>
      <c r="K409">
        <v>5</v>
      </c>
      <c r="L409" s="4">
        <v>15200</v>
      </c>
      <c r="M409">
        <v>25</v>
      </c>
      <c r="N409" s="4">
        <v>57000</v>
      </c>
      <c r="O409" t="s">
        <v>25</v>
      </c>
      <c r="P409">
        <v>1</v>
      </c>
      <c r="Q409" t="s">
        <v>26</v>
      </c>
      <c r="R409">
        <v>0</v>
      </c>
    </row>
    <row r="410" spans="1:18" x14ac:dyDescent="0.3">
      <c r="A410" t="s">
        <v>1105</v>
      </c>
      <c r="B410" s="1">
        <v>45695</v>
      </c>
      <c r="C410" t="s">
        <v>38</v>
      </c>
      <c r="D410" t="s">
        <v>39</v>
      </c>
      <c r="E410">
        <v>64</v>
      </c>
      <c r="F410" t="s">
        <v>77</v>
      </c>
      <c r="G410" t="s">
        <v>78</v>
      </c>
      <c r="H410" t="s">
        <v>32</v>
      </c>
      <c r="I410" t="s">
        <v>33</v>
      </c>
      <c r="J410" t="s">
        <v>80</v>
      </c>
      <c r="K410">
        <v>5</v>
      </c>
      <c r="L410" s="4">
        <v>15000</v>
      </c>
      <c r="M410">
        <v>20</v>
      </c>
      <c r="N410" s="4">
        <v>60000</v>
      </c>
      <c r="O410" t="s">
        <v>85</v>
      </c>
      <c r="P410">
        <v>4</v>
      </c>
      <c r="Q410" t="s">
        <v>41</v>
      </c>
      <c r="R410">
        <v>1</v>
      </c>
    </row>
    <row r="411" spans="1:18" x14ac:dyDescent="0.3">
      <c r="A411" t="s">
        <v>1107</v>
      </c>
      <c r="B411" s="1">
        <v>45669</v>
      </c>
      <c r="C411" t="s">
        <v>29</v>
      </c>
      <c r="D411" t="s">
        <v>39</v>
      </c>
      <c r="E411">
        <v>53</v>
      </c>
      <c r="F411" t="s">
        <v>30</v>
      </c>
      <c r="G411" t="s">
        <v>31</v>
      </c>
      <c r="H411" t="s">
        <v>22</v>
      </c>
      <c r="I411" t="s">
        <v>84</v>
      </c>
      <c r="J411" t="s">
        <v>34</v>
      </c>
      <c r="K411">
        <v>7</v>
      </c>
      <c r="L411" s="4">
        <v>19900</v>
      </c>
      <c r="M411">
        <v>0</v>
      </c>
      <c r="N411" s="4">
        <v>139300</v>
      </c>
      <c r="O411" t="s">
        <v>25</v>
      </c>
      <c r="Q411" t="s">
        <v>65</v>
      </c>
      <c r="R411">
        <v>0</v>
      </c>
    </row>
    <row r="412" spans="1:18" x14ac:dyDescent="0.3">
      <c r="A412" t="s">
        <v>1109</v>
      </c>
      <c r="B412" s="1">
        <v>45720</v>
      </c>
      <c r="C412" t="s">
        <v>60</v>
      </c>
      <c r="D412" t="s">
        <v>39</v>
      </c>
      <c r="E412">
        <v>43</v>
      </c>
      <c r="F412" t="s">
        <v>44</v>
      </c>
      <c r="G412" t="s">
        <v>45</v>
      </c>
      <c r="H412" t="s">
        <v>46</v>
      </c>
      <c r="I412" t="s">
        <v>79</v>
      </c>
      <c r="J412" t="s">
        <v>89</v>
      </c>
      <c r="K412">
        <v>4</v>
      </c>
      <c r="L412" s="4">
        <v>38700</v>
      </c>
      <c r="M412">
        <v>0</v>
      </c>
      <c r="N412" s="4">
        <v>154800</v>
      </c>
      <c r="O412" t="s">
        <v>25</v>
      </c>
      <c r="P412">
        <v>2</v>
      </c>
      <c r="Q412" t="s">
        <v>26</v>
      </c>
      <c r="R412">
        <v>0</v>
      </c>
    </row>
    <row r="413" spans="1:18" x14ac:dyDescent="0.3">
      <c r="A413" t="s">
        <v>1111</v>
      </c>
      <c r="B413" s="1">
        <v>45758</v>
      </c>
      <c r="C413" t="s">
        <v>71</v>
      </c>
      <c r="D413" t="s">
        <v>20</v>
      </c>
      <c r="E413">
        <v>55</v>
      </c>
      <c r="F413" t="s">
        <v>77</v>
      </c>
      <c r="G413" t="s">
        <v>78</v>
      </c>
      <c r="H413" t="s">
        <v>46</v>
      </c>
      <c r="I413" t="s">
        <v>79</v>
      </c>
      <c r="J413" t="s">
        <v>34</v>
      </c>
      <c r="K413">
        <v>4</v>
      </c>
      <c r="L413" s="4">
        <v>45800</v>
      </c>
      <c r="M413">
        <v>10</v>
      </c>
      <c r="N413" s="4">
        <v>164880</v>
      </c>
      <c r="O413" t="s">
        <v>25</v>
      </c>
      <c r="Q413" t="s">
        <v>41</v>
      </c>
      <c r="R413">
        <v>1</v>
      </c>
    </row>
    <row r="414" spans="1:18" x14ac:dyDescent="0.3">
      <c r="A414" t="s">
        <v>1115</v>
      </c>
      <c r="B414" s="1">
        <v>45836</v>
      </c>
      <c r="C414" t="s">
        <v>19</v>
      </c>
      <c r="D414" t="s">
        <v>3292</v>
      </c>
      <c r="E414">
        <v>47</v>
      </c>
      <c r="F414" t="s">
        <v>61</v>
      </c>
      <c r="G414" t="s">
        <v>61</v>
      </c>
      <c r="H414" t="s">
        <v>62</v>
      </c>
      <c r="I414" t="s">
        <v>63</v>
      </c>
      <c r="J414" t="s">
        <v>89</v>
      </c>
      <c r="K414">
        <v>5</v>
      </c>
      <c r="L414" s="4">
        <v>43200</v>
      </c>
      <c r="M414">
        <v>20</v>
      </c>
      <c r="N414" s="4">
        <v>172800</v>
      </c>
      <c r="O414" t="s">
        <v>73</v>
      </c>
      <c r="P414">
        <v>5</v>
      </c>
      <c r="Q414" t="s">
        <v>26</v>
      </c>
      <c r="R414">
        <v>0</v>
      </c>
    </row>
    <row r="415" spans="1:18" x14ac:dyDescent="0.3">
      <c r="A415" t="s">
        <v>1119</v>
      </c>
      <c r="B415" s="1">
        <v>46017</v>
      </c>
      <c r="C415" t="s">
        <v>60</v>
      </c>
      <c r="D415" t="s">
        <v>39</v>
      </c>
      <c r="E415">
        <v>150</v>
      </c>
      <c r="F415" t="s">
        <v>30</v>
      </c>
      <c r="G415" t="s">
        <v>57</v>
      </c>
      <c r="H415" t="s">
        <v>22</v>
      </c>
      <c r="I415" t="s">
        <v>84</v>
      </c>
      <c r="J415" t="s">
        <v>64</v>
      </c>
      <c r="K415">
        <v>1</v>
      </c>
      <c r="L415" s="4">
        <v>38700</v>
      </c>
      <c r="M415">
        <v>5</v>
      </c>
      <c r="N415" s="4">
        <v>36765</v>
      </c>
      <c r="O415" t="s">
        <v>73</v>
      </c>
      <c r="P415">
        <v>5</v>
      </c>
      <c r="Q415" t="s">
        <v>74</v>
      </c>
      <c r="R415">
        <v>0</v>
      </c>
    </row>
    <row r="416" spans="1:18" x14ac:dyDescent="0.3">
      <c r="A416" t="s">
        <v>1123</v>
      </c>
      <c r="B416" s="1">
        <v>45945</v>
      </c>
      <c r="C416" t="s">
        <v>94</v>
      </c>
      <c r="D416" t="s">
        <v>39</v>
      </c>
      <c r="E416">
        <v>59</v>
      </c>
      <c r="F416" t="s">
        <v>51</v>
      </c>
      <c r="G416" t="s">
        <v>104</v>
      </c>
      <c r="H416" t="s">
        <v>22</v>
      </c>
      <c r="I416" t="s">
        <v>84</v>
      </c>
      <c r="J416" t="s">
        <v>34</v>
      </c>
      <c r="K416">
        <v>7</v>
      </c>
      <c r="L416" s="4">
        <v>41200</v>
      </c>
      <c r="M416">
        <v>25</v>
      </c>
      <c r="N416" s="4">
        <v>216300</v>
      </c>
      <c r="O416" t="s">
        <v>73</v>
      </c>
      <c r="Q416" t="s">
        <v>74</v>
      </c>
      <c r="R416">
        <v>0</v>
      </c>
    </row>
    <row r="417" spans="1:18" x14ac:dyDescent="0.3">
      <c r="A417" t="s">
        <v>1125</v>
      </c>
      <c r="B417" s="1">
        <v>46139</v>
      </c>
      <c r="C417" t="s">
        <v>29</v>
      </c>
      <c r="D417" t="s">
        <v>20</v>
      </c>
      <c r="E417">
        <v>54</v>
      </c>
      <c r="F417" t="s">
        <v>44</v>
      </c>
      <c r="G417" t="s">
        <v>45</v>
      </c>
      <c r="H417" t="s">
        <v>32</v>
      </c>
      <c r="I417" t="s">
        <v>53</v>
      </c>
      <c r="J417" t="s">
        <v>24</v>
      </c>
      <c r="K417">
        <v>4</v>
      </c>
      <c r="L417" s="4">
        <v>14000</v>
      </c>
      <c r="M417">
        <v>10</v>
      </c>
      <c r="N417" s="4">
        <v>50400</v>
      </c>
      <c r="O417" t="s">
        <v>25</v>
      </c>
      <c r="P417">
        <v>2</v>
      </c>
      <c r="Q417" t="s">
        <v>26</v>
      </c>
      <c r="R417">
        <v>0</v>
      </c>
    </row>
    <row r="418" spans="1:18" x14ac:dyDescent="0.3">
      <c r="A418" t="s">
        <v>1126</v>
      </c>
      <c r="B418" s="1">
        <v>46143</v>
      </c>
      <c r="C418" t="s">
        <v>88</v>
      </c>
      <c r="D418" t="s">
        <v>20</v>
      </c>
      <c r="E418">
        <v>55</v>
      </c>
      <c r="F418" t="s">
        <v>61</v>
      </c>
      <c r="G418" t="s">
        <v>61</v>
      </c>
      <c r="H418" t="s">
        <v>46</v>
      </c>
      <c r="I418" t="s">
        <v>47</v>
      </c>
      <c r="J418" t="s">
        <v>89</v>
      </c>
      <c r="K418">
        <v>2</v>
      </c>
      <c r="L418" s="4">
        <v>14200</v>
      </c>
      <c r="M418">
        <v>0</v>
      </c>
      <c r="N418" s="4">
        <v>28400</v>
      </c>
      <c r="O418" t="s">
        <v>25</v>
      </c>
      <c r="P418">
        <v>3</v>
      </c>
      <c r="Q418" t="s">
        <v>26</v>
      </c>
      <c r="R418">
        <v>0</v>
      </c>
    </row>
    <row r="419" spans="1:18" x14ac:dyDescent="0.3">
      <c r="A419" t="s">
        <v>1127</v>
      </c>
      <c r="B419" s="1">
        <v>45940</v>
      </c>
      <c r="C419" t="s">
        <v>29</v>
      </c>
      <c r="D419" t="s">
        <v>3292</v>
      </c>
      <c r="E419">
        <v>24</v>
      </c>
      <c r="F419" t="s">
        <v>51</v>
      </c>
      <c r="G419" t="s">
        <v>104</v>
      </c>
      <c r="H419" t="s">
        <v>22</v>
      </c>
      <c r="I419" t="s">
        <v>23</v>
      </c>
      <c r="J419" t="s">
        <v>80</v>
      </c>
      <c r="K419">
        <v>3</v>
      </c>
      <c r="L419" s="4">
        <v>9900</v>
      </c>
      <c r="M419">
        <v>0</v>
      </c>
      <c r="N419" s="4">
        <v>29700</v>
      </c>
      <c r="O419" t="s">
        <v>25</v>
      </c>
      <c r="Q419" t="s">
        <v>74</v>
      </c>
      <c r="R419">
        <v>0</v>
      </c>
    </row>
    <row r="420" spans="1:18" x14ac:dyDescent="0.3">
      <c r="A420" t="s">
        <v>1131</v>
      </c>
      <c r="B420" s="1">
        <v>45787</v>
      </c>
      <c r="C420" t="s">
        <v>71</v>
      </c>
      <c r="D420" t="s">
        <v>39</v>
      </c>
      <c r="E420">
        <v>26</v>
      </c>
      <c r="F420" t="s">
        <v>30</v>
      </c>
      <c r="G420" t="s">
        <v>57</v>
      </c>
      <c r="H420" t="s">
        <v>22</v>
      </c>
      <c r="I420" t="s">
        <v>84</v>
      </c>
      <c r="J420" t="s">
        <v>72</v>
      </c>
      <c r="K420">
        <v>3</v>
      </c>
      <c r="L420" s="4">
        <v>25900</v>
      </c>
      <c r="M420">
        <v>20</v>
      </c>
      <c r="N420" s="4">
        <v>62160</v>
      </c>
      <c r="O420" t="s">
        <v>85</v>
      </c>
      <c r="Q420" t="s">
        <v>26</v>
      </c>
      <c r="R420">
        <v>0</v>
      </c>
    </row>
    <row r="421" spans="1:18" x14ac:dyDescent="0.3">
      <c r="A421" t="s">
        <v>1133</v>
      </c>
      <c r="B421" s="1">
        <v>45951</v>
      </c>
      <c r="C421" t="s">
        <v>121</v>
      </c>
      <c r="D421" t="s">
        <v>39</v>
      </c>
      <c r="E421">
        <v>41</v>
      </c>
      <c r="F421" t="s">
        <v>30</v>
      </c>
      <c r="G421" t="s">
        <v>57</v>
      </c>
      <c r="H421" t="s">
        <v>62</v>
      </c>
      <c r="I421" t="s">
        <v>140</v>
      </c>
      <c r="J421" t="s">
        <v>64</v>
      </c>
      <c r="K421">
        <v>2</v>
      </c>
      <c r="L421" s="4">
        <v>30400</v>
      </c>
      <c r="M421">
        <v>20</v>
      </c>
      <c r="N421" s="4">
        <v>48640</v>
      </c>
      <c r="O421" t="s">
        <v>25</v>
      </c>
      <c r="P421">
        <v>2</v>
      </c>
      <c r="Q421" t="s">
        <v>41</v>
      </c>
      <c r="R421">
        <v>1</v>
      </c>
    </row>
    <row r="422" spans="1:18" x14ac:dyDescent="0.3">
      <c r="A422" t="s">
        <v>1135</v>
      </c>
      <c r="B422" s="1">
        <v>46104</v>
      </c>
      <c r="C422" t="s">
        <v>113</v>
      </c>
      <c r="D422" t="s">
        <v>3292</v>
      </c>
      <c r="E422">
        <v>43</v>
      </c>
      <c r="F422" t="s">
        <v>61</v>
      </c>
      <c r="G422" t="s">
        <v>61</v>
      </c>
      <c r="H422" t="s">
        <v>62</v>
      </c>
      <c r="I422" t="s">
        <v>63</v>
      </c>
      <c r="J422" t="s">
        <v>80</v>
      </c>
      <c r="K422">
        <v>4</v>
      </c>
      <c r="L422" s="4">
        <v>15100</v>
      </c>
      <c r="M422">
        <v>25</v>
      </c>
      <c r="N422" s="4">
        <v>45300</v>
      </c>
      <c r="O422" t="s">
        <v>25</v>
      </c>
      <c r="Q422" t="s">
        <v>41</v>
      </c>
      <c r="R422">
        <v>1</v>
      </c>
    </row>
    <row r="423" spans="1:18" x14ac:dyDescent="0.3">
      <c r="A423" t="s">
        <v>1138</v>
      </c>
      <c r="B423" s="1">
        <v>46269</v>
      </c>
      <c r="C423" t="s">
        <v>38</v>
      </c>
      <c r="D423" t="s">
        <v>3292</v>
      </c>
      <c r="E423">
        <v>52</v>
      </c>
      <c r="F423" t="s">
        <v>51</v>
      </c>
      <c r="G423" t="s">
        <v>52</v>
      </c>
      <c r="H423" t="s">
        <v>22</v>
      </c>
      <c r="I423" t="s">
        <v>84</v>
      </c>
      <c r="J423" t="s">
        <v>34</v>
      </c>
      <c r="K423">
        <v>1</v>
      </c>
      <c r="L423" s="4">
        <v>40100</v>
      </c>
      <c r="M423">
        <v>15</v>
      </c>
      <c r="N423" s="4">
        <v>34085</v>
      </c>
      <c r="O423" t="s">
        <v>85</v>
      </c>
      <c r="Q423" t="s">
        <v>74</v>
      </c>
      <c r="R423">
        <v>0</v>
      </c>
    </row>
    <row r="424" spans="1:18" x14ac:dyDescent="0.3">
      <c r="A424" t="s">
        <v>1140</v>
      </c>
      <c r="B424" s="1">
        <v>46163</v>
      </c>
      <c r="C424" t="s">
        <v>94</v>
      </c>
      <c r="D424" t="s">
        <v>20</v>
      </c>
      <c r="E424">
        <v>62</v>
      </c>
      <c r="F424" t="s">
        <v>21</v>
      </c>
      <c r="G424" t="s">
        <v>21</v>
      </c>
      <c r="H424" t="s">
        <v>32</v>
      </c>
      <c r="I424" t="s">
        <v>33</v>
      </c>
      <c r="J424" t="s">
        <v>24</v>
      </c>
      <c r="K424">
        <v>3</v>
      </c>
      <c r="L424" s="4">
        <v>33500</v>
      </c>
      <c r="M424">
        <v>0</v>
      </c>
      <c r="N424" s="4">
        <v>100500</v>
      </c>
      <c r="O424" t="s">
        <v>85</v>
      </c>
      <c r="P424">
        <v>3</v>
      </c>
      <c r="Q424" t="s">
        <v>65</v>
      </c>
      <c r="R424">
        <v>0</v>
      </c>
    </row>
    <row r="425" spans="1:18" x14ac:dyDescent="0.3">
      <c r="A425" t="s">
        <v>1141</v>
      </c>
      <c r="B425" s="1">
        <v>45763</v>
      </c>
      <c r="C425" t="s">
        <v>38</v>
      </c>
      <c r="D425" t="s">
        <v>39</v>
      </c>
      <c r="E425">
        <v>18</v>
      </c>
      <c r="F425" t="s">
        <v>51</v>
      </c>
      <c r="G425" t="s">
        <v>104</v>
      </c>
      <c r="H425" t="s">
        <v>32</v>
      </c>
      <c r="I425" t="s">
        <v>53</v>
      </c>
      <c r="J425" t="s">
        <v>80</v>
      </c>
      <c r="K425">
        <v>6</v>
      </c>
      <c r="L425" s="4">
        <v>30000</v>
      </c>
      <c r="M425">
        <v>25</v>
      </c>
      <c r="N425" s="4">
        <v>135000</v>
      </c>
      <c r="O425" t="s">
        <v>85</v>
      </c>
      <c r="P425">
        <v>3</v>
      </c>
      <c r="Q425" t="s">
        <v>65</v>
      </c>
      <c r="R425">
        <v>0</v>
      </c>
    </row>
    <row r="426" spans="1:18" x14ac:dyDescent="0.3">
      <c r="A426" t="s">
        <v>1143</v>
      </c>
      <c r="B426" s="1">
        <v>45682</v>
      </c>
      <c r="C426" t="s">
        <v>113</v>
      </c>
      <c r="D426" t="s">
        <v>39</v>
      </c>
      <c r="E426">
        <v>21</v>
      </c>
      <c r="F426" t="s">
        <v>51</v>
      </c>
      <c r="G426" t="s">
        <v>52</v>
      </c>
      <c r="H426" t="s">
        <v>22</v>
      </c>
      <c r="I426" t="s">
        <v>84</v>
      </c>
      <c r="J426" t="s">
        <v>64</v>
      </c>
      <c r="K426">
        <v>8</v>
      </c>
      <c r="L426" s="4">
        <v>11300</v>
      </c>
      <c r="M426">
        <v>5</v>
      </c>
      <c r="N426" s="4">
        <v>85880</v>
      </c>
      <c r="O426" t="s">
        <v>85</v>
      </c>
      <c r="P426">
        <v>2</v>
      </c>
      <c r="Q426" t="s">
        <v>26</v>
      </c>
      <c r="R426">
        <v>0</v>
      </c>
    </row>
    <row r="427" spans="1:18" x14ac:dyDescent="0.3">
      <c r="A427" t="s">
        <v>1147</v>
      </c>
      <c r="B427" s="1">
        <v>46193</v>
      </c>
      <c r="C427" t="s">
        <v>29</v>
      </c>
      <c r="D427" t="s">
        <v>20</v>
      </c>
      <c r="E427">
        <v>49</v>
      </c>
      <c r="F427" t="s">
        <v>44</v>
      </c>
      <c r="G427" t="s">
        <v>45</v>
      </c>
      <c r="H427" t="s">
        <v>22</v>
      </c>
      <c r="I427" t="s">
        <v>84</v>
      </c>
      <c r="J427" t="s">
        <v>24</v>
      </c>
      <c r="K427">
        <v>7</v>
      </c>
      <c r="L427" s="4">
        <v>28000</v>
      </c>
      <c r="M427">
        <v>25</v>
      </c>
      <c r="N427" s="4">
        <v>147000</v>
      </c>
      <c r="O427" t="s">
        <v>25</v>
      </c>
      <c r="P427">
        <v>1</v>
      </c>
      <c r="Q427" t="s">
        <v>26</v>
      </c>
      <c r="R427">
        <v>0</v>
      </c>
    </row>
    <row r="428" spans="1:18" x14ac:dyDescent="0.3">
      <c r="A428" t="s">
        <v>1149</v>
      </c>
      <c r="B428" s="1">
        <v>45912</v>
      </c>
      <c r="C428" t="s">
        <v>88</v>
      </c>
      <c r="D428" t="s">
        <v>39</v>
      </c>
      <c r="E428">
        <v>56</v>
      </c>
      <c r="F428" t="s">
        <v>77</v>
      </c>
      <c r="G428" t="s">
        <v>78</v>
      </c>
      <c r="H428" t="s">
        <v>22</v>
      </c>
      <c r="I428" t="s">
        <v>84</v>
      </c>
      <c r="J428" t="s">
        <v>89</v>
      </c>
      <c r="K428">
        <v>1</v>
      </c>
      <c r="L428" s="4">
        <v>7200</v>
      </c>
      <c r="M428">
        <v>20</v>
      </c>
      <c r="N428" s="4">
        <v>5760</v>
      </c>
      <c r="O428" t="s">
        <v>73</v>
      </c>
      <c r="P428">
        <v>3</v>
      </c>
      <c r="Q428" t="s">
        <v>26</v>
      </c>
      <c r="R428">
        <v>0</v>
      </c>
    </row>
    <row r="429" spans="1:18" x14ac:dyDescent="0.3">
      <c r="A429" t="s">
        <v>1150</v>
      </c>
      <c r="B429" s="1">
        <v>46012</v>
      </c>
      <c r="C429" t="s">
        <v>88</v>
      </c>
      <c r="D429" t="s">
        <v>20</v>
      </c>
      <c r="E429">
        <v>29</v>
      </c>
      <c r="F429" t="s">
        <v>44</v>
      </c>
      <c r="G429" t="s">
        <v>100</v>
      </c>
      <c r="H429" t="s">
        <v>32</v>
      </c>
      <c r="I429" t="s">
        <v>33</v>
      </c>
      <c r="J429" t="s">
        <v>80</v>
      </c>
      <c r="K429">
        <v>2</v>
      </c>
      <c r="L429" s="4">
        <v>31900</v>
      </c>
      <c r="M429">
        <v>20</v>
      </c>
      <c r="N429" s="4">
        <v>51040</v>
      </c>
      <c r="O429" t="s">
        <v>85</v>
      </c>
      <c r="P429">
        <v>3</v>
      </c>
      <c r="Q429" t="s">
        <v>26</v>
      </c>
      <c r="R429">
        <v>0</v>
      </c>
    </row>
    <row r="430" spans="1:18" x14ac:dyDescent="0.3">
      <c r="A430" t="s">
        <v>1152</v>
      </c>
      <c r="B430" s="1">
        <v>45920</v>
      </c>
      <c r="C430" t="s">
        <v>94</v>
      </c>
      <c r="D430" t="s">
        <v>20</v>
      </c>
      <c r="E430">
        <v>31</v>
      </c>
      <c r="F430" t="s">
        <v>61</v>
      </c>
      <c r="G430" t="s">
        <v>61</v>
      </c>
      <c r="H430" t="s">
        <v>32</v>
      </c>
      <c r="I430" t="s">
        <v>53</v>
      </c>
      <c r="J430" t="s">
        <v>89</v>
      </c>
      <c r="K430">
        <v>1</v>
      </c>
      <c r="L430" s="4">
        <v>22400</v>
      </c>
      <c r="M430">
        <v>20</v>
      </c>
      <c r="N430" s="4">
        <v>17920</v>
      </c>
      <c r="O430" t="s">
        <v>85</v>
      </c>
      <c r="Q430" t="s">
        <v>26</v>
      </c>
      <c r="R430">
        <v>0</v>
      </c>
    </row>
    <row r="431" spans="1:18" x14ac:dyDescent="0.3">
      <c r="A431" t="s">
        <v>1154</v>
      </c>
      <c r="B431" s="1">
        <v>45936</v>
      </c>
      <c r="C431" t="s">
        <v>94</v>
      </c>
      <c r="D431" t="s">
        <v>20</v>
      </c>
      <c r="E431">
        <v>62</v>
      </c>
      <c r="F431" t="s">
        <v>61</v>
      </c>
      <c r="G431" t="s">
        <v>61</v>
      </c>
      <c r="H431" t="s">
        <v>46</v>
      </c>
      <c r="I431" t="s">
        <v>79</v>
      </c>
      <c r="J431" t="s">
        <v>80</v>
      </c>
      <c r="K431">
        <v>7</v>
      </c>
      <c r="L431" s="4">
        <v>13400</v>
      </c>
      <c r="M431">
        <v>15</v>
      </c>
      <c r="N431" s="4">
        <v>79730</v>
      </c>
      <c r="O431" t="s">
        <v>85</v>
      </c>
      <c r="P431">
        <v>3</v>
      </c>
      <c r="Q431" t="s">
        <v>74</v>
      </c>
      <c r="R431">
        <v>0</v>
      </c>
    </row>
    <row r="432" spans="1:18" x14ac:dyDescent="0.3">
      <c r="A432" t="s">
        <v>1156</v>
      </c>
      <c r="B432" s="1">
        <v>45852</v>
      </c>
      <c r="C432" t="s">
        <v>60</v>
      </c>
      <c r="D432" t="s">
        <v>39</v>
      </c>
      <c r="E432">
        <v>51</v>
      </c>
      <c r="F432" t="s">
        <v>51</v>
      </c>
      <c r="G432" t="s">
        <v>52</v>
      </c>
      <c r="H432" t="s">
        <v>22</v>
      </c>
      <c r="I432" t="s">
        <v>23</v>
      </c>
      <c r="J432" t="s">
        <v>80</v>
      </c>
      <c r="K432">
        <v>8</v>
      </c>
      <c r="L432" s="4">
        <v>3200</v>
      </c>
      <c r="M432">
        <v>15</v>
      </c>
      <c r="N432" s="4">
        <v>21760</v>
      </c>
      <c r="O432" t="s">
        <v>25</v>
      </c>
      <c r="P432">
        <v>1</v>
      </c>
      <c r="Q432" t="s">
        <v>65</v>
      </c>
      <c r="R432">
        <v>0</v>
      </c>
    </row>
    <row r="433" spans="1:18" x14ac:dyDescent="0.3">
      <c r="A433" t="s">
        <v>1158</v>
      </c>
      <c r="B433" s="1">
        <v>45889</v>
      </c>
      <c r="C433" t="s">
        <v>113</v>
      </c>
      <c r="D433" t="s">
        <v>3292</v>
      </c>
      <c r="E433">
        <v>64</v>
      </c>
      <c r="F433" t="s">
        <v>30</v>
      </c>
      <c r="G433" t="s">
        <v>31</v>
      </c>
      <c r="H433" t="s">
        <v>32</v>
      </c>
      <c r="I433" t="s">
        <v>33</v>
      </c>
      <c r="J433" t="s">
        <v>24</v>
      </c>
      <c r="K433">
        <v>9</v>
      </c>
      <c r="L433" s="4">
        <v>35600</v>
      </c>
      <c r="M433">
        <v>20</v>
      </c>
      <c r="N433" s="4">
        <v>256320</v>
      </c>
      <c r="O433" t="s">
        <v>85</v>
      </c>
      <c r="Q433" t="s">
        <v>74</v>
      </c>
      <c r="R433">
        <v>0</v>
      </c>
    </row>
    <row r="434" spans="1:18" x14ac:dyDescent="0.3">
      <c r="A434" t="s">
        <v>1160</v>
      </c>
      <c r="B434" s="1">
        <v>46128</v>
      </c>
      <c r="C434" t="s">
        <v>60</v>
      </c>
      <c r="D434" t="s">
        <v>20</v>
      </c>
      <c r="E434">
        <v>51</v>
      </c>
      <c r="F434" t="s">
        <v>77</v>
      </c>
      <c r="G434" t="s">
        <v>95</v>
      </c>
      <c r="H434" t="s">
        <v>62</v>
      </c>
      <c r="I434" t="s">
        <v>140</v>
      </c>
      <c r="J434" t="s">
        <v>80</v>
      </c>
      <c r="K434">
        <v>9</v>
      </c>
      <c r="L434" s="4">
        <v>38500</v>
      </c>
      <c r="M434">
        <v>25</v>
      </c>
      <c r="N434" s="4">
        <v>259875</v>
      </c>
      <c r="O434" t="s">
        <v>73</v>
      </c>
      <c r="P434">
        <v>5</v>
      </c>
      <c r="Q434" t="s">
        <v>74</v>
      </c>
      <c r="R434">
        <v>0</v>
      </c>
    </row>
    <row r="435" spans="1:18" x14ac:dyDescent="0.3">
      <c r="A435" t="s">
        <v>1164</v>
      </c>
      <c r="B435" s="1">
        <v>45916</v>
      </c>
      <c r="C435" t="s">
        <v>88</v>
      </c>
      <c r="D435" t="s">
        <v>3292</v>
      </c>
      <c r="E435">
        <v>60</v>
      </c>
      <c r="F435" t="s">
        <v>21</v>
      </c>
      <c r="G435" t="s">
        <v>21</v>
      </c>
      <c r="H435" t="s">
        <v>46</v>
      </c>
      <c r="I435" t="s">
        <v>79</v>
      </c>
      <c r="J435" t="s">
        <v>64</v>
      </c>
      <c r="K435">
        <v>9</v>
      </c>
      <c r="L435" s="4">
        <v>10500</v>
      </c>
      <c r="M435">
        <v>25</v>
      </c>
      <c r="N435" s="4">
        <v>70875</v>
      </c>
      <c r="O435" t="s">
        <v>73</v>
      </c>
      <c r="P435">
        <v>3</v>
      </c>
      <c r="Q435" t="s">
        <v>65</v>
      </c>
      <c r="R435">
        <v>0</v>
      </c>
    </row>
    <row r="436" spans="1:18" x14ac:dyDescent="0.3">
      <c r="A436" t="s">
        <v>1167</v>
      </c>
      <c r="B436" s="1">
        <v>45670</v>
      </c>
      <c r="C436" t="s">
        <v>60</v>
      </c>
      <c r="D436" t="s">
        <v>20</v>
      </c>
      <c r="E436">
        <v>20</v>
      </c>
      <c r="F436" t="s">
        <v>21</v>
      </c>
      <c r="G436" t="s">
        <v>21</v>
      </c>
      <c r="H436" t="s">
        <v>62</v>
      </c>
      <c r="I436" t="s">
        <v>140</v>
      </c>
      <c r="J436" t="s">
        <v>24</v>
      </c>
      <c r="K436">
        <v>7</v>
      </c>
      <c r="L436" s="4">
        <v>40800</v>
      </c>
      <c r="M436">
        <v>15</v>
      </c>
      <c r="N436" s="4">
        <v>242760</v>
      </c>
      <c r="O436" t="s">
        <v>25</v>
      </c>
      <c r="P436">
        <v>3</v>
      </c>
      <c r="Q436" t="s">
        <v>74</v>
      </c>
      <c r="R436">
        <v>0</v>
      </c>
    </row>
    <row r="437" spans="1:18" x14ac:dyDescent="0.3">
      <c r="A437" t="s">
        <v>1169</v>
      </c>
      <c r="B437" s="1">
        <v>46180</v>
      </c>
      <c r="C437" t="s">
        <v>94</v>
      </c>
      <c r="D437" t="s">
        <v>20</v>
      </c>
      <c r="E437">
        <v>65</v>
      </c>
      <c r="F437" t="s">
        <v>51</v>
      </c>
      <c r="G437" t="s">
        <v>104</v>
      </c>
      <c r="H437" t="s">
        <v>32</v>
      </c>
      <c r="I437" t="s">
        <v>53</v>
      </c>
      <c r="J437" t="s">
        <v>89</v>
      </c>
      <c r="K437">
        <v>7</v>
      </c>
      <c r="L437" s="4">
        <v>28700</v>
      </c>
      <c r="M437">
        <v>20</v>
      </c>
      <c r="N437" s="4">
        <v>160720</v>
      </c>
      <c r="O437" t="s">
        <v>25</v>
      </c>
      <c r="Q437" t="s">
        <v>74</v>
      </c>
      <c r="R437">
        <v>0</v>
      </c>
    </row>
    <row r="438" spans="1:18" x14ac:dyDescent="0.3">
      <c r="A438" t="s">
        <v>1171</v>
      </c>
      <c r="B438" s="1">
        <v>45935</v>
      </c>
      <c r="C438" t="s">
        <v>19</v>
      </c>
      <c r="D438" t="s">
        <v>20</v>
      </c>
      <c r="E438">
        <v>41</v>
      </c>
      <c r="F438" t="s">
        <v>30</v>
      </c>
      <c r="G438" t="s">
        <v>31</v>
      </c>
      <c r="H438" t="s">
        <v>32</v>
      </c>
      <c r="I438" t="s">
        <v>53</v>
      </c>
      <c r="J438" t="s">
        <v>72</v>
      </c>
      <c r="K438">
        <v>3</v>
      </c>
      <c r="L438" s="4">
        <v>44800</v>
      </c>
      <c r="M438">
        <v>5</v>
      </c>
      <c r="N438" s="4">
        <v>127680</v>
      </c>
      <c r="O438" t="s">
        <v>85</v>
      </c>
      <c r="P438">
        <v>4</v>
      </c>
      <c r="Q438" t="s">
        <v>26</v>
      </c>
      <c r="R438">
        <v>0</v>
      </c>
    </row>
    <row r="439" spans="1:18" x14ac:dyDescent="0.3">
      <c r="A439" t="s">
        <v>1173</v>
      </c>
      <c r="B439" s="1">
        <v>45667</v>
      </c>
      <c r="C439" t="s">
        <v>19</v>
      </c>
      <c r="D439" t="s">
        <v>3292</v>
      </c>
      <c r="E439">
        <v>59</v>
      </c>
      <c r="F439" t="s">
        <v>44</v>
      </c>
      <c r="G439" t="s">
        <v>100</v>
      </c>
      <c r="H439" t="s">
        <v>22</v>
      </c>
      <c r="I439" t="s">
        <v>23</v>
      </c>
      <c r="J439" t="s">
        <v>24</v>
      </c>
      <c r="K439">
        <v>6</v>
      </c>
      <c r="L439" s="4">
        <v>33200</v>
      </c>
      <c r="M439">
        <v>15</v>
      </c>
      <c r="N439" s="4">
        <v>169320</v>
      </c>
      <c r="O439" t="s">
        <v>25</v>
      </c>
      <c r="P439">
        <v>3</v>
      </c>
      <c r="Q439" t="s">
        <v>26</v>
      </c>
      <c r="R439">
        <v>0</v>
      </c>
    </row>
    <row r="440" spans="1:18" x14ac:dyDescent="0.3">
      <c r="A440" t="s">
        <v>1175</v>
      </c>
      <c r="B440" s="1">
        <v>45902</v>
      </c>
      <c r="C440" t="s">
        <v>38</v>
      </c>
      <c r="D440" t="s">
        <v>39</v>
      </c>
      <c r="E440">
        <v>29</v>
      </c>
      <c r="F440" t="s">
        <v>21</v>
      </c>
      <c r="G440" t="s">
        <v>21</v>
      </c>
      <c r="H440" t="s">
        <v>62</v>
      </c>
      <c r="I440" t="s">
        <v>63</v>
      </c>
      <c r="J440" t="s">
        <v>89</v>
      </c>
      <c r="K440">
        <v>1</v>
      </c>
      <c r="L440" s="4">
        <v>13900</v>
      </c>
      <c r="M440">
        <v>0</v>
      </c>
      <c r="N440" s="4">
        <v>13900</v>
      </c>
      <c r="O440" t="s">
        <v>85</v>
      </c>
      <c r="Q440" t="s">
        <v>74</v>
      </c>
      <c r="R440">
        <v>0</v>
      </c>
    </row>
    <row r="441" spans="1:18" x14ac:dyDescent="0.3">
      <c r="A441" t="s">
        <v>1176</v>
      </c>
      <c r="B441" s="1">
        <v>45850</v>
      </c>
      <c r="C441" t="s">
        <v>68</v>
      </c>
      <c r="D441" t="s">
        <v>20</v>
      </c>
      <c r="E441">
        <v>43</v>
      </c>
      <c r="F441" t="s">
        <v>44</v>
      </c>
      <c r="G441" t="s">
        <v>100</v>
      </c>
      <c r="H441" t="s">
        <v>32</v>
      </c>
      <c r="I441" t="s">
        <v>53</v>
      </c>
      <c r="J441" t="s">
        <v>34</v>
      </c>
      <c r="K441">
        <v>10</v>
      </c>
      <c r="L441" s="4">
        <v>18200</v>
      </c>
      <c r="M441">
        <v>10</v>
      </c>
      <c r="N441" s="4">
        <v>163800</v>
      </c>
      <c r="O441" t="s">
        <v>85</v>
      </c>
      <c r="P441">
        <v>4</v>
      </c>
      <c r="Q441" t="s">
        <v>65</v>
      </c>
      <c r="R441">
        <v>0</v>
      </c>
    </row>
    <row r="442" spans="1:18" x14ac:dyDescent="0.3">
      <c r="A442" t="s">
        <v>1178</v>
      </c>
      <c r="B442" s="1">
        <v>45778</v>
      </c>
      <c r="C442" t="s">
        <v>38</v>
      </c>
      <c r="D442" t="s">
        <v>39</v>
      </c>
      <c r="E442">
        <v>22</v>
      </c>
      <c r="F442" t="s">
        <v>77</v>
      </c>
      <c r="G442" t="s">
        <v>95</v>
      </c>
      <c r="H442" t="s">
        <v>62</v>
      </c>
      <c r="I442" t="s">
        <v>140</v>
      </c>
      <c r="J442" t="s">
        <v>80</v>
      </c>
      <c r="K442">
        <v>10</v>
      </c>
      <c r="L442" s="4">
        <v>27900</v>
      </c>
      <c r="M442">
        <v>5</v>
      </c>
      <c r="N442" s="4">
        <v>265050</v>
      </c>
      <c r="O442" t="s">
        <v>85</v>
      </c>
      <c r="P442">
        <v>2</v>
      </c>
      <c r="Q442" t="s">
        <v>41</v>
      </c>
      <c r="R442">
        <v>1</v>
      </c>
    </row>
    <row r="443" spans="1:18" x14ac:dyDescent="0.3">
      <c r="A443" t="s">
        <v>1180</v>
      </c>
      <c r="B443" s="1">
        <v>45902</v>
      </c>
      <c r="C443" t="s">
        <v>29</v>
      </c>
      <c r="D443" t="s">
        <v>3292</v>
      </c>
      <c r="E443">
        <v>47</v>
      </c>
      <c r="F443" t="s">
        <v>21</v>
      </c>
      <c r="G443" t="s">
        <v>21</v>
      </c>
      <c r="H443" t="s">
        <v>22</v>
      </c>
      <c r="I443" t="s">
        <v>84</v>
      </c>
      <c r="J443" t="s">
        <v>72</v>
      </c>
      <c r="K443">
        <v>6</v>
      </c>
      <c r="L443" s="4">
        <v>40300</v>
      </c>
      <c r="M443">
        <v>5</v>
      </c>
      <c r="N443" s="4">
        <v>229710</v>
      </c>
      <c r="O443" t="s">
        <v>85</v>
      </c>
      <c r="P443">
        <v>4</v>
      </c>
      <c r="Q443" t="s">
        <v>65</v>
      </c>
      <c r="R443">
        <v>0</v>
      </c>
    </row>
    <row r="444" spans="1:18" x14ac:dyDescent="0.3">
      <c r="A444" t="s">
        <v>1181</v>
      </c>
      <c r="B444" s="1">
        <v>46161</v>
      </c>
      <c r="C444" t="s">
        <v>71</v>
      </c>
      <c r="D444" t="s">
        <v>20</v>
      </c>
      <c r="E444">
        <v>49</v>
      </c>
      <c r="F444" t="s">
        <v>77</v>
      </c>
      <c r="G444" t="s">
        <v>95</v>
      </c>
      <c r="H444" t="s">
        <v>46</v>
      </c>
      <c r="I444" t="s">
        <v>79</v>
      </c>
      <c r="J444" t="s">
        <v>24</v>
      </c>
      <c r="K444">
        <v>8</v>
      </c>
      <c r="L444" s="4">
        <v>3300</v>
      </c>
      <c r="M444">
        <v>15</v>
      </c>
      <c r="N444" s="4">
        <v>22440</v>
      </c>
      <c r="O444" t="s">
        <v>25</v>
      </c>
      <c r="P444">
        <v>1</v>
      </c>
      <c r="Q444" t="s">
        <v>26</v>
      </c>
      <c r="R444">
        <v>0</v>
      </c>
    </row>
    <row r="445" spans="1:18" x14ac:dyDescent="0.3">
      <c r="A445" t="s">
        <v>1182</v>
      </c>
      <c r="B445" s="1">
        <v>45712</v>
      </c>
      <c r="C445" t="s">
        <v>38</v>
      </c>
      <c r="D445" t="s">
        <v>39</v>
      </c>
      <c r="E445">
        <v>22</v>
      </c>
      <c r="F445" t="s">
        <v>51</v>
      </c>
      <c r="G445" t="s">
        <v>104</v>
      </c>
      <c r="H445" t="s">
        <v>46</v>
      </c>
      <c r="I445" t="s">
        <v>47</v>
      </c>
      <c r="J445" t="s">
        <v>72</v>
      </c>
      <c r="K445">
        <v>1</v>
      </c>
      <c r="L445" s="4">
        <v>21700</v>
      </c>
      <c r="M445">
        <v>20</v>
      </c>
      <c r="N445" s="4">
        <v>17360</v>
      </c>
      <c r="O445" t="s">
        <v>85</v>
      </c>
      <c r="P445">
        <v>1</v>
      </c>
      <c r="Q445" t="s">
        <v>26</v>
      </c>
      <c r="R445">
        <v>0</v>
      </c>
    </row>
    <row r="446" spans="1:18" x14ac:dyDescent="0.3">
      <c r="A446" t="s">
        <v>1184</v>
      </c>
      <c r="B446" s="1">
        <v>46131</v>
      </c>
      <c r="C446" t="s">
        <v>94</v>
      </c>
      <c r="D446" t="s">
        <v>20</v>
      </c>
      <c r="E446">
        <v>38</v>
      </c>
      <c r="F446" t="s">
        <v>30</v>
      </c>
      <c r="G446" t="s">
        <v>57</v>
      </c>
      <c r="H446" t="s">
        <v>62</v>
      </c>
      <c r="I446" t="s">
        <v>63</v>
      </c>
      <c r="J446" t="s">
        <v>72</v>
      </c>
      <c r="K446">
        <v>9</v>
      </c>
      <c r="L446" s="4">
        <v>49100</v>
      </c>
      <c r="M446">
        <v>0</v>
      </c>
      <c r="N446" s="4">
        <v>441900</v>
      </c>
      <c r="O446" t="s">
        <v>85</v>
      </c>
      <c r="P446">
        <v>4</v>
      </c>
      <c r="Q446" t="s">
        <v>74</v>
      </c>
      <c r="R446">
        <v>0</v>
      </c>
    </row>
    <row r="447" spans="1:18" x14ac:dyDescent="0.3">
      <c r="A447" t="s">
        <v>1186</v>
      </c>
      <c r="B447" s="1">
        <v>45903</v>
      </c>
      <c r="C447" t="s">
        <v>38</v>
      </c>
      <c r="D447" t="s">
        <v>3292</v>
      </c>
      <c r="E447">
        <v>65</v>
      </c>
      <c r="F447" t="s">
        <v>77</v>
      </c>
      <c r="G447" t="s">
        <v>78</v>
      </c>
      <c r="H447" t="s">
        <v>46</v>
      </c>
      <c r="I447" t="s">
        <v>47</v>
      </c>
      <c r="J447" t="s">
        <v>80</v>
      </c>
      <c r="K447">
        <v>9</v>
      </c>
      <c r="L447" s="4">
        <v>39200</v>
      </c>
      <c r="M447">
        <v>20</v>
      </c>
      <c r="N447" s="4">
        <v>282240</v>
      </c>
      <c r="O447" t="s">
        <v>85</v>
      </c>
      <c r="Q447" t="s">
        <v>74</v>
      </c>
      <c r="R447">
        <v>0</v>
      </c>
    </row>
    <row r="448" spans="1:18" x14ac:dyDescent="0.3">
      <c r="A448" t="s">
        <v>1187</v>
      </c>
      <c r="B448" s="1">
        <v>46005</v>
      </c>
      <c r="C448" t="s">
        <v>19</v>
      </c>
      <c r="D448" t="s">
        <v>20</v>
      </c>
      <c r="E448">
        <v>48</v>
      </c>
      <c r="F448" t="s">
        <v>61</v>
      </c>
      <c r="G448" t="s">
        <v>61</v>
      </c>
      <c r="H448" t="s">
        <v>22</v>
      </c>
      <c r="I448" t="s">
        <v>84</v>
      </c>
      <c r="J448" t="s">
        <v>34</v>
      </c>
      <c r="K448">
        <v>7</v>
      </c>
      <c r="L448" s="4">
        <v>41200</v>
      </c>
      <c r="M448">
        <v>25</v>
      </c>
      <c r="N448" s="4">
        <v>216300</v>
      </c>
      <c r="O448" t="s">
        <v>85</v>
      </c>
      <c r="P448">
        <v>2</v>
      </c>
      <c r="Q448" t="s">
        <v>41</v>
      </c>
      <c r="R448">
        <v>1</v>
      </c>
    </row>
    <row r="449" spans="1:18" x14ac:dyDescent="0.3">
      <c r="A449" t="s">
        <v>1190</v>
      </c>
      <c r="B449" s="1">
        <v>45823</v>
      </c>
      <c r="C449" t="s">
        <v>38</v>
      </c>
      <c r="D449" t="s">
        <v>20</v>
      </c>
      <c r="E449">
        <v>53</v>
      </c>
      <c r="F449" t="s">
        <v>51</v>
      </c>
      <c r="G449" t="s">
        <v>104</v>
      </c>
      <c r="H449" t="s">
        <v>22</v>
      </c>
      <c r="I449" t="s">
        <v>23</v>
      </c>
      <c r="J449" t="s">
        <v>24</v>
      </c>
      <c r="K449">
        <v>6</v>
      </c>
      <c r="L449" s="4">
        <v>19300</v>
      </c>
      <c r="M449">
        <v>15</v>
      </c>
      <c r="N449" s="4">
        <v>98430</v>
      </c>
      <c r="O449" t="s">
        <v>73</v>
      </c>
      <c r="P449">
        <v>1</v>
      </c>
      <c r="Q449" t="s">
        <v>74</v>
      </c>
      <c r="R449">
        <v>0</v>
      </c>
    </row>
    <row r="450" spans="1:18" x14ac:dyDescent="0.3">
      <c r="A450" t="s">
        <v>1191</v>
      </c>
      <c r="B450" s="1">
        <v>45806</v>
      </c>
      <c r="C450" t="s">
        <v>121</v>
      </c>
      <c r="D450" t="s">
        <v>20</v>
      </c>
      <c r="E450">
        <v>18</v>
      </c>
      <c r="F450" t="s">
        <v>30</v>
      </c>
      <c r="G450" t="s">
        <v>31</v>
      </c>
      <c r="H450" t="s">
        <v>22</v>
      </c>
      <c r="I450" t="s">
        <v>23</v>
      </c>
      <c r="J450" t="s">
        <v>80</v>
      </c>
      <c r="K450">
        <v>3</v>
      </c>
      <c r="L450" s="4">
        <v>17800</v>
      </c>
      <c r="M450">
        <v>15</v>
      </c>
      <c r="N450" s="4">
        <v>45390</v>
      </c>
      <c r="O450" t="s">
        <v>85</v>
      </c>
      <c r="P450">
        <v>1</v>
      </c>
      <c r="Q450" t="s">
        <v>65</v>
      </c>
      <c r="R450">
        <v>0</v>
      </c>
    </row>
    <row r="451" spans="1:18" x14ac:dyDescent="0.3">
      <c r="A451" t="s">
        <v>1194</v>
      </c>
      <c r="B451" s="1">
        <v>45826</v>
      </c>
      <c r="C451" t="s">
        <v>113</v>
      </c>
      <c r="D451" t="s">
        <v>39</v>
      </c>
      <c r="E451">
        <v>33</v>
      </c>
      <c r="F451" t="s">
        <v>77</v>
      </c>
      <c r="G451" t="s">
        <v>78</v>
      </c>
      <c r="H451" t="s">
        <v>62</v>
      </c>
      <c r="I451" t="s">
        <v>140</v>
      </c>
      <c r="J451" t="s">
        <v>89</v>
      </c>
      <c r="K451">
        <v>7</v>
      </c>
      <c r="L451" s="4">
        <v>12700</v>
      </c>
      <c r="M451">
        <v>5</v>
      </c>
      <c r="N451" s="4">
        <v>84455</v>
      </c>
      <c r="O451" t="s">
        <v>85</v>
      </c>
      <c r="P451">
        <v>2</v>
      </c>
      <c r="Q451" t="s">
        <v>74</v>
      </c>
      <c r="R451">
        <v>0</v>
      </c>
    </row>
    <row r="452" spans="1:18" x14ac:dyDescent="0.3">
      <c r="A452" t="s">
        <v>1195</v>
      </c>
      <c r="B452" s="1">
        <v>46022</v>
      </c>
      <c r="C452" t="s">
        <v>121</v>
      </c>
      <c r="D452" t="s">
        <v>20</v>
      </c>
      <c r="E452">
        <v>32</v>
      </c>
      <c r="F452" t="s">
        <v>21</v>
      </c>
      <c r="G452" t="s">
        <v>21</v>
      </c>
      <c r="H452" t="s">
        <v>22</v>
      </c>
      <c r="I452" t="s">
        <v>84</v>
      </c>
      <c r="J452" t="s">
        <v>72</v>
      </c>
      <c r="K452">
        <v>9</v>
      </c>
      <c r="L452" s="4">
        <v>7900</v>
      </c>
      <c r="M452">
        <v>0</v>
      </c>
      <c r="N452" s="4">
        <v>71100</v>
      </c>
      <c r="O452" t="s">
        <v>73</v>
      </c>
      <c r="Q452" t="s">
        <v>26</v>
      </c>
      <c r="R452">
        <v>0</v>
      </c>
    </row>
    <row r="453" spans="1:18" x14ac:dyDescent="0.3">
      <c r="A453" t="s">
        <v>1197</v>
      </c>
      <c r="B453" s="1">
        <v>45751</v>
      </c>
      <c r="C453" t="s">
        <v>94</v>
      </c>
      <c r="D453" t="s">
        <v>39</v>
      </c>
      <c r="E453">
        <v>37</v>
      </c>
      <c r="F453" t="s">
        <v>30</v>
      </c>
      <c r="G453" t="s">
        <v>57</v>
      </c>
      <c r="H453" t="s">
        <v>62</v>
      </c>
      <c r="I453" t="s">
        <v>140</v>
      </c>
      <c r="J453" t="s">
        <v>72</v>
      </c>
      <c r="K453">
        <v>8</v>
      </c>
      <c r="L453" s="4">
        <v>8000</v>
      </c>
      <c r="M453">
        <v>0</v>
      </c>
      <c r="N453" s="4">
        <v>64000</v>
      </c>
      <c r="O453" t="s">
        <v>73</v>
      </c>
      <c r="P453">
        <v>4</v>
      </c>
      <c r="Q453" t="s">
        <v>26</v>
      </c>
      <c r="R453">
        <v>0</v>
      </c>
    </row>
    <row r="454" spans="1:18" x14ac:dyDescent="0.3">
      <c r="A454" t="s">
        <v>1199</v>
      </c>
      <c r="B454" s="1">
        <v>45788</v>
      </c>
      <c r="C454" t="s">
        <v>121</v>
      </c>
      <c r="D454" t="s">
        <v>3292</v>
      </c>
      <c r="E454">
        <v>27</v>
      </c>
      <c r="F454" t="s">
        <v>77</v>
      </c>
      <c r="G454" t="s">
        <v>95</v>
      </c>
      <c r="H454" t="s">
        <v>22</v>
      </c>
      <c r="I454" t="s">
        <v>84</v>
      </c>
      <c r="J454" t="s">
        <v>24</v>
      </c>
      <c r="K454">
        <v>8</v>
      </c>
      <c r="L454" s="4">
        <v>49200</v>
      </c>
      <c r="M454">
        <v>5</v>
      </c>
      <c r="N454" s="4">
        <v>373920</v>
      </c>
      <c r="O454" t="s">
        <v>25</v>
      </c>
      <c r="P454">
        <v>3</v>
      </c>
      <c r="Q454" t="s">
        <v>41</v>
      </c>
      <c r="R454">
        <v>1</v>
      </c>
    </row>
    <row r="455" spans="1:18" x14ac:dyDescent="0.3">
      <c r="A455" t="s">
        <v>1200</v>
      </c>
      <c r="B455" s="1">
        <v>45698</v>
      </c>
      <c r="C455" t="s">
        <v>19</v>
      </c>
      <c r="D455" t="s">
        <v>3292</v>
      </c>
      <c r="E455">
        <v>27</v>
      </c>
      <c r="F455" t="s">
        <v>21</v>
      </c>
      <c r="G455" t="s">
        <v>21</v>
      </c>
      <c r="H455" t="s">
        <v>46</v>
      </c>
      <c r="I455" t="s">
        <v>79</v>
      </c>
      <c r="J455" t="s">
        <v>80</v>
      </c>
      <c r="K455">
        <v>7</v>
      </c>
      <c r="L455" s="4">
        <v>23800</v>
      </c>
      <c r="M455">
        <v>15</v>
      </c>
      <c r="N455" s="4">
        <v>141610</v>
      </c>
      <c r="O455" t="s">
        <v>73</v>
      </c>
      <c r="P455">
        <v>1</v>
      </c>
      <c r="Q455" t="s">
        <v>26</v>
      </c>
      <c r="R455">
        <v>0</v>
      </c>
    </row>
    <row r="456" spans="1:18" x14ac:dyDescent="0.3">
      <c r="A456" t="s">
        <v>1202</v>
      </c>
      <c r="B456" s="1">
        <v>46081</v>
      </c>
      <c r="C456" t="s">
        <v>88</v>
      </c>
      <c r="D456" t="s">
        <v>39</v>
      </c>
      <c r="E456">
        <v>37</v>
      </c>
      <c r="F456" t="s">
        <v>61</v>
      </c>
      <c r="G456" t="s">
        <v>61</v>
      </c>
      <c r="H456" t="s">
        <v>46</v>
      </c>
      <c r="I456" t="s">
        <v>79</v>
      </c>
      <c r="J456" t="s">
        <v>80</v>
      </c>
      <c r="K456">
        <v>3</v>
      </c>
      <c r="L456" s="4">
        <v>24300</v>
      </c>
      <c r="M456">
        <v>0</v>
      </c>
      <c r="N456" s="4">
        <v>72900</v>
      </c>
      <c r="O456" t="s">
        <v>85</v>
      </c>
      <c r="P456">
        <v>5</v>
      </c>
      <c r="Q456" t="s">
        <v>26</v>
      </c>
      <c r="R456">
        <v>0</v>
      </c>
    </row>
    <row r="457" spans="1:18" x14ac:dyDescent="0.3">
      <c r="A457" t="s">
        <v>1208</v>
      </c>
      <c r="B457" s="1">
        <v>46025</v>
      </c>
      <c r="C457" t="s">
        <v>38</v>
      </c>
      <c r="D457" t="s">
        <v>3292</v>
      </c>
      <c r="E457">
        <v>61</v>
      </c>
      <c r="F457" t="s">
        <v>61</v>
      </c>
      <c r="G457" t="s">
        <v>61</v>
      </c>
      <c r="H457" t="s">
        <v>62</v>
      </c>
      <c r="I457" t="s">
        <v>140</v>
      </c>
      <c r="J457" t="s">
        <v>24</v>
      </c>
      <c r="K457">
        <v>6</v>
      </c>
      <c r="L457" s="4">
        <v>25700</v>
      </c>
      <c r="M457">
        <v>10</v>
      </c>
      <c r="N457" s="4">
        <v>138780</v>
      </c>
      <c r="O457" t="s">
        <v>73</v>
      </c>
      <c r="P457">
        <v>1</v>
      </c>
      <c r="Q457" t="s">
        <v>26</v>
      </c>
      <c r="R457">
        <v>0</v>
      </c>
    </row>
    <row r="458" spans="1:18" x14ac:dyDescent="0.3">
      <c r="A458" t="s">
        <v>1212</v>
      </c>
      <c r="B458" s="1">
        <v>45911</v>
      </c>
      <c r="C458" t="s">
        <v>68</v>
      </c>
      <c r="D458" t="s">
        <v>20</v>
      </c>
      <c r="E458">
        <v>23</v>
      </c>
      <c r="F458" t="s">
        <v>30</v>
      </c>
      <c r="G458" t="s">
        <v>57</v>
      </c>
      <c r="H458" t="s">
        <v>22</v>
      </c>
      <c r="I458" t="s">
        <v>23</v>
      </c>
      <c r="J458" t="s">
        <v>34</v>
      </c>
      <c r="K458">
        <v>8</v>
      </c>
      <c r="L458" s="4">
        <v>6500</v>
      </c>
      <c r="M458">
        <v>10</v>
      </c>
      <c r="N458" s="4">
        <v>46800</v>
      </c>
      <c r="O458" t="s">
        <v>85</v>
      </c>
      <c r="Q458" t="s">
        <v>41</v>
      </c>
      <c r="R458">
        <v>1</v>
      </c>
    </row>
    <row r="459" spans="1:18" x14ac:dyDescent="0.3">
      <c r="A459" t="s">
        <v>1214</v>
      </c>
      <c r="B459" s="1">
        <v>46054</v>
      </c>
      <c r="C459" t="s">
        <v>94</v>
      </c>
      <c r="D459" t="s">
        <v>3292</v>
      </c>
      <c r="E459">
        <v>27</v>
      </c>
      <c r="F459" t="s">
        <v>51</v>
      </c>
      <c r="G459" t="s">
        <v>52</v>
      </c>
      <c r="H459" t="s">
        <v>62</v>
      </c>
      <c r="I459" t="s">
        <v>63</v>
      </c>
      <c r="J459" t="s">
        <v>24</v>
      </c>
      <c r="K459">
        <v>7</v>
      </c>
      <c r="L459" s="4">
        <v>16200</v>
      </c>
      <c r="M459">
        <v>0</v>
      </c>
      <c r="N459" s="4">
        <v>113400</v>
      </c>
      <c r="O459" t="s">
        <v>73</v>
      </c>
      <c r="P459">
        <v>3</v>
      </c>
      <c r="Q459" t="s">
        <v>41</v>
      </c>
      <c r="R459">
        <v>1</v>
      </c>
    </row>
    <row r="460" spans="1:18" x14ac:dyDescent="0.3">
      <c r="A460" t="s">
        <v>1216</v>
      </c>
      <c r="B460" s="1">
        <v>45759</v>
      </c>
      <c r="C460" t="s">
        <v>38</v>
      </c>
      <c r="D460" t="s">
        <v>3292</v>
      </c>
      <c r="E460">
        <v>38</v>
      </c>
      <c r="F460" t="s">
        <v>51</v>
      </c>
      <c r="G460" t="s">
        <v>52</v>
      </c>
      <c r="H460" t="s">
        <v>46</v>
      </c>
      <c r="I460" t="s">
        <v>79</v>
      </c>
      <c r="J460" t="s">
        <v>89</v>
      </c>
      <c r="K460">
        <v>7</v>
      </c>
      <c r="L460" s="4">
        <v>7800</v>
      </c>
      <c r="M460">
        <v>5</v>
      </c>
      <c r="N460" s="4">
        <v>51870</v>
      </c>
      <c r="O460" t="s">
        <v>85</v>
      </c>
      <c r="Q460" t="s">
        <v>41</v>
      </c>
      <c r="R460">
        <v>1</v>
      </c>
    </row>
    <row r="461" spans="1:18" x14ac:dyDescent="0.3">
      <c r="A461" t="s">
        <v>1218</v>
      </c>
      <c r="B461" s="1">
        <v>45718</v>
      </c>
      <c r="C461" t="s">
        <v>68</v>
      </c>
      <c r="D461" t="s">
        <v>20</v>
      </c>
      <c r="E461">
        <v>32</v>
      </c>
      <c r="F461" t="s">
        <v>21</v>
      </c>
      <c r="G461" t="s">
        <v>21</v>
      </c>
      <c r="H461" t="s">
        <v>32</v>
      </c>
      <c r="I461" t="s">
        <v>53</v>
      </c>
      <c r="J461" t="s">
        <v>80</v>
      </c>
      <c r="K461">
        <v>6</v>
      </c>
      <c r="L461" s="4">
        <v>29500</v>
      </c>
      <c r="M461">
        <v>0</v>
      </c>
      <c r="N461" s="4">
        <v>177000</v>
      </c>
      <c r="O461" t="s">
        <v>73</v>
      </c>
      <c r="P461">
        <v>4</v>
      </c>
      <c r="Q461" t="s">
        <v>26</v>
      </c>
      <c r="R461">
        <v>0</v>
      </c>
    </row>
    <row r="462" spans="1:18" x14ac:dyDescent="0.3">
      <c r="A462" t="s">
        <v>1219</v>
      </c>
      <c r="B462" s="1">
        <v>45746</v>
      </c>
      <c r="C462" t="s">
        <v>19</v>
      </c>
      <c r="D462" t="s">
        <v>3292</v>
      </c>
      <c r="E462">
        <v>65</v>
      </c>
      <c r="F462" t="s">
        <v>51</v>
      </c>
      <c r="G462" t="s">
        <v>52</v>
      </c>
      <c r="H462" t="s">
        <v>22</v>
      </c>
      <c r="I462" t="s">
        <v>23</v>
      </c>
      <c r="J462" t="s">
        <v>72</v>
      </c>
      <c r="K462">
        <v>2</v>
      </c>
      <c r="L462" s="4">
        <v>43100</v>
      </c>
      <c r="M462">
        <v>10</v>
      </c>
      <c r="N462" s="4">
        <v>77580</v>
      </c>
      <c r="O462" t="s">
        <v>85</v>
      </c>
      <c r="Q462" t="s">
        <v>41</v>
      </c>
      <c r="R462">
        <v>1</v>
      </c>
    </row>
    <row r="463" spans="1:18" x14ac:dyDescent="0.3">
      <c r="A463" t="s">
        <v>1221</v>
      </c>
      <c r="B463" s="1">
        <v>45894</v>
      </c>
      <c r="C463" t="s">
        <v>68</v>
      </c>
      <c r="D463" t="s">
        <v>20</v>
      </c>
      <c r="E463">
        <v>40</v>
      </c>
      <c r="F463" t="s">
        <v>61</v>
      </c>
      <c r="G463" t="s">
        <v>61</v>
      </c>
      <c r="H463" t="s">
        <v>46</v>
      </c>
      <c r="I463" t="s">
        <v>47</v>
      </c>
      <c r="J463" t="s">
        <v>34</v>
      </c>
      <c r="K463">
        <v>6</v>
      </c>
      <c r="L463" s="4">
        <v>16200</v>
      </c>
      <c r="M463">
        <v>15</v>
      </c>
      <c r="N463" s="4">
        <v>82620</v>
      </c>
      <c r="O463" t="s">
        <v>73</v>
      </c>
      <c r="P463">
        <v>3</v>
      </c>
      <c r="Q463" t="s">
        <v>74</v>
      </c>
      <c r="R463">
        <v>0</v>
      </c>
    </row>
    <row r="464" spans="1:18" x14ac:dyDescent="0.3">
      <c r="A464" t="s">
        <v>1224</v>
      </c>
      <c r="B464" s="1">
        <v>45745</v>
      </c>
      <c r="C464" t="s">
        <v>71</v>
      </c>
      <c r="D464" t="s">
        <v>3292</v>
      </c>
      <c r="E464">
        <v>22</v>
      </c>
      <c r="F464" t="s">
        <v>30</v>
      </c>
      <c r="G464" t="s">
        <v>31</v>
      </c>
      <c r="H464" t="s">
        <v>62</v>
      </c>
      <c r="I464" t="s">
        <v>63</v>
      </c>
      <c r="J464" t="s">
        <v>89</v>
      </c>
      <c r="K464">
        <v>5</v>
      </c>
      <c r="L464" s="4">
        <v>24100</v>
      </c>
      <c r="M464">
        <v>20</v>
      </c>
      <c r="N464" s="4">
        <v>96400</v>
      </c>
      <c r="O464" t="s">
        <v>73</v>
      </c>
      <c r="P464">
        <v>4</v>
      </c>
      <c r="Q464" t="s">
        <v>65</v>
      </c>
      <c r="R464">
        <v>0</v>
      </c>
    </row>
    <row r="465" spans="1:18" x14ac:dyDescent="0.3">
      <c r="A465" t="s">
        <v>1226</v>
      </c>
      <c r="B465" s="1">
        <v>46097</v>
      </c>
      <c r="C465" t="s">
        <v>29</v>
      </c>
      <c r="D465" t="s">
        <v>39</v>
      </c>
      <c r="E465">
        <v>33</v>
      </c>
      <c r="F465" t="s">
        <v>51</v>
      </c>
      <c r="G465" t="s">
        <v>52</v>
      </c>
      <c r="H465" t="s">
        <v>32</v>
      </c>
      <c r="I465" t="s">
        <v>33</v>
      </c>
      <c r="J465" t="s">
        <v>34</v>
      </c>
      <c r="K465">
        <v>7</v>
      </c>
      <c r="L465" s="4">
        <v>19600</v>
      </c>
      <c r="M465">
        <v>15</v>
      </c>
      <c r="N465" s="4">
        <v>116620</v>
      </c>
      <c r="O465" t="s">
        <v>85</v>
      </c>
      <c r="Q465" t="s">
        <v>65</v>
      </c>
      <c r="R465">
        <v>0</v>
      </c>
    </row>
    <row r="466" spans="1:18" x14ac:dyDescent="0.3">
      <c r="A466" t="s">
        <v>1228</v>
      </c>
      <c r="B466" s="1">
        <v>45966</v>
      </c>
      <c r="C466" t="s">
        <v>60</v>
      </c>
      <c r="D466" t="s">
        <v>39</v>
      </c>
      <c r="E466">
        <v>32</v>
      </c>
      <c r="F466" t="s">
        <v>77</v>
      </c>
      <c r="G466" t="s">
        <v>95</v>
      </c>
      <c r="H466" t="s">
        <v>62</v>
      </c>
      <c r="I466" t="s">
        <v>63</v>
      </c>
      <c r="J466" t="s">
        <v>64</v>
      </c>
      <c r="K466">
        <v>9</v>
      </c>
      <c r="L466" s="4">
        <v>37800</v>
      </c>
      <c r="M466">
        <v>0</v>
      </c>
      <c r="N466" s="4">
        <v>340200</v>
      </c>
      <c r="O466" t="s">
        <v>85</v>
      </c>
      <c r="P466">
        <v>1</v>
      </c>
      <c r="Q466" t="s">
        <v>26</v>
      </c>
      <c r="R466">
        <v>0</v>
      </c>
    </row>
    <row r="467" spans="1:18" x14ac:dyDescent="0.3">
      <c r="A467" t="s">
        <v>1230</v>
      </c>
      <c r="B467" s="1">
        <v>46123</v>
      </c>
      <c r="C467" t="s">
        <v>68</v>
      </c>
      <c r="D467" t="s">
        <v>20</v>
      </c>
      <c r="E467">
        <v>57</v>
      </c>
      <c r="F467" t="s">
        <v>77</v>
      </c>
      <c r="G467" t="s">
        <v>78</v>
      </c>
      <c r="H467" t="s">
        <v>46</v>
      </c>
      <c r="I467" t="s">
        <v>47</v>
      </c>
      <c r="J467" t="s">
        <v>24</v>
      </c>
      <c r="K467">
        <v>5</v>
      </c>
      <c r="L467" s="4">
        <v>4300</v>
      </c>
      <c r="M467">
        <v>0</v>
      </c>
      <c r="N467" s="4">
        <v>21500</v>
      </c>
      <c r="O467" t="s">
        <v>73</v>
      </c>
      <c r="P467">
        <v>2</v>
      </c>
      <c r="Q467" t="s">
        <v>74</v>
      </c>
      <c r="R467">
        <v>0</v>
      </c>
    </row>
    <row r="468" spans="1:18" x14ac:dyDescent="0.3">
      <c r="A468" t="s">
        <v>1232</v>
      </c>
      <c r="B468" s="1">
        <v>45872</v>
      </c>
      <c r="C468" t="s">
        <v>121</v>
      </c>
      <c r="D468" t="s">
        <v>39</v>
      </c>
      <c r="E468">
        <v>32</v>
      </c>
      <c r="F468" t="s">
        <v>61</v>
      </c>
      <c r="G468" t="s">
        <v>61</v>
      </c>
      <c r="H468" t="s">
        <v>62</v>
      </c>
      <c r="I468" t="s">
        <v>140</v>
      </c>
      <c r="J468" t="s">
        <v>34</v>
      </c>
      <c r="K468">
        <v>2</v>
      </c>
      <c r="L468" s="4">
        <v>42100</v>
      </c>
      <c r="M468">
        <v>0</v>
      </c>
      <c r="N468" s="4">
        <v>84200</v>
      </c>
      <c r="O468" t="s">
        <v>25</v>
      </c>
      <c r="P468">
        <v>3</v>
      </c>
      <c r="Q468" t="s">
        <v>41</v>
      </c>
      <c r="R468">
        <v>1</v>
      </c>
    </row>
    <row r="469" spans="1:18" x14ac:dyDescent="0.3">
      <c r="A469" t="s">
        <v>1234</v>
      </c>
      <c r="B469" s="1">
        <v>46358</v>
      </c>
      <c r="C469" t="s">
        <v>19</v>
      </c>
      <c r="D469" t="s">
        <v>3292</v>
      </c>
      <c r="E469">
        <v>65</v>
      </c>
      <c r="F469" t="s">
        <v>61</v>
      </c>
      <c r="G469" t="s">
        <v>61</v>
      </c>
      <c r="H469" t="s">
        <v>62</v>
      </c>
      <c r="I469" t="s">
        <v>63</v>
      </c>
      <c r="J469" t="s">
        <v>89</v>
      </c>
      <c r="K469">
        <v>6</v>
      </c>
      <c r="L469" s="4">
        <v>16700</v>
      </c>
      <c r="M469">
        <v>10</v>
      </c>
      <c r="N469" s="4">
        <v>90180</v>
      </c>
      <c r="O469" t="s">
        <v>73</v>
      </c>
      <c r="Q469" t="s">
        <v>26</v>
      </c>
      <c r="R469">
        <v>0</v>
      </c>
    </row>
    <row r="470" spans="1:18" x14ac:dyDescent="0.3">
      <c r="A470" t="s">
        <v>1236</v>
      </c>
      <c r="B470" s="1">
        <v>46032</v>
      </c>
      <c r="C470" t="s">
        <v>29</v>
      </c>
      <c r="D470" t="s">
        <v>3292</v>
      </c>
      <c r="E470">
        <v>58</v>
      </c>
      <c r="F470" t="s">
        <v>30</v>
      </c>
      <c r="G470" t="s">
        <v>31</v>
      </c>
      <c r="H470" t="s">
        <v>22</v>
      </c>
      <c r="I470" t="s">
        <v>23</v>
      </c>
      <c r="J470" t="s">
        <v>64</v>
      </c>
      <c r="K470">
        <v>5</v>
      </c>
      <c r="L470" s="4">
        <v>18500</v>
      </c>
      <c r="M470">
        <v>25</v>
      </c>
      <c r="N470" s="4">
        <v>69375</v>
      </c>
      <c r="O470" t="s">
        <v>85</v>
      </c>
      <c r="P470">
        <v>1</v>
      </c>
      <c r="Q470" t="s">
        <v>41</v>
      </c>
      <c r="R470">
        <v>1</v>
      </c>
    </row>
    <row r="471" spans="1:18" x14ac:dyDescent="0.3">
      <c r="A471" t="s">
        <v>1243</v>
      </c>
      <c r="B471" s="1">
        <v>45689</v>
      </c>
      <c r="C471" t="s">
        <v>94</v>
      </c>
      <c r="D471" t="s">
        <v>20</v>
      </c>
      <c r="E471">
        <v>51</v>
      </c>
      <c r="F471" t="s">
        <v>44</v>
      </c>
      <c r="G471" t="s">
        <v>45</v>
      </c>
      <c r="H471" t="s">
        <v>32</v>
      </c>
      <c r="I471" t="s">
        <v>53</v>
      </c>
      <c r="J471" t="s">
        <v>72</v>
      </c>
      <c r="K471">
        <v>9</v>
      </c>
      <c r="L471" s="4">
        <v>4200</v>
      </c>
      <c r="M471">
        <v>0</v>
      </c>
      <c r="N471" s="4">
        <v>37800</v>
      </c>
      <c r="O471" t="s">
        <v>85</v>
      </c>
      <c r="P471">
        <v>5</v>
      </c>
      <c r="Q471" t="s">
        <v>65</v>
      </c>
      <c r="R471">
        <v>0</v>
      </c>
    </row>
    <row r="472" spans="1:18" x14ac:dyDescent="0.3">
      <c r="A472" t="s">
        <v>1245</v>
      </c>
      <c r="B472" s="1">
        <v>45694</v>
      </c>
      <c r="C472" t="s">
        <v>68</v>
      </c>
      <c r="D472" t="s">
        <v>20</v>
      </c>
      <c r="E472">
        <v>25</v>
      </c>
      <c r="F472" t="s">
        <v>61</v>
      </c>
      <c r="G472" t="s">
        <v>61</v>
      </c>
      <c r="H472" t="s">
        <v>32</v>
      </c>
      <c r="I472" t="s">
        <v>33</v>
      </c>
      <c r="J472" t="s">
        <v>64</v>
      </c>
      <c r="K472">
        <v>10</v>
      </c>
      <c r="L472" s="4">
        <v>17200</v>
      </c>
      <c r="M472">
        <v>5</v>
      </c>
      <c r="N472" s="4">
        <v>163400</v>
      </c>
      <c r="O472" t="s">
        <v>25</v>
      </c>
      <c r="P472">
        <v>5</v>
      </c>
      <c r="Q472" t="s">
        <v>26</v>
      </c>
      <c r="R472">
        <v>0</v>
      </c>
    </row>
    <row r="473" spans="1:18" x14ac:dyDescent="0.3">
      <c r="A473" t="s">
        <v>1247</v>
      </c>
      <c r="B473" s="1">
        <v>46089</v>
      </c>
      <c r="C473" t="s">
        <v>19</v>
      </c>
      <c r="D473" t="s">
        <v>20</v>
      </c>
      <c r="E473">
        <v>57</v>
      </c>
      <c r="F473" t="s">
        <v>61</v>
      </c>
      <c r="G473" t="s">
        <v>61</v>
      </c>
      <c r="H473" t="s">
        <v>46</v>
      </c>
      <c r="I473" t="s">
        <v>79</v>
      </c>
      <c r="J473" t="s">
        <v>80</v>
      </c>
      <c r="K473">
        <v>1</v>
      </c>
      <c r="L473" s="4">
        <v>14500</v>
      </c>
      <c r="M473">
        <v>15</v>
      </c>
      <c r="N473" s="4">
        <v>12325</v>
      </c>
      <c r="O473" t="s">
        <v>85</v>
      </c>
      <c r="P473">
        <v>2</v>
      </c>
      <c r="Q473" t="s">
        <v>26</v>
      </c>
      <c r="R473">
        <v>0</v>
      </c>
    </row>
    <row r="474" spans="1:18" x14ac:dyDescent="0.3">
      <c r="A474" t="s">
        <v>1249</v>
      </c>
      <c r="B474" s="1">
        <v>46098</v>
      </c>
      <c r="C474" t="s">
        <v>113</v>
      </c>
      <c r="D474" t="s">
        <v>39</v>
      </c>
      <c r="E474">
        <v>29</v>
      </c>
      <c r="F474" t="s">
        <v>30</v>
      </c>
      <c r="G474" t="s">
        <v>31</v>
      </c>
      <c r="H474" t="s">
        <v>46</v>
      </c>
      <c r="I474" t="s">
        <v>79</v>
      </c>
      <c r="J474" t="s">
        <v>64</v>
      </c>
      <c r="K474">
        <v>3</v>
      </c>
      <c r="L474" s="4">
        <v>27600</v>
      </c>
      <c r="M474">
        <v>10</v>
      </c>
      <c r="N474" s="4">
        <v>74520</v>
      </c>
      <c r="O474" t="s">
        <v>73</v>
      </c>
      <c r="P474">
        <v>2</v>
      </c>
      <c r="Q474" t="s">
        <v>26</v>
      </c>
      <c r="R474">
        <v>0</v>
      </c>
    </row>
    <row r="475" spans="1:18" x14ac:dyDescent="0.3">
      <c r="A475" t="s">
        <v>1251</v>
      </c>
      <c r="B475" s="1">
        <v>46135</v>
      </c>
      <c r="C475" t="s">
        <v>38</v>
      </c>
      <c r="D475" t="s">
        <v>20</v>
      </c>
      <c r="E475">
        <v>25</v>
      </c>
      <c r="F475" t="s">
        <v>51</v>
      </c>
      <c r="G475" t="s">
        <v>52</v>
      </c>
      <c r="H475" t="s">
        <v>32</v>
      </c>
      <c r="I475" t="s">
        <v>33</v>
      </c>
      <c r="J475" t="s">
        <v>72</v>
      </c>
      <c r="K475">
        <v>4</v>
      </c>
      <c r="L475" s="4">
        <v>4100</v>
      </c>
      <c r="M475">
        <v>0</v>
      </c>
      <c r="N475" s="4">
        <v>16400</v>
      </c>
      <c r="O475" t="s">
        <v>73</v>
      </c>
      <c r="P475">
        <v>5</v>
      </c>
      <c r="Q475" t="s">
        <v>41</v>
      </c>
      <c r="R475">
        <v>1</v>
      </c>
    </row>
    <row r="476" spans="1:18" x14ac:dyDescent="0.3">
      <c r="A476" t="s">
        <v>1254</v>
      </c>
      <c r="B476" s="1">
        <v>45759</v>
      </c>
      <c r="C476" t="s">
        <v>29</v>
      </c>
      <c r="D476" t="s">
        <v>39</v>
      </c>
      <c r="E476">
        <v>23</v>
      </c>
      <c r="F476" t="s">
        <v>77</v>
      </c>
      <c r="G476" t="s">
        <v>95</v>
      </c>
      <c r="H476" t="s">
        <v>46</v>
      </c>
      <c r="I476" t="s">
        <v>79</v>
      </c>
      <c r="J476" t="s">
        <v>80</v>
      </c>
      <c r="K476">
        <v>8</v>
      </c>
      <c r="L476" s="4">
        <v>30500</v>
      </c>
      <c r="M476">
        <v>25</v>
      </c>
      <c r="N476" s="4">
        <v>183000</v>
      </c>
      <c r="O476" t="s">
        <v>73</v>
      </c>
      <c r="P476">
        <v>3</v>
      </c>
      <c r="Q476" t="s">
        <v>26</v>
      </c>
      <c r="R476">
        <v>0</v>
      </c>
    </row>
    <row r="477" spans="1:18" x14ac:dyDescent="0.3">
      <c r="A477" t="s">
        <v>1255</v>
      </c>
      <c r="B477" s="1">
        <v>46053</v>
      </c>
      <c r="C477" t="s">
        <v>121</v>
      </c>
      <c r="D477" t="s">
        <v>20</v>
      </c>
      <c r="E477">
        <v>24</v>
      </c>
      <c r="F477" t="s">
        <v>44</v>
      </c>
      <c r="G477" t="s">
        <v>45</v>
      </c>
      <c r="H477" t="s">
        <v>22</v>
      </c>
      <c r="I477" t="s">
        <v>84</v>
      </c>
      <c r="J477" t="s">
        <v>72</v>
      </c>
      <c r="K477">
        <v>2</v>
      </c>
      <c r="L477" s="4">
        <v>34600</v>
      </c>
      <c r="M477">
        <v>15</v>
      </c>
      <c r="N477" s="4">
        <v>58820</v>
      </c>
      <c r="O477" t="s">
        <v>85</v>
      </c>
      <c r="Q477" t="s">
        <v>41</v>
      </c>
      <c r="R477">
        <v>1</v>
      </c>
    </row>
    <row r="478" spans="1:18" x14ac:dyDescent="0.3">
      <c r="A478" t="s">
        <v>1256</v>
      </c>
      <c r="B478" s="1">
        <v>46113</v>
      </c>
      <c r="C478" t="s">
        <v>121</v>
      </c>
      <c r="D478" t="s">
        <v>39</v>
      </c>
      <c r="E478">
        <v>49</v>
      </c>
      <c r="F478" t="s">
        <v>21</v>
      </c>
      <c r="G478" t="s">
        <v>21</v>
      </c>
      <c r="H478" t="s">
        <v>32</v>
      </c>
      <c r="I478" t="s">
        <v>33</v>
      </c>
      <c r="J478" t="s">
        <v>64</v>
      </c>
      <c r="K478">
        <v>8</v>
      </c>
      <c r="L478" s="4">
        <v>40500</v>
      </c>
      <c r="M478">
        <v>20</v>
      </c>
      <c r="N478" s="4">
        <v>259200</v>
      </c>
      <c r="O478" t="s">
        <v>85</v>
      </c>
      <c r="Q478" t="s">
        <v>41</v>
      </c>
      <c r="R478">
        <v>1</v>
      </c>
    </row>
    <row r="479" spans="1:18" x14ac:dyDescent="0.3">
      <c r="A479" t="s">
        <v>1258</v>
      </c>
      <c r="B479" s="1">
        <v>45659</v>
      </c>
      <c r="C479" t="s">
        <v>19</v>
      </c>
      <c r="D479" t="s">
        <v>20</v>
      </c>
      <c r="E479">
        <v>25</v>
      </c>
      <c r="F479" t="s">
        <v>51</v>
      </c>
      <c r="G479" t="s">
        <v>104</v>
      </c>
      <c r="H479" t="s">
        <v>62</v>
      </c>
      <c r="I479" t="s">
        <v>63</v>
      </c>
      <c r="J479" t="s">
        <v>34</v>
      </c>
      <c r="K479">
        <v>8</v>
      </c>
      <c r="L479" s="4">
        <v>43300</v>
      </c>
      <c r="M479">
        <v>5</v>
      </c>
      <c r="N479" s="4">
        <v>329080</v>
      </c>
      <c r="O479" t="s">
        <v>85</v>
      </c>
      <c r="P479">
        <v>1</v>
      </c>
      <c r="Q479" t="s">
        <v>41</v>
      </c>
      <c r="R479">
        <v>1</v>
      </c>
    </row>
    <row r="480" spans="1:18" x14ac:dyDescent="0.3">
      <c r="A480" t="s">
        <v>1260</v>
      </c>
      <c r="B480" s="1">
        <v>46138</v>
      </c>
      <c r="C480" t="s">
        <v>113</v>
      </c>
      <c r="D480" t="s">
        <v>39</v>
      </c>
      <c r="E480">
        <v>28</v>
      </c>
      <c r="F480" t="s">
        <v>51</v>
      </c>
      <c r="G480" t="s">
        <v>104</v>
      </c>
      <c r="H480" t="s">
        <v>32</v>
      </c>
      <c r="I480" t="s">
        <v>33</v>
      </c>
      <c r="J480" t="s">
        <v>72</v>
      </c>
      <c r="K480">
        <v>3</v>
      </c>
      <c r="L480" s="4">
        <v>20500</v>
      </c>
      <c r="M480">
        <v>0</v>
      </c>
      <c r="N480" s="4">
        <v>61500</v>
      </c>
      <c r="O480" t="s">
        <v>25</v>
      </c>
      <c r="P480">
        <v>4</v>
      </c>
      <c r="Q480" t="s">
        <v>26</v>
      </c>
      <c r="R480">
        <v>0</v>
      </c>
    </row>
    <row r="481" spans="1:18" x14ac:dyDescent="0.3">
      <c r="A481" t="s">
        <v>1264</v>
      </c>
      <c r="B481" s="1">
        <v>45910</v>
      </c>
      <c r="C481" t="s">
        <v>113</v>
      </c>
      <c r="D481" t="s">
        <v>20</v>
      </c>
      <c r="E481">
        <v>37</v>
      </c>
      <c r="F481" t="s">
        <v>77</v>
      </c>
      <c r="G481" t="s">
        <v>78</v>
      </c>
      <c r="H481" t="s">
        <v>22</v>
      </c>
      <c r="I481" t="s">
        <v>23</v>
      </c>
      <c r="J481" t="s">
        <v>72</v>
      </c>
      <c r="K481">
        <v>1</v>
      </c>
      <c r="L481" s="4">
        <v>7600</v>
      </c>
      <c r="M481">
        <v>15</v>
      </c>
      <c r="N481" s="4">
        <v>6460</v>
      </c>
      <c r="O481" t="s">
        <v>73</v>
      </c>
      <c r="P481">
        <v>4</v>
      </c>
      <c r="Q481" t="s">
        <v>65</v>
      </c>
      <c r="R481">
        <v>0</v>
      </c>
    </row>
    <row r="482" spans="1:18" x14ac:dyDescent="0.3">
      <c r="A482" t="s">
        <v>1267</v>
      </c>
      <c r="B482" s="1">
        <v>45850</v>
      </c>
      <c r="C482" t="s">
        <v>38</v>
      </c>
      <c r="D482" t="s">
        <v>20</v>
      </c>
      <c r="E482">
        <v>35</v>
      </c>
      <c r="F482" t="s">
        <v>61</v>
      </c>
      <c r="G482" t="s">
        <v>61</v>
      </c>
      <c r="H482" t="s">
        <v>32</v>
      </c>
      <c r="I482" t="s">
        <v>33</v>
      </c>
      <c r="J482" t="s">
        <v>89</v>
      </c>
      <c r="K482">
        <v>8</v>
      </c>
      <c r="L482" s="4">
        <v>10600</v>
      </c>
      <c r="M482">
        <v>15</v>
      </c>
      <c r="N482" s="4">
        <v>72080</v>
      </c>
      <c r="O482" t="s">
        <v>73</v>
      </c>
      <c r="Q482" t="s">
        <v>41</v>
      </c>
      <c r="R482">
        <v>1</v>
      </c>
    </row>
    <row r="483" spans="1:18" x14ac:dyDescent="0.3">
      <c r="A483" t="s">
        <v>1271</v>
      </c>
      <c r="B483" s="1">
        <v>45785</v>
      </c>
      <c r="C483" t="s">
        <v>71</v>
      </c>
      <c r="D483" t="s">
        <v>39</v>
      </c>
      <c r="E483">
        <v>56</v>
      </c>
      <c r="F483" t="s">
        <v>44</v>
      </c>
      <c r="G483" t="s">
        <v>100</v>
      </c>
      <c r="H483" t="s">
        <v>32</v>
      </c>
      <c r="I483" t="s">
        <v>33</v>
      </c>
      <c r="J483" t="s">
        <v>89</v>
      </c>
      <c r="K483">
        <v>10</v>
      </c>
      <c r="L483" s="4">
        <v>7800</v>
      </c>
      <c r="M483">
        <v>0</v>
      </c>
      <c r="N483" s="4">
        <v>78000</v>
      </c>
      <c r="O483" t="s">
        <v>85</v>
      </c>
      <c r="Q483" t="s">
        <v>41</v>
      </c>
      <c r="R483">
        <v>1</v>
      </c>
    </row>
    <row r="484" spans="1:18" x14ac:dyDescent="0.3">
      <c r="A484" t="s">
        <v>1273</v>
      </c>
      <c r="B484" s="1">
        <v>45911</v>
      </c>
      <c r="C484" t="s">
        <v>68</v>
      </c>
      <c r="D484" t="s">
        <v>3292</v>
      </c>
      <c r="E484">
        <v>19</v>
      </c>
      <c r="F484" t="s">
        <v>77</v>
      </c>
      <c r="G484" t="s">
        <v>78</v>
      </c>
      <c r="H484" t="s">
        <v>22</v>
      </c>
      <c r="I484" t="s">
        <v>23</v>
      </c>
      <c r="J484" t="s">
        <v>24</v>
      </c>
      <c r="K484">
        <v>1</v>
      </c>
      <c r="L484" s="4">
        <v>49200</v>
      </c>
      <c r="M484">
        <v>5</v>
      </c>
      <c r="N484" s="4">
        <v>46740</v>
      </c>
      <c r="O484" t="s">
        <v>85</v>
      </c>
      <c r="P484">
        <v>5</v>
      </c>
      <c r="Q484" t="s">
        <v>74</v>
      </c>
      <c r="R484">
        <v>0</v>
      </c>
    </row>
    <row r="485" spans="1:18" x14ac:dyDescent="0.3">
      <c r="A485" t="s">
        <v>1274</v>
      </c>
      <c r="B485" s="1">
        <v>46075</v>
      </c>
      <c r="C485" t="s">
        <v>19</v>
      </c>
      <c r="D485" t="s">
        <v>3292</v>
      </c>
      <c r="E485">
        <v>65</v>
      </c>
      <c r="F485" t="s">
        <v>77</v>
      </c>
      <c r="G485" t="s">
        <v>78</v>
      </c>
      <c r="H485" t="s">
        <v>32</v>
      </c>
      <c r="I485" t="s">
        <v>53</v>
      </c>
      <c r="J485" t="s">
        <v>34</v>
      </c>
      <c r="K485">
        <v>9</v>
      </c>
      <c r="L485" s="4">
        <v>13400</v>
      </c>
      <c r="M485">
        <v>25</v>
      </c>
      <c r="N485" s="4">
        <v>90450</v>
      </c>
      <c r="O485" t="s">
        <v>73</v>
      </c>
      <c r="P485">
        <v>5</v>
      </c>
      <c r="Q485" t="s">
        <v>41</v>
      </c>
      <c r="R485">
        <v>1</v>
      </c>
    </row>
    <row r="486" spans="1:18" x14ac:dyDescent="0.3">
      <c r="A486" t="s">
        <v>1276</v>
      </c>
      <c r="B486" s="1">
        <v>45995</v>
      </c>
      <c r="C486" t="s">
        <v>71</v>
      </c>
      <c r="D486" t="s">
        <v>20</v>
      </c>
      <c r="E486">
        <v>18</v>
      </c>
      <c r="F486" t="s">
        <v>44</v>
      </c>
      <c r="G486" t="s">
        <v>45</v>
      </c>
      <c r="H486" t="s">
        <v>62</v>
      </c>
      <c r="I486" t="s">
        <v>140</v>
      </c>
      <c r="J486" t="s">
        <v>72</v>
      </c>
      <c r="K486">
        <v>10</v>
      </c>
      <c r="L486" s="4">
        <v>12900</v>
      </c>
      <c r="M486">
        <v>0</v>
      </c>
      <c r="N486" s="4">
        <v>129000</v>
      </c>
      <c r="O486" t="s">
        <v>25</v>
      </c>
      <c r="Q486" t="s">
        <v>65</v>
      </c>
      <c r="R486">
        <v>0</v>
      </c>
    </row>
    <row r="487" spans="1:18" x14ac:dyDescent="0.3">
      <c r="A487" t="s">
        <v>1278</v>
      </c>
      <c r="B487" s="1">
        <v>45660</v>
      </c>
      <c r="C487" t="s">
        <v>38</v>
      </c>
      <c r="D487" t="s">
        <v>20</v>
      </c>
      <c r="E487">
        <v>51</v>
      </c>
      <c r="F487" t="s">
        <v>77</v>
      </c>
      <c r="G487" t="s">
        <v>78</v>
      </c>
      <c r="H487" t="s">
        <v>22</v>
      </c>
      <c r="I487" t="s">
        <v>23</v>
      </c>
      <c r="J487" t="s">
        <v>89</v>
      </c>
      <c r="K487">
        <v>5</v>
      </c>
      <c r="L487" s="4">
        <v>25300</v>
      </c>
      <c r="M487">
        <v>0</v>
      </c>
      <c r="N487" s="4">
        <v>126500</v>
      </c>
      <c r="O487" t="s">
        <v>85</v>
      </c>
      <c r="P487">
        <v>4</v>
      </c>
      <c r="Q487" t="s">
        <v>74</v>
      </c>
      <c r="R487">
        <v>0</v>
      </c>
    </row>
    <row r="488" spans="1:18" x14ac:dyDescent="0.3">
      <c r="A488" t="s">
        <v>1281</v>
      </c>
      <c r="B488" s="1">
        <v>45945</v>
      </c>
      <c r="C488" t="s">
        <v>94</v>
      </c>
      <c r="D488" t="s">
        <v>39</v>
      </c>
      <c r="E488">
        <v>26</v>
      </c>
      <c r="F488" t="s">
        <v>77</v>
      </c>
      <c r="G488" t="s">
        <v>95</v>
      </c>
      <c r="H488" t="s">
        <v>46</v>
      </c>
      <c r="I488" t="s">
        <v>79</v>
      </c>
      <c r="J488" t="s">
        <v>80</v>
      </c>
      <c r="K488">
        <v>8</v>
      </c>
      <c r="L488" s="4">
        <v>5800</v>
      </c>
      <c r="M488">
        <v>25</v>
      </c>
      <c r="N488" s="4">
        <v>34800</v>
      </c>
      <c r="O488" t="s">
        <v>73</v>
      </c>
      <c r="Q488" t="s">
        <v>65</v>
      </c>
      <c r="R488">
        <v>0</v>
      </c>
    </row>
    <row r="489" spans="1:18" x14ac:dyDescent="0.3">
      <c r="A489" t="s">
        <v>1282</v>
      </c>
      <c r="B489" s="1">
        <v>45753</v>
      </c>
      <c r="C489" t="s">
        <v>113</v>
      </c>
      <c r="D489" t="s">
        <v>39</v>
      </c>
      <c r="E489">
        <v>51</v>
      </c>
      <c r="F489" t="s">
        <v>30</v>
      </c>
      <c r="G489" t="s">
        <v>31</v>
      </c>
      <c r="H489" t="s">
        <v>46</v>
      </c>
      <c r="I489" t="s">
        <v>79</v>
      </c>
      <c r="J489" t="s">
        <v>34</v>
      </c>
      <c r="K489">
        <v>1</v>
      </c>
      <c r="L489" s="4">
        <v>3200</v>
      </c>
      <c r="M489">
        <v>15</v>
      </c>
      <c r="N489" s="4">
        <v>2720</v>
      </c>
      <c r="O489" t="s">
        <v>85</v>
      </c>
      <c r="P489">
        <v>3</v>
      </c>
      <c r="Q489" t="s">
        <v>65</v>
      </c>
      <c r="R489">
        <v>0</v>
      </c>
    </row>
    <row r="490" spans="1:18" x14ac:dyDescent="0.3">
      <c r="A490" t="s">
        <v>1286</v>
      </c>
      <c r="B490" s="1">
        <v>46043</v>
      </c>
      <c r="C490" t="s">
        <v>68</v>
      </c>
      <c r="D490" t="s">
        <v>3292</v>
      </c>
      <c r="E490">
        <v>59</v>
      </c>
      <c r="F490" t="s">
        <v>30</v>
      </c>
      <c r="G490" t="s">
        <v>57</v>
      </c>
      <c r="H490" t="s">
        <v>46</v>
      </c>
      <c r="I490" t="s">
        <v>79</v>
      </c>
      <c r="J490" t="s">
        <v>24</v>
      </c>
      <c r="K490">
        <v>6</v>
      </c>
      <c r="L490" s="4">
        <v>4900</v>
      </c>
      <c r="M490">
        <v>0</v>
      </c>
      <c r="N490" s="4">
        <v>29400</v>
      </c>
      <c r="O490" t="s">
        <v>85</v>
      </c>
      <c r="P490">
        <v>5</v>
      </c>
      <c r="Q490" t="s">
        <v>41</v>
      </c>
      <c r="R490">
        <v>1</v>
      </c>
    </row>
    <row r="491" spans="1:18" x14ac:dyDescent="0.3">
      <c r="A491" t="s">
        <v>1288</v>
      </c>
      <c r="B491" s="1">
        <v>46162</v>
      </c>
      <c r="C491" t="s">
        <v>94</v>
      </c>
      <c r="D491" t="s">
        <v>20</v>
      </c>
      <c r="E491">
        <v>33</v>
      </c>
      <c r="F491" t="s">
        <v>51</v>
      </c>
      <c r="G491" t="s">
        <v>104</v>
      </c>
      <c r="H491" t="s">
        <v>22</v>
      </c>
      <c r="I491" t="s">
        <v>23</v>
      </c>
      <c r="J491" t="s">
        <v>64</v>
      </c>
      <c r="K491">
        <v>1</v>
      </c>
      <c r="L491" s="4">
        <v>41400</v>
      </c>
      <c r="M491">
        <v>20</v>
      </c>
      <c r="N491" s="4">
        <v>33120</v>
      </c>
      <c r="O491" t="s">
        <v>73</v>
      </c>
      <c r="P491">
        <v>2</v>
      </c>
      <c r="Q491" t="s">
        <v>26</v>
      </c>
      <c r="R491">
        <v>0</v>
      </c>
    </row>
    <row r="492" spans="1:18" x14ac:dyDescent="0.3">
      <c r="A492" t="s">
        <v>1292</v>
      </c>
      <c r="B492" s="1">
        <v>46063</v>
      </c>
      <c r="C492" t="s">
        <v>19</v>
      </c>
      <c r="D492" t="s">
        <v>20</v>
      </c>
      <c r="E492">
        <v>28</v>
      </c>
      <c r="F492" t="s">
        <v>30</v>
      </c>
      <c r="G492" t="s">
        <v>31</v>
      </c>
      <c r="H492" t="s">
        <v>22</v>
      </c>
      <c r="I492" t="s">
        <v>84</v>
      </c>
      <c r="J492" t="s">
        <v>24</v>
      </c>
      <c r="K492">
        <v>1</v>
      </c>
      <c r="L492" s="4">
        <v>31400</v>
      </c>
      <c r="M492">
        <v>20</v>
      </c>
      <c r="N492" s="4">
        <v>25120</v>
      </c>
      <c r="O492" t="s">
        <v>85</v>
      </c>
      <c r="P492">
        <v>1</v>
      </c>
      <c r="Q492" t="s">
        <v>65</v>
      </c>
      <c r="R492">
        <v>0</v>
      </c>
    </row>
    <row r="493" spans="1:18" x14ac:dyDescent="0.3">
      <c r="A493" t="s">
        <v>1294</v>
      </c>
      <c r="B493" s="1">
        <v>46081</v>
      </c>
      <c r="C493" t="s">
        <v>60</v>
      </c>
      <c r="D493" t="s">
        <v>3292</v>
      </c>
      <c r="E493">
        <v>24</v>
      </c>
      <c r="F493" t="s">
        <v>21</v>
      </c>
      <c r="G493" t="s">
        <v>21</v>
      </c>
      <c r="H493" t="s">
        <v>62</v>
      </c>
      <c r="I493" t="s">
        <v>140</v>
      </c>
      <c r="J493" t="s">
        <v>80</v>
      </c>
      <c r="K493">
        <v>5</v>
      </c>
      <c r="L493" s="4">
        <v>3100</v>
      </c>
      <c r="M493">
        <v>0</v>
      </c>
      <c r="N493" s="4">
        <v>15500</v>
      </c>
      <c r="O493" t="s">
        <v>85</v>
      </c>
      <c r="P493">
        <v>2</v>
      </c>
      <c r="Q493" t="s">
        <v>65</v>
      </c>
      <c r="R493">
        <v>0</v>
      </c>
    </row>
    <row r="494" spans="1:18" x14ac:dyDescent="0.3">
      <c r="A494" t="s">
        <v>1295</v>
      </c>
      <c r="B494" s="1">
        <v>46069</v>
      </c>
      <c r="C494" t="s">
        <v>71</v>
      </c>
      <c r="D494" t="s">
        <v>39</v>
      </c>
      <c r="E494">
        <v>46</v>
      </c>
      <c r="F494" t="s">
        <v>77</v>
      </c>
      <c r="G494" t="s">
        <v>78</v>
      </c>
      <c r="H494" t="s">
        <v>32</v>
      </c>
      <c r="I494" t="s">
        <v>53</v>
      </c>
      <c r="J494" t="s">
        <v>72</v>
      </c>
      <c r="K494">
        <v>4</v>
      </c>
      <c r="L494" s="4">
        <v>42500</v>
      </c>
      <c r="M494">
        <v>5</v>
      </c>
      <c r="N494" s="4">
        <v>161500</v>
      </c>
      <c r="O494" t="s">
        <v>25</v>
      </c>
      <c r="P494">
        <v>1</v>
      </c>
      <c r="Q494" t="s">
        <v>41</v>
      </c>
      <c r="R494">
        <v>1</v>
      </c>
    </row>
    <row r="495" spans="1:18" x14ac:dyDescent="0.3">
      <c r="A495" t="s">
        <v>1299</v>
      </c>
      <c r="B495" s="1">
        <v>45973</v>
      </c>
      <c r="C495" t="s">
        <v>113</v>
      </c>
      <c r="D495" t="s">
        <v>20</v>
      </c>
      <c r="E495">
        <v>29</v>
      </c>
      <c r="F495" t="s">
        <v>44</v>
      </c>
      <c r="G495" t="s">
        <v>100</v>
      </c>
      <c r="H495" t="s">
        <v>46</v>
      </c>
      <c r="I495" t="s">
        <v>79</v>
      </c>
      <c r="J495" t="s">
        <v>64</v>
      </c>
      <c r="K495">
        <v>3</v>
      </c>
      <c r="L495" s="4">
        <v>24500</v>
      </c>
      <c r="M495">
        <v>15</v>
      </c>
      <c r="N495" s="4">
        <v>62475</v>
      </c>
      <c r="O495" t="s">
        <v>85</v>
      </c>
      <c r="Q495" t="s">
        <v>65</v>
      </c>
      <c r="R495">
        <v>0</v>
      </c>
    </row>
    <row r="496" spans="1:18" x14ac:dyDescent="0.3">
      <c r="A496" t="s">
        <v>1303</v>
      </c>
      <c r="B496" s="1">
        <v>45701</v>
      </c>
      <c r="C496" t="s">
        <v>60</v>
      </c>
      <c r="D496" t="s">
        <v>20</v>
      </c>
      <c r="E496">
        <v>48</v>
      </c>
      <c r="F496" t="s">
        <v>51</v>
      </c>
      <c r="G496" t="s">
        <v>104</v>
      </c>
      <c r="H496" t="s">
        <v>22</v>
      </c>
      <c r="I496" t="s">
        <v>84</v>
      </c>
      <c r="J496" t="s">
        <v>80</v>
      </c>
      <c r="K496">
        <v>6</v>
      </c>
      <c r="L496" s="4">
        <v>49700</v>
      </c>
      <c r="M496">
        <v>5</v>
      </c>
      <c r="N496" s="4">
        <v>283290</v>
      </c>
      <c r="O496" t="s">
        <v>85</v>
      </c>
      <c r="Q496" t="s">
        <v>41</v>
      </c>
      <c r="R496">
        <v>1</v>
      </c>
    </row>
    <row r="497" spans="1:18" x14ac:dyDescent="0.3">
      <c r="A497" t="s">
        <v>1305</v>
      </c>
      <c r="B497" s="1">
        <v>45782</v>
      </c>
      <c r="C497" t="s">
        <v>60</v>
      </c>
      <c r="D497" t="s">
        <v>20</v>
      </c>
      <c r="E497">
        <v>29</v>
      </c>
      <c r="F497" t="s">
        <v>61</v>
      </c>
      <c r="G497" t="s">
        <v>61</v>
      </c>
      <c r="H497" t="s">
        <v>22</v>
      </c>
      <c r="I497" t="s">
        <v>84</v>
      </c>
      <c r="J497" t="s">
        <v>24</v>
      </c>
      <c r="K497">
        <v>3</v>
      </c>
      <c r="L497" s="4">
        <v>26400</v>
      </c>
      <c r="M497">
        <v>5</v>
      </c>
      <c r="N497" s="4">
        <v>75240</v>
      </c>
      <c r="O497" t="s">
        <v>85</v>
      </c>
      <c r="Q497" t="s">
        <v>74</v>
      </c>
      <c r="R497">
        <v>0</v>
      </c>
    </row>
    <row r="498" spans="1:18" x14ac:dyDescent="0.3">
      <c r="A498" t="s">
        <v>1309</v>
      </c>
      <c r="B498" s="1">
        <v>46179</v>
      </c>
      <c r="C498" t="s">
        <v>94</v>
      </c>
      <c r="D498" t="s">
        <v>3292</v>
      </c>
      <c r="E498">
        <v>23</v>
      </c>
      <c r="F498" t="s">
        <v>61</v>
      </c>
      <c r="G498" t="s">
        <v>61</v>
      </c>
      <c r="H498" t="s">
        <v>32</v>
      </c>
      <c r="I498" t="s">
        <v>53</v>
      </c>
      <c r="J498" t="s">
        <v>24</v>
      </c>
      <c r="K498">
        <v>7</v>
      </c>
      <c r="L498" s="4">
        <v>34200</v>
      </c>
      <c r="M498">
        <v>25</v>
      </c>
      <c r="N498" s="4">
        <v>179550</v>
      </c>
      <c r="O498" t="s">
        <v>85</v>
      </c>
      <c r="Q498" t="s">
        <v>26</v>
      </c>
      <c r="R498">
        <v>0</v>
      </c>
    </row>
    <row r="499" spans="1:18" x14ac:dyDescent="0.3">
      <c r="A499" t="s">
        <v>1311</v>
      </c>
      <c r="B499" s="1">
        <v>46078</v>
      </c>
      <c r="C499" t="s">
        <v>71</v>
      </c>
      <c r="D499" t="s">
        <v>39</v>
      </c>
      <c r="E499">
        <v>27</v>
      </c>
      <c r="F499" t="s">
        <v>30</v>
      </c>
      <c r="G499" t="s">
        <v>31</v>
      </c>
      <c r="H499" t="s">
        <v>22</v>
      </c>
      <c r="I499" t="s">
        <v>84</v>
      </c>
      <c r="J499" t="s">
        <v>89</v>
      </c>
      <c r="K499">
        <v>3</v>
      </c>
      <c r="L499" s="4">
        <v>47800</v>
      </c>
      <c r="M499">
        <v>15</v>
      </c>
      <c r="N499" s="4">
        <v>121890</v>
      </c>
      <c r="O499" t="s">
        <v>25</v>
      </c>
      <c r="Q499" t="s">
        <v>26</v>
      </c>
      <c r="R499">
        <v>0</v>
      </c>
    </row>
    <row r="500" spans="1:18" x14ac:dyDescent="0.3">
      <c r="A500" t="s">
        <v>1313</v>
      </c>
      <c r="B500" s="1">
        <v>45776</v>
      </c>
      <c r="C500" t="s">
        <v>71</v>
      </c>
      <c r="D500" t="s">
        <v>39</v>
      </c>
      <c r="E500">
        <v>61</v>
      </c>
      <c r="F500" t="s">
        <v>30</v>
      </c>
      <c r="G500" t="s">
        <v>57</v>
      </c>
      <c r="H500" t="s">
        <v>46</v>
      </c>
      <c r="I500" t="s">
        <v>79</v>
      </c>
      <c r="J500" t="s">
        <v>34</v>
      </c>
      <c r="K500">
        <v>10</v>
      </c>
      <c r="L500" s="4">
        <v>8500</v>
      </c>
      <c r="M500">
        <v>10</v>
      </c>
      <c r="N500" s="4">
        <v>76500</v>
      </c>
      <c r="O500" t="s">
        <v>85</v>
      </c>
      <c r="P500">
        <v>3</v>
      </c>
      <c r="Q500" t="s">
        <v>74</v>
      </c>
      <c r="R500">
        <v>0</v>
      </c>
    </row>
    <row r="501" spans="1:18" x14ac:dyDescent="0.3">
      <c r="A501" t="s">
        <v>1314</v>
      </c>
      <c r="B501" s="1">
        <v>46023</v>
      </c>
      <c r="C501" t="s">
        <v>71</v>
      </c>
      <c r="D501" t="s">
        <v>20</v>
      </c>
      <c r="E501">
        <v>31</v>
      </c>
      <c r="F501" t="s">
        <v>77</v>
      </c>
      <c r="G501" t="s">
        <v>78</v>
      </c>
      <c r="H501" t="s">
        <v>46</v>
      </c>
      <c r="I501" t="s">
        <v>47</v>
      </c>
      <c r="J501" t="s">
        <v>24</v>
      </c>
      <c r="K501">
        <v>10</v>
      </c>
      <c r="L501" s="4">
        <v>34500</v>
      </c>
      <c r="M501">
        <v>20</v>
      </c>
      <c r="N501" s="4">
        <v>276000</v>
      </c>
      <c r="O501" t="s">
        <v>85</v>
      </c>
      <c r="Q501" t="s">
        <v>26</v>
      </c>
      <c r="R501">
        <v>0</v>
      </c>
    </row>
    <row r="502" spans="1:18" x14ac:dyDescent="0.3">
      <c r="A502" t="s">
        <v>1316</v>
      </c>
      <c r="B502" s="1">
        <v>46048</v>
      </c>
      <c r="C502" t="s">
        <v>29</v>
      </c>
      <c r="D502" t="s">
        <v>39</v>
      </c>
      <c r="E502">
        <v>48</v>
      </c>
      <c r="F502" t="s">
        <v>77</v>
      </c>
      <c r="G502" t="s">
        <v>78</v>
      </c>
      <c r="H502" t="s">
        <v>46</v>
      </c>
      <c r="I502" t="s">
        <v>47</v>
      </c>
      <c r="J502" t="s">
        <v>24</v>
      </c>
      <c r="K502">
        <v>3</v>
      </c>
      <c r="L502" s="4">
        <v>11100</v>
      </c>
      <c r="M502">
        <v>15</v>
      </c>
      <c r="N502" s="4">
        <v>28305</v>
      </c>
      <c r="O502" t="s">
        <v>85</v>
      </c>
      <c r="Q502" t="s">
        <v>74</v>
      </c>
      <c r="R502">
        <v>0</v>
      </c>
    </row>
    <row r="503" spans="1:18" x14ac:dyDescent="0.3">
      <c r="A503" t="s">
        <v>1318</v>
      </c>
      <c r="B503" s="1">
        <v>46109</v>
      </c>
      <c r="C503" t="s">
        <v>71</v>
      </c>
      <c r="D503" t="s">
        <v>3292</v>
      </c>
      <c r="E503">
        <v>31</v>
      </c>
      <c r="F503" t="s">
        <v>44</v>
      </c>
      <c r="G503" t="s">
        <v>45</v>
      </c>
      <c r="H503" t="s">
        <v>46</v>
      </c>
      <c r="I503" t="s">
        <v>79</v>
      </c>
      <c r="J503" t="s">
        <v>34</v>
      </c>
      <c r="K503">
        <v>1</v>
      </c>
      <c r="L503" s="4">
        <v>26700</v>
      </c>
      <c r="M503">
        <v>20</v>
      </c>
      <c r="N503" s="4">
        <v>21360</v>
      </c>
      <c r="O503" t="s">
        <v>73</v>
      </c>
      <c r="P503">
        <v>1</v>
      </c>
      <c r="Q503" t="s">
        <v>26</v>
      </c>
      <c r="R503">
        <v>0</v>
      </c>
    </row>
    <row r="504" spans="1:18" x14ac:dyDescent="0.3">
      <c r="A504" t="s">
        <v>1322</v>
      </c>
      <c r="B504" s="1">
        <v>45863</v>
      </c>
      <c r="C504" t="s">
        <v>113</v>
      </c>
      <c r="D504" t="s">
        <v>39</v>
      </c>
      <c r="E504">
        <v>35</v>
      </c>
      <c r="F504" t="s">
        <v>30</v>
      </c>
      <c r="G504" t="s">
        <v>31</v>
      </c>
      <c r="H504" t="s">
        <v>62</v>
      </c>
      <c r="I504" t="s">
        <v>63</v>
      </c>
      <c r="J504" t="s">
        <v>64</v>
      </c>
      <c r="K504">
        <v>3</v>
      </c>
      <c r="L504" s="4">
        <v>20300</v>
      </c>
      <c r="M504">
        <v>10</v>
      </c>
      <c r="N504" s="4">
        <v>54810</v>
      </c>
      <c r="O504" t="s">
        <v>73</v>
      </c>
      <c r="P504">
        <v>5</v>
      </c>
      <c r="Q504" t="s">
        <v>65</v>
      </c>
      <c r="R504">
        <v>0</v>
      </c>
    </row>
    <row r="505" spans="1:18" x14ac:dyDescent="0.3">
      <c r="A505" t="s">
        <v>1325</v>
      </c>
      <c r="B505" s="1">
        <v>45876</v>
      </c>
      <c r="C505" t="s">
        <v>29</v>
      </c>
      <c r="D505" t="s">
        <v>20</v>
      </c>
      <c r="E505">
        <v>65</v>
      </c>
      <c r="F505" t="s">
        <v>61</v>
      </c>
      <c r="G505" t="s">
        <v>61</v>
      </c>
      <c r="H505" t="s">
        <v>46</v>
      </c>
      <c r="I505" t="s">
        <v>47</v>
      </c>
      <c r="J505" t="s">
        <v>89</v>
      </c>
      <c r="K505">
        <v>4</v>
      </c>
      <c r="L505" s="4">
        <v>19300</v>
      </c>
      <c r="M505">
        <v>15</v>
      </c>
      <c r="N505" s="4">
        <v>65620</v>
      </c>
      <c r="O505" t="s">
        <v>73</v>
      </c>
      <c r="P505">
        <v>3</v>
      </c>
      <c r="Q505" t="s">
        <v>26</v>
      </c>
      <c r="R505">
        <v>0</v>
      </c>
    </row>
    <row r="506" spans="1:18" x14ac:dyDescent="0.3">
      <c r="A506" t="s">
        <v>1327</v>
      </c>
      <c r="B506" s="1">
        <v>46164</v>
      </c>
      <c r="C506" t="s">
        <v>88</v>
      </c>
      <c r="D506" t="s">
        <v>20</v>
      </c>
      <c r="E506">
        <v>56</v>
      </c>
      <c r="F506" t="s">
        <v>51</v>
      </c>
      <c r="G506" t="s">
        <v>52</v>
      </c>
      <c r="H506" t="s">
        <v>46</v>
      </c>
      <c r="I506" t="s">
        <v>47</v>
      </c>
      <c r="J506" t="s">
        <v>89</v>
      </c>
      <c r="K506">
        <v>6</v>
      </c>
      <c r="L506" s="4">
        <v>23900</v>
      </c>
      <c r="M506">
        <v>25</v>
      </c>
      <c r="N506" s="4">
        <v>107550</v>
      </c>
      <c r="O506" t="s">
        <v>25</v>
      </c>
      <c r="P506">
        <v>3</v>
      </c>
      <c r="Q506" t="s">
        <v>74</v>
      </c>
      <c r="R506">
        <v>0</v>
      </c>
    </row>
    <row r="507" spans="1:18" x14ac:dyDescent="0.3">
      <c r="A507" t="s">
        <v>1330</v>
      </c>
      <c r="B507" s="1">
        <v>45811</v>
      </c>
      <c r="C507" t="s">
        <v>94</v>
      </c>
      <c r="D507" t="s">
        <v>20</v>
      </c>
      <c r="E507">
        <v>18</v>
      </c>
      <c r="F507" t="s">
        <v>30</v>
      </c>
      <c r="G507" t="s">
        <v>57</v>
      </c>
      <c r="H507" t="s">
        <v>32</v>
      </c>
      <c r="I507" t="s">
        <v>33</v>
      </c>
      <c r="J507" t="s">
        <v>24</v>
      </c>
      <c r="K507">
        <v>10</v>
      </c>
      <c r="L507" s="4">
        <v>35700</v>
      </c>
      <c r="M507">
        <v>15</v>
      </c>
      <c r="N507" s="4">
        <v>303450</v>
      </c>
      <c r="O507" t="s">
        <v>25</v>
      </c>
      <c r="P507">
        <v>4</v>
      </c>
      <c r="Q507" t="s">
        <v>65</v>
      </c>
      <c r="R507">
        <v>0</v>
      </c>
    </row>
    <row r="508" spans="1:18" x14ac:dyDescent="0.3">
      <c r="A508" t="s">
        <v>1334</v>
      </c>
      <c r="B508" s="1">
        <v>45977</v>
      </c>
      <c r="C508" t="s">
        <v>88</v>
      </c>
      <c r="D508" t="s">
        <v>39</v>
      </c>
      <c r="E508">
        <v>58</v>
      </c>
      <c r="F508" t="s">
        <v>51</v>
      </c>
      <c r="G508" t="s">
        <v>104</v>
      </c>
      <c r="H508" t="s">
        <v>62</v>
      </c>
      <c r="I508" t="s">
        <v>63</v>
      </c>
      <c r="J508" t="s">
        <v>80</v>
      </c>
      <c r="K508">
        <v>10</v>
      </c>
      <c r="L508" s="4">
        <v>14300</v>
      </c>
      <c r="M508">
        <v>15</v>
      </c>
      <c r="N508" s="4">
        <v>121550</v>
      </c>
      <c r="O508" t="s">
        <v>85</v>
      </c>
      <c r="P508">
        <v>3</v>
      </c>
      <c r="Q508" t="s">
        <v>74</v>
      </c>
      <c r="R508">
        <v>0</v>
      </c>
    </row>
    <row r="509" spans="1:18" x14ac:dyDescent="0.3">
      <c r="A509" t="s">
        <v>1336</v>
      </c>
      <c r="B509" s="1">
        <v>46157</v>
      </c>
      <c r="C509" t="s">
        <v>29</v>
      </c>
      <c r="D509" t="s">
        <v>20</v>
      </c>
      <c r="E509">
        <v>64</v>
      </c>
      <c r="F509" t="s">
        <v>77</v>
      </c>
      <c r="G509" t="s">
        <v>95</v>
      </c>
      <c r="H509" t="s">
        <v>22</v>
      </c>
      <c r="I509" t="s">
        <v>23</v>
      </c>
      <c r="J509" t="s">
        <v>64</v>
      </c>
      <c r="K509">
        <v>5</v>
      </c>
      <c r="L509" s="4">
        <v>10300</v>
      </c>
      <c r="M509">
        <v>15</v>
      </c>
      <c r="N509" s="4">
        <v>43775</v>
      </c>
      <c r="O509" t="s">
        <v>73</v>
      </c>
      <c r="P509">
        <v>4</v>
      </c>
      <c r="Q509" t="s">
        <v>74</v>
      </c>
      <c r="R509">
        <v>0</v>
      </c>
    </row>
    <row r="510" spans="1:18" x14ac:dyDescent="0.3">
      <c r="A510" t="s">
        <v>1338</v>
      </c>
      <c r="B510" s="1">
        <v>45896</v>
      </c>
      <c r="C510" t="s">
        <v>94</v>
      </c>
      <c r="D510" t="s">
        <v>3292</v>
      </c>
      <c r="E510">
        <v>18</v>
      </c>
      <c r="F510" t="s">
        <v>44</v>
      </c>
      <c r="G510" t="s">
        <v>45</v>
      </c>
      <c r="H510" t="s">
        <v>62</v>
      </c>
      <c r="I510" t="s">
        <v>140</v>
      </c>
      <c r="J510" t="s">
        <v>80</v>
      </c>
      <c r="K510">
        <v>2</v>
      </c>
      <c r="L510" s="4">
        <v>3300</v>
      </c>
      <c r="M510">
        <v>0</v>
      </c>
      <c r="N510" s="4">
        <v>6600</v>
      </c>
      <c r="O510" t="s">
        <v>85</v>
      </c>
      <c r="P510">
        <v>4</v>
      </c>
      <c r="Q510" t="s">
        <v>26</v>
      </c>
      <c r="R510">
        <v>0</v>
      </c>
    </row>
    <row r="511" spans="1:18" x14ac:dyDescent="0.3">
      <c r="A511" t="s">
        <v>1346</v>
      </c>
      <c r="B511" s="1">
        <v>45740</v>
      </c>
      <c r="C511" t="s">
        <v>113</v>
      </c>
      <c r="D511" t="s">
        <v>3292</v>
      </c>
      <c r="E511">
        <v>30</v>
      </c>
      <c r="F511" t="s">
        <v>21</v>
      </c>
      <c r="G511" t="s">
        <v>21</v>
      </c>
      <c r="H511" t="s">
        <v>32</v>
      </c>
      <c r="I511" t="s">
        <v>33</v>
      </c>
      <c r="J511" t="s">
        <v>89</v>
      </c>
      <c r="K511">
        <v>7</v>
      </c>
      <c r="L511" s="4">
        <v>42800</v>
      </c>
      <c r="M511">
        <v>15</v>
      </c>
      <c r="N511" s="4">
        <v>254660</v>
      </c>
      <c r="O511" t="s">
        <v>25</v>
      </c>
      <c r="Q511" t="s">
        <v>74</v>
      </c>
      <c r="R511">
        <v>0</v>
      </c>
    </row>
    <row r="512" spans="1:18" x14ac:dyDescent="0.3">
      <c r="A512" t="s">
        <v>1349</v>
      </c>
      <c r="B512" s="1">
        <v>46172</v>
      </c>
      <c r="C512" t="s">
        <v>38</v>
      </c>
      <c r="D512" t="s">
        <v>39</v>
      </c>
      <c r="E512">
        <v>52</v>
      </c>
      <c r="F512" t="s">
        <v>77</v>
      </c>
      <c r="G512" t="s">
        <v>95</v>
      </c>
      <c r="H512" t="s">
        <v>32</v>
      </c>
      <c r="I512" t="s">
        <v>33</v>
      </c>
      <c r="J512" t="s">
        <v>80</v>
      </c>
      <c r="K512">
        <v>6</v>
      </c>
      <c r="L512" s="4">
        <v>27000</v>
      </c>
      <c r="M512">
        <v>0</v>
      </c>
      <c r="N512" s="4">
        <v>162000</v>
      </c>
      <c r="O512" t="s">
        <v>85</v>
      </c>
      <c r="P512">
        <v>4</v>
      </c>
      <c r="Q512" t="s">
        <v>26</v>
      </c>
      <c r="R512">
        <v>0</v>
      </c>
    </row>
    <row r="513" spans="1:18" x14ac:dyDescent="0.3">
      <c r="A513" t="s">
        <v>1351</v>
      </c>
      <c r="B513" s="1">
        <v>45971</v>
      </c>
      <c r="C513" t="s">
        <v>121</v>
      </c>
      <c r="D513" t="s">
        <v>39</v>
      </c>
      <c r="E513">
        <v>19</v>
      </c>
      <c r="F513" t="s">
        <v>30</v>
      </c>
      <c r="G513" t="s">
        <v>31</v>
      </c>
      <c r="H513" t="s">
        <v>46</v>
      </c>
      <c r="I513" t="s">
        <v>47</v>
      </c>
      <c r="J513" t="s">
        <v>64</v>
      </c>
      <c r="K513">
        <v>7</v>
      </c>
      <c r="L513" s="4">
        <v>14700</v>
      </c>
      <c r="M513">
        <v>0</v>
      </c>
      <c r="N513" s="4">
        <v>102900</v>
      </c>
      <c r="O513" t="s">
        <v>73</v>
      </c>
      <c r="P513">
        <v>2</v>
      </c>
      <c r="Q513" t="s">
        <v>74</v>
      </c>
      <c r="R513">
        <v>0</v>
      </c>
    </row>
    <row r="514" spans="1:18" x14ac:dyDescent="0.3">
      <c r="A514" t="s">
        <v>1353</v>
      </c>
      <c r="B514" s="1">
        <v>45825</v>
      </c>
      <c r="C514" t="s">
        <v>94</v>
      </c>
      <c r="D514" t="s">
        <v>39</v>
      </c>
      <c r="E514">
        <v>51</v>
      </c>
      <c r="F514" t="s">
        <v>44</v>
      </c>
      <c r="G514" t="s">
        <v>45</v>
      </c>
      <c r="H514" t="s">
        <v>62</v>
      </c>
      <c r="I514" t="s">
        <v>140</v>
      </c>
      <c r="J514" t="s">
        <v>64</v>
      </c>
      <c r="K514">
        <v>2</v>
      </c>
      <c r="L514" s="4">
        <v>26900</v>
      </c>
      <c r="M514">
        <v>10</v>
      </c>
      <c r="N514" s="4">
        <v>48420</v>
      </c>
      <c r="O514" t="s">
        <v>85</v>
      </c>
      <c r="P514">
        <v>1</v>
      </c>
      <c r="Q514" t="s">
        <v>41</v>
      </c>
      <c r="R514">
        <v>1</v>
      </c>
    </row>
    <row r="515" spans="1:18" x14ac:dyDescent="0.3">
      <c r="A515" t="s">
        <v>1355</v>
      </c>
      <c r="B515" s="1">
        <v>46044</v>
      </c>
      <c r="C515" t="s">
        <v>60</v>
      </c>
      <c r="D515" t="s">
        <v>39</v>
      </c>
      <c r="E515">
        <v>57</v>
      </c>
      <c r="F515" t="s">
        <v>30</v>
      </c>
      <c r="G515" t="s">
        <v>57</v>
      </c>
      <c r="H515" t="s">
        <v>46</v>
      </c>
      <c r="I515" t="s">
        <v>47</v>
      </c>
      <c r="J515" t="s">
        <v>80</v>
      </c>
      <c r="K515">
        <v>2</v>
      </c>
      <c r="L515" s="4">
        <v>44400</v>
      </c>
      <c r="M515">
        <v>20</v>
      </c>
      <c r="N515" s="4">
        <v>71040</v>
      </c>
      <c r="O515" t="s">
        <v>25</v>
      </c>
      <c r="Q515" t="s">
        <v>74</v>
      </c>
      <c r="R515">
        <v>0</v>
      </c>
    </row>
    <row r="516" spans="1:18" x14ac:dyDescent="0.3">
      <c r="A516" t="s">
        <v>1356</v>
      </c>
      <c r="B516" s="1">
        <v>45863</v>
      </c>
      <c r="C516" t="s">
        <v>38</v>
      </c>
      <c r="D516" t="s">
        <v>39</v>
      </c>
      <c r="E516">
        <v>51</v>
      </c>
      <c r="F516" t="s">
        <v>77</v>
      </c>
      <c r="G516" t="s">
        <v>78</v>
      </c>
      <c r="H516" t="s">
        <v>22</v>
      </c>
      <c r="I516" t="s">
        <v>23</v>
      </c>
      <c r="J516" t="s">
        <v>34</v>
      </c>
      <c r="K516">
        <v>1</v>
      </c>
      <c r="L516" s="4">
        <v>43700</v>
      </c>
      <c r="M516">
        <v>15</v>
      </c>
      <c r="N516" s="4">
        <v>37145</v>
      </c>
      <c r="O516" t="s">
        <v>85</v>
      </c>
      <c r="P516">
        <v>1</v>
      </c>
      <c r="Q516" t="s">
        <v>41</v>
      </c>
      <c r="R516">
        <v>1</v>
      </c>
    </row>
    <row r="517" spans="1:18" x14ac:dyDescent="0.3">
      <c r="A517" t="s">
        <v>1359</v>
      </c>
      <c r="B517" s="1">
        <v>45683</v>
      </c>
      <c r="C517" t="s">
        <v>88</v>
      </c>
      <c r="D517" t="s">
        <v>39</v>
      </c>
      <c r="E517">
        <v>36</v>
      </c>
      <c r="F517" t="s">
        <v>61</v>
      </c>
      <c r="G517" t="s">
        <v>61</v>
      </c>
      <c r="H517" t="s">
        <v>22</v>
      </c>
      <c r="I517" t="s">
        <v>84</v>
      </c>
      <c r="J517" t="s">
        <v>34</v>
      </c>
      <c r="K517">
        <v>5</v>
      </c>
      <c r="L517" s="4">
        <v>3700</v>
      </c>
      <c r="M517">
        <v>10</v>
      </c>
      <c r="N517" s="4">
        <v>16650</v>
      </c>
      <c r="O517" t="s">
        <v>73</v>
      </c>
      <c r="P517">
        <v>1</v>
      </c>
      <c r="Q517" t="s">
        <v>74</v>
      </c>
      <c r="R517">
        <v>0</v>
      </c>
    </row>
    <row r="518" spans="1:18" x14ac:dyDescent="0.3">
      <c r="A518" t="s">
        <v>1360</v>
      </c>
      <c r="B518" s="1">
        <v>45781</v>
      </c>
      <c r="C518" t="s">
        <v>121</v>
      </c>
      <c r="D518" t="s">
        <v>39</v>
      </c>
      <c r="E518">
        <v>43</v>
      </c>
      <c r="F518" t="s">
        <v>77</v>
      </c>
      <c r="G518" t="s">
        <v>78</v>
      </c>
      <c r="H518" t="s">
        <v>46</v>
      </c>
      <c r="I518" t="s">
        <v>79</v>
      </c>
      <c r="J518" t="s">
        <v>24</v>
      </c>
      <c r="K518">
        <v>9</v>
      </c>
      <c r="L518" s="4">
        <v>38500</v>
      </c>
      <c r="M518">
        <v>20</v>
      </c>
      <c r="N518" s="4">
        <v>277200</v>
      </c>
      <c r="O518" t="s">
        <v>25</v>
      </c>
      <c r="P518">
        <v>4</v>
      </c>
      <c r="Q518" t="s">
        <v>26</v>
      </c>
      <c r="R518">
        <v>0</v>
      </c>
    </row>
    <row r="519" spans="1:18" x14ac:dyDescent="0.3">
      <c r="A519" t="s">
        <v>1362</v>
      </c>
      <c r="B519" s="1">
        <v>46021</v>
      </c>
      <c r="C519" t="s">
        <v>121</v>
      </c>
      <c r="D519" t="s">
        <v>39</v>
      </c>
      <c r="E519">
        <v>26</v>
      </c>
      <c r="F519" t="s">
        <v>77</v>
      </c>
      <c r="G519" t="s">
        <v>95</v>
      </c>
      <c r="H519" t="s">
        <v>22</v>
      </c>
      <c r="I519" t="s">
        <v>23</v>
      </c>
      <c r="J519" t="s">
        <v>72</v>
      </c>
      <c r="K519">
        <v>3</v>
      </c>
      <c r="L519" s="4">
        <v>33200</v>
      </c>
      <c r="M519">
        <v>20</v>
      </c>
      <c r="N519" s="4">
        <v>79680</v>
      </c>
      <c r="O519" t="s">
        <v>73</v>
      </c>
      <c r="P519">
        <v>5</v>
      </c>
      <c r="Q519" t="s">
        <v>65</v>
      </c>
      <c r="R519">
        <v>0</v>
      </c>
    </row>
    <row r="520" spans="1:18" x14ac:dyDescent="0.3">
      <c r="A520" t="s">
        <v>1364</v>
      </c>
      <c r="B520" s="1">
        <v>45741</v>
      </c>
      <c r="C520" t="s">
        <v>38</v>
      </c>
      <c r="D520" t="s">
        <v>20</v>
      </c>
      <c r="E520">
        <v>19</v>
      </c>
      <c r="F520" t="s">
        <v>21</v>
      </c>
      <c r="G520" t="s">
        <v>21</v>
      </c>
      <c r="H520" t="s">
        <v>46</v>
      </c>
      <c r="I520" t="s">
        <v>47</v>
      </c>
      <c r="J520" t="s">
        <v>34</v>
      </c>
      <c r="K520">
        <v>9</v>
      </c>
      <c r="L520" s="4">
        <v>39900</v>
      </c>
      <c r="M520">
        <v>15</v>
      </c>
      <c r="N520" s="4">
        <v>305235</v>
      </c>
      <c r="O520" t="s">
        <v>85</v>
      </c>
      <c r="Q520" t="s">
        <v>74</v>
      </c>
      <c r="R520">
        <v>0</v>
      </c>
    </row>
    <row r="521" spans="1:18" x14ac:dyDescent="0.3">
      <c r="A521" t="s">
        <v>1365</v>
      </c>
      <c r="B521" s="1">
        <v>46077</v>
      </c>
      <c r="C521" t="s">
        <v>60</v>
      </c>
      <c r="D521" t="s">
        <v>39</v>
      </c>
      <c r="E521">
        <v>46</v>
      </c>
      <c r="F521" t="s">
        <v>21</v>
      </c>
      <c r="G521" t="s">
        <v>21</v>
      </c>
      <c r="H521" t="s">
        <v>46</v>
      </c>
      <c r="I521" t="s">
        <v>79</v>
      </c>
      <c r="J521" t="s">
        <v>34</v>
      </c>
      <c r="K521">
        <v>2</v>
      </c>
      <c r="L521" s="4">
        <v>2700</v>
      </c>
      <c r="M521">
        <v>10</v>
      </c>
      <c r="N521" s="4">
        <v>4860</v>
      </c>
      <c r="O521" t="s">
        <v>3293</v>
      </c>
      <c r="Q521" t="s">
        <v>65</v>
      </c>
      <c r="R521">
        <v>0</v>
      </c>
    </row>
    <row r="522" spans="1:18" x14ac:dyDescent="0.3">
      <c r="A522" t="s">
        <v>1367</v>
      </c>
      <c r="B522" s="1">
        <v>46239</v>
      </c>
      <c r="C522" t="s">
        <v>19</v>
      </c>
      <c r="D522" t="s">
        <v>39</v>
      </c>
      <c r="E522">
        <v>55</v>
      </c>
      <c r="F522" t="s">
        <v>44</v>
      </c>
      <c r="G522" t="s">
        <v>45</v>
      </c>
      <c r="H522" t="s">
        <v>22</v>
      </c>
      <c r="I522" t="s">
        <v>84</v>
      </c>
      <c r="J522" t="s">
        <v>24</v>
      </c>
      <c r="K522">
        <v>10</v>
      </c>
      <c r="L522" s="4">
        <v>28700</v>
      </c>
      <c r="M522">
        <v>5</v>
      </c>
      <c r="N522" s="4">
        <v>272650</v>
      </c>
      <c r="O522" t="s">
        <v>85</v>
      </c>
      <c r="P522">
        <v>5</v>
      </c>
      <c r="Q522" t="s">
        <v>74</v>
      </c>
      <c r="R522">
        <v>0</v>
      </c>
    </row>
    <row r="523" spans="1:18" x14ac:dyDescent="0.3">
      <c r="A523" t="s">
        <v>1368</v>
      </c>
      <c r="B523" s="1">
        <v>46112</v>
      </c>
      <c r="C523" t="s">
        <v>71</v>
      </c>
      <c r="D523" t="s">
        <v>39</v>
      </c>
      <c r="E523">
        <v>36</v>
      </c>
      <c r="F523" t="s">
        <v>44</v>
      </c>
      <c r="G523" t="s">
        <v>45</v>
      </c>
      <c r="H523" t="s">
        <v>62</v>
      </c>
      <c r="I523" t="s">
        <v>140</v>
      </c>
      <c r="J523" t="s">
        <v>34</v>
      </c>
      <c r="K523">
        <v>6</v>
      </c>
      <c r="L523" s="4">
        <v>43000</v>
      </c>
      <c r="M523">
        <v>20</v>
      </c>
      <c r="N523" s="4">
        <v>206400</v>
      </c>
      <c r="O523" t="s">
        <v>85</v>
      </c>
      <c r="P523">
        <v>5</v>
      </c>
      <c r="Q523" t="s">
        <v>74</v>
      </c>
      <c r="R523">
        <v>0</v>
      </c>
    </row>
    <row r="524" spans="1:18" x14ac:dyDescent="0.3">
      <c r="A524" t="s">
        <v>1374</v>
      </c>
      <c r="B524" s="1">
        <v>45843</v>
      </c>
      <c r="C524" t="s">
        <v>60</v>
      </c>
      <c r="D524" t="s">
        <v>39</v>
      </c>
      <c r="E524">
        <v>50</v>
      </c>
      <c r="F524" t="s">
        <v>77</v>
      </c>
      <c r="G524" t="s">
        <v>78</v>
      </c>
      <c r="H524" t="s">
        <v>32</v>
      </c>
      <c r="I524" t="s">
        <v>53</v>
      </c>
      <c r="J524" t="s">
        <v>80</v>
      </c>
      <c r="K524">
        <v>8</v>
      </c>
      <c r="L524" s="4">
        <v>39900</v>
      </c>
      <c r="M524">
        <v>15</v>
      </c>
      <c r="N524" s="4">
        <v>271320</v>
      </c>
      <c r="O524" t="s">
        <v>25</v>
      </c>
      <c r="Q524" t="s">
        <v>65</v>
      </c>
      <c r="R524">
        <v>0</v>
      </c>
    </row>
    <row r="525" spans="1:18" x14ac:dyDescent="0.3">
      <c r="A525" t="s">
        <v>1381</v>
      </c>
      <c r="B525" s="1">
        <v>46067</v>
      </c>
      <c r="C525" t="s">
        <v>113</v>
      </c>
      <c r="D525" t="s">
        <v>39</v>
      </c>
      <c r="E525">
        <v>26</v>
      </c>
      <c r="F525" t="s">
        <v>77</v>
      </c>
      <c r="G525" t="s">
        <v>95</v>
      </c>
      <c r="H525" t="s">
        <v>46</v>
      </c>
      <c r="I525" t="s">
        <v>47</v>
      </c>
      <c r="J525" t="s">
        <v>80</v>
      </c>
      <c r="K525">
        <v>4</v>
      </c>
      <c r="L525" s="4">
        <v>47400</v>
      </c>
      <c r="M525">
        <v>5</v>
      </c>
      <c r="N525" s="4">
        <v>180120</v>
      </c>
      <c r="O525" t="s">
        <v>25</v>
      </c>
      <c r="P525">
        <v>5</v>
      </c>
      <c r="Q525" t="s">
        <v>41</v>
      </c>
      <c r="R525">
        <v>1</v>
      </c>
    </row>
    <row r="526" spans="1:18" x14ac:dyDescent="0.3">
      <c r="A526" t="s">
        <v>1383</v>
      </c>
      <c r="B526" s="1">
        <v>46239</v>
      </c>
      <c r="C526" t="s">
        <v>71</v>
      </c>
      <c r="D526" t="s">
        <v>39</v>
      </c>
      <c r="E526">
        <v>49</v>
      </c>
      <c r="F526" t="s">
        <v>21</v>
      </c>
      <c r="G526" t="s">
        <v>21</v>
      </c>
      <c r="H526" t="s">
        <v>32</v>
      </c>
      <c r="I526" t="s">
        <v>53</v>
      </c>
      <c r="J526" t="s">
        <v>34</v>
      </c>
      <c r="K526">
        <v>9</v>
      </c>
      <c r="L526" s="4">
        <v>16300</v>
      </c>
      <c r="M526">
        <v>10</v>
      </c>
      <c r="N526" s="4">
        <v>132030</v>
      </c>
      <c r="O526" t="s">
        <v>85</v>
      </c>
      <c r="P526">
        <v>3</v>
      </c>
      <c r="Q526" t="s">
        <v>26</v>
      </c>
      <c r="R526">
        <v>0</v>
      </c>
    </row>
    <row r="527" spans="1:18" x14ac:dyDescent="0.3">
      <c r="A527" t="s">
        <v>1385</v>
      </c>
      <c r="B527" s="1">
        <v>45848</v>
      </c>
      <c r="C527" t="s">
        <v>94</v>
      </c>
      <c r="D527" t="s">
        <v>39</v>
      </c>
      <c r="E527">
        <v>33</v>
      </c>
      <c r="F527" t="s">
        <v>30</v>
      </c>
      <c r="G527" t="s">
        <v>31</v>
      </c>
      <c r="H527" t="s">
        <v>32</v>
      </c>
      <c r="I527" t="s">
        <v>53</v>
      </c>
      <c r="J527" t="s">
        <v>24</v>
      </c>
      <c r="K527">
        <v>5</v>
      </c>
      <c r="L527" s="4">
        <v>25500</v>
      </c>
      <c r="M527">
        <v>0</v>
      </c>
      <c r="N527" s="4">
        <v>127500</v>
      </c>
      <c r="O527" t="s">
        <v>25</v>
      </c>
      <c r="P527">
        <v>1</v>
      </c>
      <c r="Q527" t="s">
        <v>26</v>
      </c>
      <c r="R527">
        <v>0</v>
      </c>
    </row>
    <row r="528" spans="1:18" x14ac:dyDescent="0.3">
      <c r="A528" t="s">
        <v>1386</v>
      </c>
      <c r="B528" s="1">
        <v>45663</v>
      </c>
      <c r="C528" t="s">
        <v>71</v>
      </c>
      <c r="D528" t="s">
        <v>39</v>
      </c>
      <c r="E528">
        <v>31</v>
      </c>
      <c r="F528" t="s">
        <v>44</v>
      </c>
      <c r="G528" t="s">
        <v>45</v>
      </c>
      <c r="H528" t="s">
        <v>32</v>
      </c>
      <c r="I528" t="s">
        <v>53</v>
      </c>
      <c r="J528" t="s">
        <v>89</v>
      </c>
      <c r="K528">
        <v>2</v>
      </c>
      <c r="L528" s="4">
        <v>33300</v>
      </c>
      <c r="M528">
        <v>20</v>
      </c>
      <c r="N528" s="4">
        <v>53280</v>
      </c>
      <c r="O528" t="s">
        <v>85</v>
      </c>
      <c r="P528">
        <v>3</v>
      </c>
      <c r="Q528" t="s">
        <v>26</v>
      </c>
      <c r="R528">
        <v>0</v>
      </c>
    </row>
    <row r="529" spans="1:18" x14ac:dyDescent="0.3">
      <c r="A529" t="s">
        <v>1390</v>
      </c>
      <c r="B529" s="1">
        <v>45680</v>
      </c>
      <c r="C529" t="s">
        <v>121</v>
      </c>
      <c r="D529" t="s">
        <v>20</v>
      </c>
      <c r="E529">
        <v>18</v>
      </c>
      <c r="F529" t="s">
        <v>21</v>
      </c>
      <c r="G529" t="s">
        <v>21</v>
      </c>
      <c r="H529" t="s">
        <v>32</v>
      </c>
      <c r="I529" t="s">
        <v>33</v>
      </c>
      <c r="J529" t="s">
        <v>24</v>
      </c>
      <c r="K529">
        <v>8</v>
      </c>
      <c r="L529" s="4">
        <v>15800</v>
      </c>
      <c r="M529">
        <v>5</v>
      </c>
      <c r="N529" s="4">
        <v>120080</v>
      </c>
      <c r="O529" t="s">
        <v>25</v>
      </c>
      <c r="P529">
        <v>5</v>
      </c>
      <c r="Q529" t="s">
        <v>74</v>
      </c>
      <c r="R529">
        <v>0</v>
      </c>
    </row>
    <row r="530" spans="1:18" x14ac:dyDescent="0.3">
      <c r="A530" t="s">
        <v>1393</v>
      </c>
      <c r="B530" s="1">
        <v>45993</v>
      </c>
      <c r="C530" t="s">
        <v>94</v>
      </c>
      <c r="D530" t="s">
        <v>39</v>
      </c>
      <c r="E530">
        <v>37</v>
      </c>
      <c r="F530" t="s">
        <v>30</v>
      </c>
      <c r="G530" t="s">
        <v>31</v>
      </c>
      <c r="H530" t="s">
        <v>22</v>
      </c>
      <c r="I530" t="s">
        <v>84</v>
      </c>
      <c r="J530" t="s">
        <v>80</v>
      </c>
      <c r="K530">
        <v>6</v>
      </c>
      <c r="L530" s="4">
        <v>14000</v>
      </c>
      <c r="M530">
        <v>15</v>
      </c>
      <c r="N530" s="4">
        <v>71400</v>
      </c>
      <c r="O530" t="s">
        <v>73</v>
      </c>
      <c r="P530">
        <v>3</v>
      </c>
      <c r="Q530" t="s">
        <v>74</v>
      </c>
      <c r="R530">
        <v>0</v>
      </c>
    </row>
    <row r="531" spans="1:18" x14ac:dyDescent="0.3">
      <c r="A531" t="s">
        <v>1395</v>
      </c>
      <c r="B531" s="1">
        <v>45772</v>
      </c>
      <c r="C531" t="s">
        <v>38</v>
      </c>
      <c r="D531" t="s">
        <v>20</v>
      </c>
      <c r="E531">
        <v>41</v>
      </c>
      <c r="F531" t="s">
        <v>77</v>
      </c>
      <c r="G531" t="s">
        <v>78</v>
      </c>
      <c r="H531" t="s">
        <v>62</v>
      </c>
      <c r="I531" t="s">
        <v>63</v>
      </c>
      <c r="J531" t="s">
        <v>72</v>
      </c>
      <c r="K531">
        <v>6</v>
      </c>
      <c r="L531" s="4">
        <v>16500</v>
      </c>
      <c r="M531">
        <v>20</v>
      </c>
      <c r="N531" s="4">
        <v>79200</v>
      </c>
      <c r="O531" t="s">
        <v>73</v>
      </c>
      <c r="P531">
        <v>4</v>
      </c>
      <c r="Q531" t="s">
        <v>41</v>
      </c>
      <c r="R531">
        <v>1</v>
      </c>
    </row>
    <row r="532" spans="1:18" x14ac:dyDescent="0.3">
      <c r="A532" t="s">
        <v>1397</v>
      </c>
      <c r="B532" s="1">
        <v>46187</v>
      </c>
      <c r="C532" t="s">
        <v>94</v>
      </c>
      <c r="D532" t="s">
        <v>39</v>
      </c>
      <c r="E532">
        <v>35</v>
      </c>
      <c r="F532" t="s">
        <v>21</v>
      </c>
      <c r="G532" t="s">
        <v>21</v>
      </c>
      <c r="H532" t="s">
        <v>22</v>
      </c>
      <c r="I532" t="s">
        <v>23</v>
      </c>
      <c r="J532" t="s">
        <v>34</v>
      </c>
      <c r="K532">
        <v>3</v>
      </c>
      <c r="L532" s="4">
        <v>18100</v>
      </c>
      <c r="M532">
        <v>25</v>
      </c>
      <c r="N532" s="4">
        <v>40725</v>
      </c>
      <c r="O532" t="s">
        <v>25</v>
      </c>
      <c r="Q532" t="s">
        <v>41</v>
      </c>
      <c r="R532">
        <v>1</v>
      </c>
    </row>
    <row r="533" spans="1:18" x14ac:dyDescent="0.3">
      <c r="A533" t="s">
        <v>1399</v>
      </c>
      <c r="B533" s="1">
        <v>45885</v>
      </c>
      <c r="C533" t="s">
        <v>19</v>
      </c>
      <c r="D533" t="s">
        <v>20</v>
      </c>
      <c r="E533">
        <v>21</v>
      </c>
      <c r="F533" t="s">
        <v>61</v>
      </c>
      <c r="G533" t="s">
        <v>61</v>
      </c>
      <c r="H533" t="s">
        <v>46</v>
      </c>
      <c r="I533" t="s">
        <v>79</v>
      </c>
      <c r="J533" t="s">
        <v>34</v>
      </c>
      <c r="K533">
        <v>7</v>
      </c>
      <c r="L533" s="4">
        <v>12100</v>
      </c>
      <c r="M533">
        <v>5</v>
      </c>
      <c r="N533" s="4">
        <v>80465</v>
      </c>
      <c r="O533" t="s">
        <v>73</v>
      </c>
      <c r="P533">
        <v>2</v>
      </c>
      <c r="Q533" t="s">
        <v>74</v>
      </c>
      <c r="R533">
        <v>0</v>
      </c>
    </row>
    <row r="534" spans="1:18" x14ac:dyDescent="0.3">
      <c r="A534" t="s">
        <v>1401</v>
      </c>
      <c r="B534" s="1">
        <v>45707</v>
      </c>
      <c r="C534" t="s">
        <v>88</v>
      </c>
      <c r="D534" t="s">
        <v>39</v>
      </c>
      <c r="E534">
        <v>36</v>
      </c>
      <c r="F534" t="s">
        <v>77</v>
      </c>
      <c r="G534" t="s">
        <v>95</v>
      </c>
      <c r="H534" t="s">
        <v>62</v>
      </c>
      <c r="I534" t="s">
        <v>140</v>
      </c>
      <c r="J534" t="s">
        <v>89</v>
      </c>
      <c r="K534">
        <v>4</v>
      </c>
      <c r="L534" s="4">
        <v>40600</v>
      </c>
      <c r="M534">
        <v>25</v>
      </c>
      <c r="N534" s="4">
        <v>121800</v>
      </c>
      <c r="O534" t="s">
        <v>85</v>
      </c>
      <c r="Q534" t="s">
        <v>26</v>
      </c>
      <c r="R534">
        <v>0</v>
      </c>
    </row>
    <row r="535" spans="1:18" x14ac:dyDescent="0.3">
      <c r="A535" t="s">
        <v>1403</v>
      </c>
      <c r="B535" s="1">
        <v>45731</v>
      </c>
      <c r="C535" t="s">
        <v>38</v>
      </c>
      <c r="D535" t="s">
        <v>39</v>
      </c>
      <c r="E535">
        <v>48</v>
      </c>
      <c r="F535" t="s">
        <v>61</v>
      </c>
      <c r="G535" t="s">
        <v>61</v>
      </c>
      <c r="H535" t="s">
        <v>62</v>
      </c>
      <c r="I535" t="s">
        <v>63</v>
      </c>
      <c r="J535" t="s">
        <v>34</v>
      </c>
      <c r="K535">
        <v>5</v>
      </c>
      <c r="L535" s="4">
        <v>2200</v>
      </c>
      <c r="M535">
        <v>10</v>
      </c>
      <c r="N535" s="4">
        <v>9900</v>
      </c>
      <c r="O535" t="s">
        <v>25</v>
      </c>
      <c r="P535">
        <v>1</v>
      </c>
      <c r="Q535" t="s">
        <v>26</v>
      </c>
      <c r="R535">
        <v>0</v>
      </c>
    </row>
    <row r="536" spans="1:18" x14ac:dyDescent="0.3">
      <c r="A536" t="s">
        <v>1405</v>
      </c>
      <c r="B536" s="1">
        <v>45865</v>
      </c>
      <c r="C536" t="s">
        <v>121</v>
      </c>
      <c r="D536" t="s">
        <v>3292</v>
      </c>
      <c r="E536">
        <v>42</v>
      </c>
      <c r="F536" t="s">
        <v>61</v>
      </c>
      <c r="G536" t="s">
        <v>61</v>
      </c>
      <c r="H536" t="s">
        <v>32</v>
      </c>
      <c r="I536" t="s">
        <v>53</v>
      </c>
      <c r="J536" t="s">
        <v>80</v>
      </c>
      <c r="K536">
        <v>3</v>
      </c>
      <c r="L536" s="4">
        <v>3200</v>
      </c>
      <c r="M536">
        <v>20</v>
      </c>
      <c r="N536" s="4">
        <v>7680</v>
      </c>
      <c r="O536" t="s">
        <v>85</v>
      </c>
      <c r="Q536" t="s">
        <v>26</v>
      </c>
      <c r="R536">
        <v>0</v>
      </c>
    </row>
    <row r="537" spans="1:18" x14ac:dyDescent="0.3">
      <c r="A537" t="s">
        <v>1406</v>
      </c>
      <c r="B537" s="1">
        <v>45744</v>
      </c>
      <c r="C537" t="s">
        <v>121</v>
      </c>
      <c r="D537" t="s">
        <v>39</v>
      </c>
      <c r="E537">
        <v>32</v>
      </c>
      <c r="F537" t="s">
        <v>77</v>
      </c>
      <c r="G537" t="s">
        <v>78</v>
      </c>
      <c r="H537" t="s">
        <v>62</v>
      </c>
      <c r="I537" t="s">
        <v>140</v>
      </c>
      <c r="J537" t="s">
        <v>34</v>
      </c>
      <c r="K537">
        <v>2</v>
      </c>
      <c r="L537" s="4">
        <v>30600</v>
      </c>
      <c r="M537">
        <v>5</v>
      </c>
      <c r="N537" s="4">
        <v>58140</v>
      </c>
      <c r="O537" t="s">
        <v>73</v>
      </c>
      <c r="P537">
        <v>3</v>
      </c>
      <c r="Q537" t="s">
        <v>41</v>
      </c>
      <c r="R537">
        <v>1</v>
      </c>
    </row>
    <row r="538" spans="1:18" x14ac:dyDescent="0.3">
      <c r="A538" t="s">
        <v>1410</v>
      </c>
      <c r="B538" s="1">
        <v>45997</v>
      </c>
      <c r="C538" t="s">
        <v>29</v>
      </c>
      <c r="D538" t="s">
        <v>3292</v>
      </c>
      <c r="E538">
        <v>34</v>
      </c>
      <c r="F538" t="s">
        <v>21</v>
      </c>
      <c r="G538" t="s">
        <v>21</v>
      </c>
      <c r="H538" t="s">
        <v>62</v>
      </c>
      <c r="I538" t="s">
        <v>63</v>
      </c>
      <c r="J538" t="s">
        <v>72</v>
      </c>
      <c r="K538">
        <v>8</v>
      </c>
      <c r="L538" s="4">
        <v>4500</v>
      </c>
      <c r="M538">
        <v>25</v>
      </c>
      <c r="N538" s="4">
        <v>27000</v>
      </c>
      <c r="O538" t="s">
        <v>73</v>
      </c>
      <c r="P538">
        <v>2</v>
      </c>
      <c r="Q538" t="s">
        <v>26</v>
      </c>
      <c r="R538">
        <v>0</v>
      </c>
    </row>
    <row r="539" spans="1:18" x14ac:dyDescent="0.3">
      <c r="A539" t="s">
        <v>1413</v>
      </c>
      <c r="B539" s="1">
        <v>45691</v>
      </c>
      <c r="C539" t="s">
        <v>121</v>
      </c>
      <c r="D539" t="s">
        <v>20</v>
      </c>
      <c r="E539">
        <v>56</v>
      </c>
      <c r="F539" t="s">
        <v>30</v>
      </c>
      <c r="G539" t="s">
        <v>57</v>
      </c>
      <c r="H539" t="s">
        <v>46</v>
      </c>
      <c r="I539" t="s">
        <v>47</v>
      </c>
      <c r="J539" t="s">
        <v>24</v>
      </c>
      <c r="K539">
        <v>9</v>
      </c>
      <c r="L539" s="4">
        <v>16300</v>
      </c>
      <c r="M539">
        <v>15</v>
      </c>
      <c r="N539" s="4">
        <v>124695</v>
      </c>
      <c r="O539" t="s">
        <v>25</v>
      </c>
      <c r="P539">
        <v>1</v>
      </c>
      <c r="Q539" t="s">
        <v>41</v>
      </c>
      <c r="R539">
        <v>1</v>
      </c>
    </row>
    <row r="540" spans="1:18" x14ac:dyDescent="0.3">
      <c r="A540" t="s">
        <v>1415</v>
      </c>
      <c r="B540" s="1">
        <v>46064</v>
      </c>
      <c r="C540" t="s">
        <v>88</v>
      </c>
      <c r="D540" t="s">
        <v>20</v>
      </c>
      <c r="E540">
        <v>33</v>
      </c>
      <c r="F540" t="s">
        <v>77</v>
      </c>
      <c r="G540" t="s">
        <v>78</v>
      </c>
      <c r="H540" t="s">
        <v>22</v>
      </c>
      <c r="I540" t="s">
        <v>84</v>
      </c>
      <c r="J540" t="s">
        <v>89</v>
      </c>
      <c r="K540">
        <v>4</v>
      </c>
      <c r="L540" s="4">
        <v>29300</v>
      </c>
      <c r="M540">
        <v>25</v>
      </c>
      <c r="N540" s="4">
        <v>87900</v>
      </c>
      <c r="O540" t="s">
        <v>73</v>
      </c>
      <c r="Q540" t="s">
        <v>26</v>
      </c>
      <c r="R540">
        <v>0</v>
      </c>
    </row>
    <row r="541" spans="1:18" x14ac:dyDescent="0.3">
      <c r="A541" t="s">
        <v>1416</v>
      </c>
      <c r="B541" s="1">
        <v>45991</v>
      </c>
      <c r="C541" t="s">
        <v>60</v>
      </c>
      <c r="D541" t="s">
        <v>20</v>
      </c>
      <c r="E541">
        <v>61</v>
      </c>
      <c r="F541" t="s">
        <v>21</v>
      </c>
      <c r="G541" t="s">
        <v>21</v>
      </c>
      <c r="H541" t="s">
        <v>46</v>
      </c>
      <c r="I541" t="s">
        <v>47</v>
      </c>
      <c r="J541" t="s">
        <v>89</v>
      </c>
      <c r="K541">
        <v>3</v>
      </c>
      <c r="L541" s="4">
        <v>24100</v>
      </c>
      <c r="M541">
        <v>10</v>
      </c>
      <c r="N541" s="4">
        <v>65070</v>
      </c>
      <c r="O541" t="s">
        <v>73</v>
      </c>
      <c r="P541">
        <v>4</v>
      </c>
      <c r="Q541" t="s">
        <v>65</v>
      </c>
      <c r="R541">
        <v>0</v>
      </c>
    </row>
    <row r="542" spans="1:18" x14ac:dyDescent="0.3">
      <c r="A542" t="s">
        <v>1420</v>
      </c>
      <c r="B542" s="1">
        <v>46098</v>
      </c>
      <c r="C542" t="s">
        <v>71</v>
      </c>
      <c r="D542" t="s">
        <v>39</v>
      </c>
      <c r="E542">
        <v>40</v>
      </c>
      <c r="F542" t="s">
        <v>21</v>
      </c>
      <c r="G542" t="s">
        <v>21</v>
      </c>
      <c r="H542" t="s">
        <v>62</v>
      </c>
      <c r="I542" t="s">
        <v>63</v>
      </c>
      <c r="J542" t="s">
        <v>89</v>
      </c>
      <c r="K542">
        <v>6</v>
      </c>
      <c r="L542" s="4">
        <v>26900</v>
      </c>
      <c r="M542">
        <v>0</v>
      </c>
      <c r="N542" s="4">
        <v>161400</v>
      </c>
      <c r="O542" t="s">
        <v>85</v>
      </c>
      <c r="P542">
        <v>2</v>
      </c>
      <c r="Q542" t="s">
        <v>41</v>
      </c>
      <c r="R542">
        <v>1</v>
      </c>
    </row>
    <row r="543" spans="1:18" x14ac:dyDescent="0.3">
      <c r="A543" t="s">
        <v>1421</v>
      </c>
      <c r="B543" s="1">
        <v>45867</v>
      </c>
      <c r="C543" t="s">
        <v>38</v>
      </c>
      <c r="D543" t="s">
        <v>20</v>
      </c>
      <c r="E543">
        <v>47</v>
      </c>
      <c r="F543" t="s">
        <v>30</v>
      </c>
      <c r="G543" t="s">
        <v>31</v>
      </c>
      <c r="H543" t="s">
        <v>62</v>
      </c>
      <c r="I543" t="s">
        <v>140</v>
      </c>
      <c r="J543" t="s">
        <v>34</v>
      </c>
      <c r="K543">
        <v>9</v>
      </c>
      <c r="L543" s="4">
        <v>19100</v>
      </c>
      <c r="M543">
        <v>25</v>
      </c>
      <c r="N543" s="4">
        <v>128925</v>
      </c>
      <c r="O543" t="s">
        <v>85</v>
      </c>
      <c r="P543">
        <v>5</v>
      </c>
      <c r="Q543" t="s">
        <v>74</v>
      </c>
      <c r="R543">
        <v>0</v>
      </c>
    </row>
    <row r="544" spans="1:18" x14ac:dyDescent="0.3">
      <c r="A544" t="s">
        <v>1423</v>
      </c>
      <c r="B544" s="1">
        <v>45813</v>
      </c>
      <c r="C544" t="s">
        <v>29</v>
      </c>
      <c r="D544" t="s">
        <v>39</v>
      </c>
      <c r="E544">
        <v>41</v>
      </c>
      <c r="F544" t="s">
        <v>30</v>
      </c>
      <c r="G544" t="s">
        <v>57</v>
      </c>
      <c r="H544" t="s">
        <v>32</v>
      </c>
      <c r="I544" t="s">
        <v>53</v>
      </c>
      <c r="J544" t="s">
        <v>34</v>
      </c>
      <c r="K544">
        <v>9</v>
      </c>
      <c r="L544" s="4">
        <v>5800</v>
      </c>
      <c r="M544">
        <v>5</v>
      </c>
      <c r="N544" s="4">
        <v>49590</v>
      </c>
      <c r="O544" t="s">
        <v>85</v>
      </c>
      <c r="P544">
        <v>3</v>
      </c>
      <c r="Q544" t="s">
        <v>65</v>
      </c>
      <c r="R544">
        <v>0</v>
      </c>
    </row>
    <row r="545" spans="1:18" x14ac:dyDescent="0.3">
      <c r="A545" t="s">
        <v>1425</v>
      </c>
      <c r="B545" s="1">
        <v>45927</v>
      </c>
      <c r="C545" t="s">
        <v>38</v>
      </c>
      <c r="D545" t="s">
        <v>20</v>
      </c>
      <c r="E545">
        <v>47</v>
      </c>
      <c r="F545" t="s">
        <v>61</v>
      </c>
      <c r="G545" t="s">
        <v>61</v>
      </c>
      <c r="H545" t="s">
        <v>46</v>
      </c>
      <c r="I545" t="s">
        <v>47</v>
      </c>
      <c r="J545" t="s">
        <v>89</v>
      </c>
      <c r="K545">
        <v>6</v>
      </c>
      <c r="L545" s="4">
        <v>19900</v>
      </c>
      <c r="M545">
        <v>20</v>
      </c>
      <c r="N545" s="4">
        <v>95520</v>
      </c>
      <c r="O545" t="s">
        <v>85</v>
      </c>
      <c r="P545">
        <v>3</v>
      </c>
      <c r="Q545" t="s">
        <v>74</v>
      </c>
      <c r="R545">
        <v>0</v>
      </c>
    </row>
    <row r="546" spans="1:18" x14ac:dyDescent="0.3">
      <c r="A546" t="s">
        <v>1427</v>
      </c>
      <c r="B546" s="1">
        <v>46023</v>
      </c>
      <c r="C546" t="s">
        <v>71</v>
      </c>
      <c r="D546" t="s">
        <v>39</v>
      </c>
      <c r="E546">
        <v>59</v>
      </c>
      <c r="F546" t="s">
        <v>61</v>
      </c>
      <c r="G546" t="s">
        <v>61</v>
      </c>
      <c r="H546" t="s">
        <v>32</v>
      </c>
      <c r="I546" t="s">
        <v>53</v>
      </c>
      <c r="J546" t="s">
        <v>72</v>
      </c>
      <c r="K546">
        <v>6</v>
      </c>
      <c r="L546" s="4">
        <v>35300</v>
      </c>
      <c r="M546">
        <v>10</v>
      </c>
      <c r="N546" s="4">
        <v>190620</v>
      </c>
      <c r="O546" t="s">
        <v>85</v>
      </c>
      <c r="P546">
        <v>4</v>
      </c>
      <c r="Q546" t="s">
        <v>74</v>
      </c>
      <c r="R546">
        <v>0</v>
      </c>
    </row>
    <row r="547" spans="1:18" x14ac:dyDescent="0.3">
      <c r="A547" t="s">
        <v>1430</v>
      </c>
      <c r="B547" s="1">
        <v>46167</v>
      </c>
      <c r="C547" t="s">
        <v>68</v>
      </c>
      <c r="D547" t="s">
        <v>3292</v>
      </c>
      <c r="E547">
        <v>19</v>
      </c>
      <c r="F547" t="s">
        <v>44</v>
      </c>
      <c r="G547" t="s">
        <v>100</v>
      </c>
      <c r="H547" t="s">
        <v>46</v>
      </c>
      <c r="I547" t="s">
        <v>79</v>
      </c>
      <c r="J547" t="s">
        <v>80</v>
      </c>
      <c r="K547">
        <v>4</v>
      </c>
      <c r="L547" s="4">
        <v>3200</v>
      </c>
      <c r="M547">
        <v>20</v>
      </c>
      <c r="N547" s="4">
        <v>10240</v>
      </c>
      <c r="O547" t="s">
        <v>85</v>
      </c>
      <c r="Q547" t="s">
        <v>74</v>
      </c>
      <c r="R547">
        <v>0</v>
      </c>
    </row>
    <row r="548" spans="1:18" x14ac:dyDescent="0.3">
      <c r="A548" t="s">
        <v>1434</v>
      </c>
      <c r="B548" s="1">
        <v>45857</v>
      </c>
      <c r="C548" t="s">
        <v>121</v>
      </c>
      <c r="D548" t="s">
        <v>39</v>
      </c>
      <c r="E548">
        <v>49</v>
      </c>
      <c r="F548" t="s">
        <v>30</v>
      </c>
      <c r="G548" t="s">
        <v>31</v>
      </c>
      <c r="H548" t="s">
        <v>46</v>
      </c>
      <c r="I548" t="s">
        <v>47</v>
      </c>
      <c r="J548" t="s">
        <v>64</v>
      </c>
      <c r="K548">
        <v>4</v>
      </c>
      <c r="L548" s="4">
        <v>6600</v>
      </c>
      <c r="M548">
        <v>25</v>
      </c>
      <c r="N548" s="4">
        <v>19800</v>
      </c>
      <c r="O548" t="s">
        <v>85</v>
      </c>
      <c r="Q548" t="s">
        <v>74</v>
      </c>
      <c r="R548">
        <v>0</v>
      </c>
    </row>
    <row r="549" spans="1:18" x14ac:dyDescent="0.3">
      <c r="A549" t="s">
        <v>1436</v>
      </c>
      <c r="B549" s="1">
        <v>46083</v>
      </c>
      <c r="C549" t="s">
        <v>19</v>
      </c>
      <c r="D549" t="s">
        <v>20</v>
      </c>
      <c r="E549">
        <v>61</v>
      </c>
      <c r="F549" t="s">
        <v>21</v>
      </c>
      <c r="G549" t="s">
        <v>21</v>
      </c>
      <c r="H549" t="s">
        <v>46</v>
      </c>
      <c r="I549" t="s">
        <v>47</v>
      </c>
      <c r="J549" t="s">
        <v>34</v>
      </c>
      <c r="K549">
        <v>7</v>
      </c>
      <c r="L549" s="4">
        <v>32200</v>
      </c>
      <c r="M549">
        <v>20</v>
      </c>
      <c r="N549" s="4">
        <v>180320</v>
      </c>
      <c r="O549" t="s">
        <v>25</v>
      </c>
      <c r="P549">
        <v>2</v>
      </c>
      <c r="Q549" t="s">
        <v>26</v>
      </c>
      <c r="R549">
        <v>0</v>
      </c>
    </row>
    <row r="550" spans="1:18" x14ac:dyDescent="0.3">
      <c r="A550" t="s">
        <v>1438</v>
      </c>
      <c r="B550" s="1">
        <v>45977</v>
      </c>
      <c r="C550" t="s">
        <v>38</v>
      </c>
      <c r="D550" t="s">
        <v>20</v>
      </c>
      <c r="E550">
        <v>22</v>
      </c>
      <c r="F550" t="s">
        <v>30</v>
      </c>
      <c r="G550" t="s">
        <v>57</v>
      </c>
      <c r="H550" t="s">
        <v>46</v>
      </c>
      <c r="I550" t="s">
        <v>79</v>
      </c>
      <c r="J550" t="s">
        <v>80</v>
      </c>
      <c r="K550">
        <v>5</v>
      </c>
      <c r="L550" s="4">
        <v>7300</v>
      </c>
      <c r="M550">
        <v>25</v>
      </c>
      <c r="N550" s="4">
        <v>27375</v>
      </c>
      <c r="O550" t="s">
        <v>85</v>
      </c>
      <c r="Q550" t="s">
        <v>65</v>
      </c>
      <c r="R550">
        <v>0</v>
      </c>
    </row>
    <row r="551" spans="1:18" x14ac:dyDescent="0.3">
      <c r="A551" t="s">
        <v>1440</v>
      </c>
      <c r="B551" s="1">
        <v>46084</v>
      </c>
      <c r="C551" t="s">
        <v>29</v>
      </c>
      <c r="D551" t="s">
        <v>3292</v>
      </c>
      <c r="E551">
        <v>44</v>
      </c>
      <c r="F551" t="s">
        <v>51</v>
      </c>
      <c r="G551" t="s">
        <v>104</v>
      </c>
      <c r="H551" t="s">
        <v>46</v>
      </c>
      <c r="I551" t="s">
        <v>79</v>
      </c>
      <c r="J551" t="s">
        <v>24</v>
      </c>
      <c r="K551">
        <v>7</v>
      </c>
      <c r="L551" s="4">
        <v>5100</v>
      </c>
      <c r="M551">
        <v>0</v>
      </c>
      <c r="N551" s="4">
        <v>35700</v>
      </c>
      <c r="O551" t="s">
        <v>73</v>
      </c>
      <c r="P551">
        <v>3</v>
      </c>
      <c r="Q551" t="s">
        <v>41</v>
      </c>
      <c r="R551">
        <v>1</v>
      </c>
    </row>
    <row r="552" spans="1:18" x14ac:dyDescent="0.3">
      <c r="A552" t="s">
        <v>1442</v>
      </c>
      <c r="B552" s="1">
        <v>45916</v>
      </c>
      <c r="C552" t="s">
        <v>68</v>
      </c>
      <c r="D552" t="s">
        <v>39</v>
      </c>
      <c r="E552">
        <v>22</v>
      </c>
      <c r="F552" t="s">
        <v>61</v>
      </c>
      <c r="G552" t="s">
        <v>61</v>
      </c>
      <c r="H552" t="s">
        <v>32</v>
      </c>
      <c r="I552" t="s">
        <v>53</v>
      </c>
      <c r="J552" t="s">
        <v>89</v>
      </c>
      <c r="K552">
        <v>2</v>
      </c>
      <c r="L552" s="4">
        <v>9800</v>
      </c>
      <c r="M552">
        <v>10</v>
      </c>
      <c r="N552" s="4">
        <v>17640</v>
      </c>
      <c r="O552" t="s">
        <v>85</v>
      </c>
      <c r="Q552" t="s">
        <v>26</v>
      </c>
      <c r="R552">
        <v>0</v>
      </c>
    </row>
    <row r="553" spans="1:18" x14ac:dyDescent="0.3">
      <c r="A553" t="s">
        <v>1443</v>
      </c>
      <c r="B553" s="1">
        <v>45789</v>
      </c>
      <c r="C553" t="s">
        <v>121</v>
      </c>
      <c r="D553" t="s">
        <v>20</v>
      </c>
      <c r="E553">
        <v>23</v>
      </c>
      <c r="F553" t="s">
        <v>77</v>
      </c>
      <c r="G553" t="s">
        <v>95</v>
      </c>
      <c r="H553" t="s">
        <v>22</v>
      </c>
      <c r="I553" t="s">
        <v>23</v>
      </c>
      <c r="J553" t="s">
        <v>34</v>
      </c>
      <c r="K553">
        <v>5</v>
      </c>
      <c r="L553" s="4">
        <v>34400</v>
      </c>
      <c r="M553">
        <v>25</v>
      </c>
      <c r="N553" s="4">
        <v>129000</v>
      </c>
      <c r="O553" t="s">
        <v>85</v>
      </c>
      <c r="P553">
        <v>3</v>
      </c>
      <c r="Q553" t="s">
        <v>74</v>
      </c>
      <c r="R553">
        <v>0</v>
      </c>
    </row>
    <row r="554" spans="1:18" x14ac:dyDescent="0.3">
      <c r="A554" t="s">
        <v>1445</v>
      </c>
      <c r="B554" s="1">
        <v>45709</v>
      </c>
      <c r="C554" t="s">
        <v>68</v>
      </c>
      <c r="D554" t="s">
        <v>3292</v>
      </c>
      <c r="E554">
        <v>39</v>
      </c>
      <c r="F554" t="s">
        <v>51</v>
      </c>
      <c r="G554" t="s">
        <v>52</v>
      </c>
      <c r="H554" t="s">
        <v>22</v>
      </c>
      <c r="I554" t="s">
        <v>23</v>
      </c>
      <c r="J554" t="s">
        <v>34</v>
      </c>
      <c r="K554">
        <v>1</v>
      </c>
      <c r="L554" s="4">
        <v>30500</v>
      </c>
      <c r="M554">
        <v>20</v>
      </c>
      <c r="N554" s="4">
        <v>24400</v>
      </c>
      <c r="O554" t="s">
        <v>85</v>
      </c>
      <c r="P554">
        <v>1</v>
      </c>
      <c r="Q554" t="s">
        <v>65</v>
      </c>
      <c r="R554">
        <v>0</v>
      </c>
    </row>
    <row r="555" spans="1:18" x14ac:dyDescent="0.3">
      <c r="A555" t="s">
        <v>1446</v>
      </c>
      <c r="B555" s="1">
        <v>45685</v>
      </c>
      <c r="C555" t="s">
        <v>68</v>
      </c>
      <c r="D555" t="s">
        <v>20</v>
      </c>
      <c r="E555">
        <v>37</v>
      </c>
      <c r="F555" t="s">
        <v>21</v>
      </c>
      <c r="G555" t="s">
        <v>21</v>
      </c>
      <c r="H555" t="s">
        <v>62</v>
      </c>
      <c r="I555" t="s">
        <v>63</v>
      </c>
      <c r="J555" t="s">
        <v>34</v>
      </c>
      <c r="K555">
        <v>5</v>
      </c>
      <c r="L555" s="4">
        <v>6400</v>
      </c>
      <c r="M555">
        <v>20</v>
      </c>
      <c r="N555" s="4">
        <v>25600</v>
      </c>
      <c r="O555" t="s">
        <v>85</v>
      </c>
      <c r="P555">
        <v>2</v>
      </c>
      <c r="Q555" t="s">
        <v>74</v>
      </c>
      <c r="R555">
        <v>0</v>
      </c>
    </row>
    <row r="556" spans="1:18" x14ac:dyDescent="0.3">
      <c r="A556" t="s">
        <v>1447</v>
      </c>
      <c r="B556" s="1">
        <v>46133</v>
      </c>
      <c r="C556" t="s">
        <v>88</v>
      </c>
      <c r="D556" t="s">
        <v>20</v>
      </c>
      <c r="E556">
        <v>48</v>
      </c>
      <c r="F556" t="s">
        <v>44</v>
      </c>
      <c r="G556" t="s">
        <v>100</v>
      </c>
      <c r="H556" t="s">
        <v>46</v>
      </c>
      <c r="I556" t="s">
        <v>47</v>
      </c>
      <c r="J556" t="s">
        <v>34</v>
      </c>
      <c r="K556">
        <v>3</v>
      </c>
      <c r="L556" s="4">
        <v>7400</v>
      </c>
      <c r="M556">
        <v>10</v>
      </c>
      <c r="N556" s="4">
        <v>19980</v>
      </c>
      <c r="O556" t="s">
        <v>85</v>
      </c>
      <c r="P556">
        <v>4</v>
      </c>
      <c r="Q556" t="s">
        <v>65</v>
      </c>
      <c r="R556">
        <v>0</v>
      </c>
    </row>
    <row r="557" spans="1:18" x14ac:dyDescent="0.3">
      <c r="A557" t="s">
        <v>1449</v>
      </c>
      <c r="B557" s="1">
        <v>46145</v>
      </c>
      <c r="C557" t="s">
        <v>60</v>
      </c>
      <c r="D557" t="s">
        <v>39</v>
      </c>
      <c r="E557">
        <v>63</v>
      </c>
      <c r="F557" t="s">
        <v>61</v>
      </c>
      <c r="G557" t="s">
        <v>61</v>
      </c>
      <c r="H557" t="s">
        <v>22</v>
      </c>
      <c r="I557" t="s">
        <v>23</v>
      </c>
      <c r="J557" t="s">
        <v>72</v>
      </c>
      <c r="K557">
        <v>1</v>
      </c>
      <c r="L557" s="4">
        <v>6100</v>
      </c>
      <c r="M557">
        <v>0</v>
      </c>
      <c r="N557" s="4">
        <v>6100</v>
      </c>
      <c r="O557" t="s">
        <v>25</v>
      </c>
      <c r="P557">
        <v>3</v>
      </c>
      <c r="Q557" t="s">
        <v>65</v>
      </c>
      <c r="R557">
        <v>0</v>
      </c>
    </row>
    <row r="558" spans="1:18" x14ac:dyDescent="0.3">
      <c r="A558" t="s">
        <v>1451</v>
      </c>
      <c r="B558" s="1">
        <v>46026</v>
      </c>
      <c r="C558" t="s">
        <v>29</v>
      </c>
      <c r="D558" t="s">
        <v>20</v>
      </c>
      <c r="E558">
        <v>64</v>
      </c>
      <c r="F558" t="s">
        <v>21</v>
      </c>
      <c r="G558" t="s">
        <v>21</v>
      </c>
      <c r="H558" t="s">
        <v>46</v>
      </c>
      <c r="I558" t="s">
        <v>79</v>
      </c>
      <c r="J558" t="s">
        <v>64</v>
      </c>
      <c r="K558">
        <v>9</v>
      </c>
      <c r="L558" s="4">
        <v>18200</v>
      </c>
      <c r="M558">
        <v>20</v>
      </c>
      <c r="N558" s="4">
        <v>131040</v>
      </c>
      <c r="O558" t="s">
        <v>85</v>
      </c>
      <c r="P558">
        <v>3</v>
      </c>
      <c r="Q558" t="s">
        <v>41</v>
      </c>
      <c r="R558">
        <v>1</v>
      </c>
    </row>
    <row r="559" spans="1:18" x14ac:dyDescent="0.3">
      <c r="A559" t="s">
        <v>1453</v>
      </c>
      <c r="B559" s="1">
        <v>46110</v>
      </c>
      <c r="C559" t="s">
        <v>29</v>
      </c>
      <c r="D559" t="s">
        <v>3292</v>
      </c>
      <c r="E559">
        <v>56</v>
      </c>
      <c r="F559" t="s">
        <v>21</v>
      </c>
      <c r="G559" t="s">
        <v>21</v>
      </c>
      <c r="H559" t="s">
        <v>62</v>
      </c>
      <c r="I559" t="s">
        <v>140</v>
      </c>
      <c r="J559" t="s">
        <v>24</v>
      </c>
      <c r="K559">
        <v>9</v>
      </c>
      <c r="L559" s="4">
        <v>49700</v>
      </c>
      <c r="M559">
        <v>0</v>
      </c>
      <c r="N559" s="4">
        <v>447300</v>
      </c>
      <c r="O559" t="s">
        <v>25</v>
      </c>
      <c r="P559">
        <v>2</v>
      </c>
      <c r="Q559" t="s">
        <v>65</v>
      </c>
      <c r="R559">
        <v>0</v>
      </c>
    </row>
    <row r="560" spans="1:18" x14ac:dyDescent="0.3">
      <c r="A560" t="s">
        <v>1454</v>
      </c>
      <c r="B560" s="1">
        <v>45830</v>
      </c>
      <c r="C560" t="s">
        <v>94</v>
      </c>
      <c r="D560" t="s">
        <v>20</v>
      </c>
      <c r="E560">
        <v>19</v>
      </c>
      <c r="F560" t="s">
        <v>21</v>
      </c>
      <c r="G560" t="s">
        <v>21</v>
      </c>
      <c r="H560" t="s">
        <v>46</v>
      </c>
      <c r="I560" t="s">
        <v>47</v>
      </c>
      <c r="J560" t="s">
        <v>80</v>
      </c>
      <c r="K560">
        <v>9</v>
      </c>
      <c r="L560" s="4">
        <v>23100</v>
      </c>
      <c r="M560">
        <v>5</v>
      </c>
      <c r="N560" s="4">
        <v>197505</v>
      </c>
      <c r="O560" t="s">
        <v>73</v>
      </c>
      <c r="P560">
        <v>2</v>
      </c>
      <c r="Q560" t="s">
        <v>41</v>
      </c>
      <c r="R560">
        <v>1</v>
      </c>
    </row>
    <row r="561" spans="1:18" x14ac:dyDescent="0.3">
      <c r="A561" t="s">
        <v>1456</v>
      </c>
      <c r="B561" s="1">
        <v>46268</v>
      </c>
      <c r="C561" t="s">
        <v>60</v>
      </c>
      <c r="D561" t="s">
        <v>39</v>
      </c>
      <c r="E561">
        <v>40</v>
      </c>
      <c r="F561" t="s">
        <v>44</v>
      </c>
      <c r="G561" t="s">
        <v>45</v>
      </c>
      <c r="H561" t="s">
        <v>62</v>
      </c>
      <c r="I561" t="s">
        <v>140</v>
      </c>
      <c r="J561" t="s">
        <v>64</v>
      </c>
      <c r="K561">
        <v>10</v>
      </c>
      <c r="L561" s="4">
        <v>49600</v>
      </c>
      <c r="M561">
        <v>20</v>
      </c>
      <c r="N561" s="4">
        <v>396800</v>
      </c>
      <c r="O561" t="s">
        <v>73</v>
      </c>
      <c r="P561">
        <v>4</v>
      </c>
      <c r="Q561" t="s">
        <v>65</v>
      </c>
      <c r="R561">
        <v>0</v>
      </c>
    </row>
    <row r="562" spans="1:18" x14ac:dyDescent="0.3">
      <c r="A562" t="s">
        <v>1457</v>
      </c>
      <c r="B562" s="1">
        <v>45786</v>
      </c>
      <c r="C562" t="s">
        <v>60</v>
      </c>
      <c r="D562" t="s">
        <v>39</v>
      </c>
      <c r="E562">
        <v>39</v>
      </c>
      <c r="F562" t="s">
        <v>30</v>
      </c>
      <c r="G562" t="s">
        <v>31</v>
      </c>
      <c r="H562" t="s">
        <v>32</v>
      </c>
      <c r="I562" t="s">
        <v>33</v>
      </c>
      <c r="J562" t="s">
        <v>64</v>
      </c>
      <c r="K562">
        <v>10</v>
      </c>
      <c r="L562" s="4">
        <v>29600</v>
      </c>
      <c r="M562">
        <v>0</v>
      </c>
      <c r="N562" s="4">
        <v>296000</v>
      </c>
      <c r="O562" t="s">
        <v>25</v>
      </c>
      <c r="P562">
        <v>3</v>
      </c>
      <c r="Q562" t="s">
        <v>41</v>
      </c>
      <c r="R562">
        <v>1</v>
      </c>
    </row>
    <row r="563" spans="1:18" x14ac:dyDescent="0.3">
      <c r="A563" t="s">
        <v>1459</v>
      </c>
      <c r="B563" s="1">
        <v>45984</v>
      </c>
      <c r="C563" t="s">
        <v>19</v>
      </c>
      <c r="D563" t="s">
        <v>20</v>
      </c>
      <c r="E563">
        <v>18</v>
      </c>
      <c r="F563" t="s">
        <v>30</v>
      </c>
      <c r="G563" t="s">
        <v>57</v>
      </c>
      <c r="H563" t="s">
        <v>62</v>
      </c>
      <c r="I563" t="s">
        <v>140</v>
      </c>
      <c r="J563" t="s">
        <v>24</v>
      </c>
      <c r="K563">
        <v>5</v>
      </c>
      <c r="L563" s="4">
        <v>20300</v>
      </c>
      <c r="M563">
        <v>15</v>
      </c>
      <c r="N563" s="4">
        <v>86275</v>
      </c>
      <c r="O563" t="s">
        <v>85</v>
      </c>
      <c r="P563">
        <v>4</v>
      </c>
      <c r="Q563" t="s">
        <v>65</v>
      </c>
      <c r="R563">
        <v>0</v>
      </c>
    </row>
    <row r="564" spans="1:18" x14ac:dyDescent="0.3">
      <c r="A564" t="s">
        <v>1463</v>
      </c>
      <c r="B564" s="1">
        <v>45996</v>
      </c>
      <c r="C564" t="s">
        <v>38</v>
      </c>
      <c r="D564" t="s">
        <v>39</v>
      </c>
      <c r="E564">
        <v>21</v>
      </c>
      <c r="F564" t="s">
        <v>77</v>
      </c>
      <c r="G564" t="s">
        <v>95</v>
      </c>
      <c r="H564" t="s">
        <v>32</v>
      </c>
      <c r="I564" t="s">
        <v>53</v>
      </c>
      <c r="J564" t="s">
        <v>89</v>
      </c>
      <c r="K564">
        <v>8</v>
      </c>
      <c r="L564" s="4">
        <v>49900</v>
      </c>
      <c r="M564">
        <v>5</v>
      </c>
      <c r="N564" s="4">
        <v>379240</v>
      </c>
      <c r="O564" t="s">
        <v>25</v>
      </c>
      <c r="P564">
        <v>3</v>
      </c>
      <c r="Q564" t="s">
        <v>74</v>
      </c>
      <c r="R564">
        <v>0</v>
      </c>
    </row>
    <row r="565" spans="1:18" x14ac:dyDescent="0.3">
      <c r="A565" t="s">
        <v>1465</v>
      </c>
      <c r="B565" s="1">
        <v>45792</v>
      </c>
      <c r="C565" t="s">
        <v>68</v>
      </c>
      <c r="D565" t="s">
        <v>3292</v>
      </c>
      <c r="E565">
        <v>20</v>
      </c>
      <c r="F565" t="s">
        <v>61</v>
      </c>
      <c r="G565" t="s">
        <v>61</v>
      </c>
      <c r="H565" t="s">
        <v>46</v>
      </c>
      <c r="I565" t="s">
        <v>47</v>
      </c>
      <c r="J565" t="s">
        <v>24</v>
      </c>
      <c r="K565">
        <v>5</v>
      </c>
      <c r="L565" s="4">
        <v>2000</v>
      </c>
      <c r="M565">
        <v>10</v>
      </c>
      <c r="N565" s="4">
        <v>9000</v>
      </c>
      <c r="O565" t="s">
        <v>73</v>
      </c>
      <c r="P565">
        <v>4</v>
      </c>
      <c r="Q565" t="s">
        <v>26</v>
      </c>
      <c r="R565">
        <v>0</v>
      </c>
    </row>
    <row r="566" spans="1:18" x14ac:dyDescent="0.3">
      <c r="A566" t="s">
        <v>1467</v>
      </c>
      <c r="B566" s="1">
        <v>45820</v>
      </c>
      <c r="C566" t="s">
        <v>121</v>
      </c>
      <c r="D566" t="s">
        <v>3292</v>
      </c>
      <c r="E566">
        <v>42</v>
      </c>
      <c r="F566" t="s">
        <v>51</v>
      </c>
      <c r="G566" t="s">
        <v>52</v>
      </c>
      <c r="H566" t="s">
        <v>46</v>
      </c>
      <c r="I566" t="s">
        <v>47</v>
      </c>
      <c r="J566" t="s">
        <v>72</v>
      </c>
      <c r="K566">
        <v>7</v>
      </c>
      <c r="L566" s="4">
        <v>39400</v>
      </c>
      <c r="M566">
        <v>10</v>
      </c>
      <c r="N566" s="4">
        <v>248220</v>
      </c>
      <c r="O566" t="s">
        <v>73</v>
      </c>
      <c r="Q566" t="s">
        <v>26</v>
      </c>
      <c r="R566">
        <v>0</v>
      </c>
    </row>
    <row r="567" spans="1:18" x14ac:dyDescent="0.3">
      <c r="A567" t="s">
        <v>1469</v>
      </c>
      <c r="B567" s="1">
        <v>45988</v>
      </c>
      <c r="C567" t="s">
        <v>68</v>
      </c>
      <c r="D567" t="s">
        <v>20</v>
      </c>
      <c r="E567">
        <v>19</v>
      </c>
      <c r="F567" t="s">
        <v>44</v>
      </c>
      <c r="G567" t="s">
        <v>45</v>
      </c>
      <c r="H567" t="s">
        <v>22</v>
      </c>
      <c r="I567" t="s">
        <v>23</v>
      </c>
      <c r="J567" t="s">
        <v>89</v>
      </c>
      <c r="K567">
        <v>4</v>
      </c>
      <c r="L567" s="4">
        <v>24300</v>
      </c>
      <c r="M567">
        <v>0</v>
      </c>
      <c r="N567" s="4">
        <v>97200</v>
      </c>
      <c r="O567" t="s">
        <v>85</v>
      </c>
      <c r="P567">
        <v>3</v>
      </c>
      <c r="Q567" t="s">
        <v>65</v>
      </c>
      <c r="R567">
        <v>0</v>
      </c>
    </row>
    <row r="568" spans="1:18" x14ac:dyDescent="0.3">
      <c r="A568" t="s">
        <v>1471</v>
      </c>
      <c r="B568" s="1">
        <v>46239</v>
      </c>
      <c r="C568" t="s">
        <v>88</v>
      </c>
      <c r="D568" t="s">
        <v>3292</v>
      </c>
      <c r="E568">
        <v>59</v>
      </c>
      <c r="F568" t="s">
        <v>44</v>
      </c>
      <c r="G568" t="s">
        <v>45</v>
      </c>
      <c r="H568" t="s">
        <v>32</v>
      </c>
      <c r="I568" t="s">
        <v>53</v>
      </c>
      <c r="J568" t="s">
        <v>34</v>
      </c>
      <c r="K568">
        <v>10</v>
      </c>
      <c r="L568" s="4">
        <v>22600</v>
      </c>
      <c r="M568">
        <v>0</v>
      </c>
      <c r="N568" s="4">
        <v>226000</v>
      </c>
      <c r="O568" t="s">
        <v>85</v>
      </c>
      <c r="Q568" t="s">
        <v>41</v>
      </c>
      <c r="R568">
        <v>1</v>
      </c>
    </row>
    <row r="569" spans="1:18" x14ac:dyDescent="0.3">
      <c r="A569" t="s">
        <v>1472</v>
      </c>
      <c r="B569" s="1">
        <v>46092</v>
      </c>
      <c r="C569" t="s">
        <v>68</v>
      </c>
      <c r="D569" t="s">
        <v>20</v>
      </c>
      <c r="E569">
        <v>43</v>
      </c>
      <c r="F569" t="s">
        <v>77</v>
      </c>
      <c r="G569" t="s">
        <v>95</v>
      </c>
      <c r="H569" t="s">
        <v>46</v>
      </c>
      <c r="I569" t="s">
        <v>79</v>
      </c>
      <c r="J569" t="s">
        <v>34</v>
      </c>
      <c r="K569">
        <v>3</v>
      </c>
      <c r="L569" s="4">
        <v>46900</v>
      </c>
      <c r="M569">
        <v>0</v>
      </c>
      <c r="N569" s="4">
        <v>140700</v>
      </c>
      <c r="O569" t="s">
        <v>25</v>
      </c>
      <c r="P569">
        <v>2</v>
      </c>
      <c r="Q569" t="s">
        <v>41</v>
      </c>
      <c r="R569">
        <v>1</v>
      </c>
    </row>
    <row r="570" spans="1:18" x14ac:dyDescent="0.3">
      <c r="A570" t="s">
        <v>1474</v>
      </c>
      <c r="B570" s="1">
        <v>45844</v>
      </c>
      <c r="C570" t="s">
        <v>121</v>
      </c>
      <c r="D570" t="s">
        <v>3292</v>
      </c>
      <c r="E570">
        <v>65</v>
      </c>
      <c r="F570" t="s">
        <v>61</v>
      </c>
      <c r="G570" t="s">
        <v>61</v>
      </c>
      <c r="H570" t="s">
        <v>46</v>
      </c>
      <c r="I570" t="s">
        <v>79</v>
      </c>
      <c r="J570" t="s">
        <v>34</v>
      </c>
      <c r="K570">
        <v>4</v>
      </c>
      <c r="L570" s="4">
        <v>9900</v>
      </c>
      <c r="M570">
        <v>15</v>
      </c>
      <c r="N570" s="4">
        <v>33660</v>
      </c>
      <c r="O570" t="s">
        <v>85</v>
      </c>
      <c r="P570">
        <v>1</v>
      </c>
      <c r="Q570" t="s">
        <v>26</v>
      </c>
      <c r="R570">
        <v>0</v>
      </c>
    </row>
    <row r="571" spans="1:18" x14ac:dyDescent="0.3">
      <c r="A571" t="s">
        <v>1476</v>
      </c>
      <c r="B571" s="1">
        <v>46186</v>
      </c>
      <c r="C571" t="s">
        <v>113</v>
      </c>
      <c r="D571" t="s">
        <v>39</v>
      </c>
      <c r="E571">
        <v>61</v>
      </c>
      <c r="F571" t="s">
        <v>77</v>
      </c>
      <c r="G571" t="s">
        <v>95</v>
      </c>
      <c r="H571" t="s">
        <v>46</v>
      </c>
      <c r="I571" t="s">
        <v>79</v>
      </c>
      <c r="J571" t="s">
        <v>64</v>
      </c>
      <c r="K571">
        <v>6</v>
      </c>
      <c r="L571" s="4">
        <v>43400</v>
      </c>
      <c r="M571">
        <v>10</v>
      </c>
      <c r="N571" s="4">
        <v>234360</v>
      </c>
      <c r="O571" t="s">
        <v>85</v>
      </c>
      <c r="P571">
        <v>4</v>
      </c>
      <c r="Q571" t="s">
        <v>26</v>
      </c>
      <c r="R571">
        <v>0</v>
      </c>
    </row>
    <row r="572" spans="1:18" x14ac:dyDescent="0.3">
      <c r="A572" t="s">
        <v>1480</v>
      </c>
      <c r="B572" s="1">
        <v>46093</v>
      </c>
      <c r="C572" t="s">
        <v>113</v>
      </c>
      <c r="D572" t="s">
        <v>3292</v>
      </c>
      <c r="E572">
        <v>39</v>
      </c>
      <c r="F572" t="s">
        <v>44</v>
      </c>
      <c r="G572" t="s">
        <v>100</v>
      </c>
      <c r="H572" t="s">
        <v>22</v>
      </c>
      <c r="I572" t="s">
        <v>23</v>
      </c>
      <c r="J572" t="s">
        <v>64</v>
      </c>
      <c r="K572">
        <v>1</v>
      </c>
      <c r="L572" s="4">
        <v>4600</v>
      </c>
      <c r="M572">
        <v>15</v>
      </c>
      <c r="N572" s="4">
        <v>3910</v>
      </c>
      <c r="O572" t="s">
        <v>85</v>
      </c>
      <c r="P572">
        <v>2</v>
      </c>
      <c r="Q572" t="s">
        <v>26</v>
      </c>
      <c r="R572">
        <v>0</v>
      </c>
    </row>
    <row r="573" spans="1:18" x14ac:dyDescent="0.3">
      <c r="A573" t="s">
        <v>1482</v>
      </c>
      <c r="B573" s="1">
        <v>45932</v>
      </c>
      <c r="C573" t="s">
        <v>29</v>
      </c>
      <c r="D573" t="s">
        <v>39</v>
      </c>
      <c r="E573">
        <v>25</v>
      </c>
      <c r="F573" t="s">
        <v>30</v>
      </c>
      <c r="G573" t="s">
        <v>57</v>
      </c>
      <c r="H573" t="s">
        <v>22</v>
      </c>
      <c r="I573" t="s">
        <v>23</v>
      </c>
      <c r="J573" t="s">
        <v>34</v>
      </c>
      <c r="K573">
        <v>10</v>
      </c>
      <c r="L573" s="4">
        <v>42700</v>
      </c>
      <c r="M573">
        <v>20</v>
      </c>
      <c r="N573" s="4">
        <v>341600</v>
      </c>
      <c r="O573" t="s">
        <v>25</v>
      </c>
      <c r="Q573" t="s">
        <v>65</v>
      </c>
      <c r="R573">
        <v>0</v>
      </c>
    </row>
    <row r="574" spans="1:18" x14ac:dyDescent="0.3">
      <c r="A574" t="s">
        <v>1486</v>
      </c>
      <c r="B574" s="1">
        <v>45854</v>
      </c>
      <c r="C574" t="s">
        <v>88</v>
      </c>
      <c r="D574" t="s">
        <v>3292</v>
      </c>
      <c r="E574">
        <v>48</v>
      </c>
      <c r="F574" t="s">
        <v>51</v>
      </c>
      <c r="G574" t="s">
        <v>104</v>
      </c>
      <c r="H574" t="s">
        <v>62</v>
      </c>
      <c r="I574" t="s">
        <v>140</v>
      </c>
      <c r="J574" t="s">
        <v>24</v>
      </c>
      <c r="K574">
        <v>7</v>
      </c>
      <c r="L574" s="4">
        <v>39500</v>
      </c>
      <c r="M574">
        <v>0</v>
      </c>
      <c r="N574" s="4">
        <v>276500</v>
      </c>
      <c r="O574" t="s">
        <v>85</v>
      </c>
      <c r="Q574" t="s">
        <v>41</v>
      </c>
      <c r="R574">
        <v>1</v>
      </c>
    </row>
    <row r="575" spans="1:18" x14ac:dyDescent="0.3">
      <c r="A575" t="s">
        <v>1488</v>
      </c>
      <c r="B575" s="1">
        <v>46198</v>
      </c>
      <c r="C575" t="s">
        <v>38</v>
      </c>
      <c r="D575" t="s">
        <v>20</v>
      </c>
      <c r="E575">
        <v>43</v>
      </c>
      <c r="F575" t="s">
        <v>51</v>
      </c>
      <c r="G575" t="s">
        <v>104</v>
      </c>
      <c r="H575" t="s">
        <v>32</v>
      </c>
      <c r="I575" t="s">
        <v>33</v>
      </c>
      <c r="J575" t="s">
        <v>34</v>
      </c>
      <c r="K575">
        <v>4</v>
      </c>
      <c r="L575" s="4">
        <v>36400</v>
      </c>
      <c r="M575">
        <v>15</v>
      </c>
      <c r="N575" s="4">
        <v>123760</v>
      </c>
      <c r="O575" t="s">
        <v>73</v>
      </c>
      <c r="P575">
        <v>5</v>
      </c>
      <c r="Q575" t="s">
        <v>26</v>
      </c>
      <c r="R575">
        <v>0</v>
      </c>
    </row>
    <row r="576" spans="1:18" x14ac:dyDescent="0.3">
      <c r="A576" t="s">
        <v>1489</v>
      </c>
      <c r="B576" s="1">
        <v>46089</v>
      </c>
      <c r="C576" t="s">
        <v>29</v>
      </c>
      <c r="D576" t="s">
        <v>20</v>
      </c>
      <c r="E576">
        <v>42</v>
      </c>
      <c r="F576" t="s">
        <v>44</v>
      </c>
      <c r="G576" t="s">
        <v>100</v>
      </c>
      <c r="H576" t="s">
        <v>22</v>
      </c>
      <c r="I576" t="s">
        <v>23</v>
      </c>
      <c r="J576" t="s">
        <v>64</v>
      </c>
      <c r="K576">
        <v>4</v>
      </c>
      <c r="L576" s="4">
        <v>47200</v>
      </c>
      <c r="M576">
        <v>5</v>
      </c>
      <c r="N576" s="4">
        <v>179360</v>
      </c>
      <c r="O576" t="s">
        <v>73</v>
      </c>
      <c r="P576">
        <v>1</v>
      </c>
      <c r="Q576" t="s">
        <v>74</v>
      </c>
      <c r="R576">
        <v>0</v>
      </c>
    </row>
    <row r="577" spans="1:18" x14ac:dyDescent="0.3">
      <c r="A577" t="s">
        <v>1492</v>
      </c>
      <c r="B577" s="1">
        <v>45782</v>
      </c>
      <c r="C577" t="s">
        <v>19</v>
      </c>
      <c r="D577" t="s">
        <v>20</v>
      </c>
      <c r="E577">
        <v>30</v>
      </c>
      <c r="F577" t="s">
        <v>61</v>
      </c>
      <c r="G577" t="s">
        <v>61</v>
      </c>
      <c r="H577" t="s">
        <v>46</v>
      </c>
      <c r="I577" t="s">
        <v>47</v>
      </c>
      <c r="J577" t="s">
        <v>89</v>
      </c>
      <c r="K577">
        <v>2</v>
      </c>
      <c r="L577" s="4">
        <v>13700</v>
      </c>
      <c r="M577">
        <v>0</v>
      </c>
      <c r="N577" s="4">
        <v>27400</v>
      </c>
      <c r="O577" t="s">
        <v>73</v>
      </c>
      <c r="P577">
        <v>4</v>
      </c>
      <c r="Q577" t="s">
        <v>41</v>
      </c>
      <c r="R577">
        <v>1</v>
      </c>
    </row>
    <row r="578" spans="1:18" x14ac:dyDescent="0.3">
      <c r="A578" t="s">
        <v>1496</v>
      </c>
      <c r="B578" s="1">
        <v>45665</v>
      </c>
      <c r="C578" t="s">
        <v>94</v>
      </c>
      <c r="D578" t="s">
        <v>20</v>
      </c>
      <c r="E578">
        <v>35</v>
      </c>
      <c r="F578" t="s">
        <v>61</v>
      </c>
      <c r="G578" t="s">
        <v>61</v>
      </c>
      <c r="H578" t="s">
        <v>32</v>
      </c>
      <c r="I578" t="s">
        <v>33</v>
      </c>
      <c r="J578" t="s">
        <v>34</v>
      </c>
      <c r="K578">
        <v>1</v>
      </c>
      <c r="L578" s="4">
        <v>25400</v>
      </c>
      <c r="M578">
        <v>0</v>
      </c>
      <c r="N578" s="4">
        <v>25400</v>
      </c>
      <c r="O578" t="s">
        <v>25</v>
      </c>
      <c r="P578">
        <v>2</v>
      </c>
      <c r="Q578" t="s">
        <v>26</v>
      </c>
      <c r="R578">
        <v>0</v>
      </c>
    </row>
    <row r="579" spans="1:18" x14ac:dyDescent="0.3">
      <c r="A579" t="s">
        <v>1500</v>
      </c>
      <c r="B579" s="1">
        <v>45669</v>
      </c>
      <c r="C579" t="s">
        <v>88</v>
      </c>
      <c r="D579" t="s">
        <v>20</v>
      </c>
      <c r="E579">
        <v>39</v>
      </c>
      <c r="F579" t="s">
        <v>61</v>
      </c>
      <c r="G579" t="s">
        <v>61</v>
      </c>
      <c r="H579" t="s">
        <v>46</v>
      </c>
      <c r="I579" t="s">
        <v>47</v>
      </c>
      <c r="J579" t="s">
        <v>89</v>
      </c>
      <c r="K579">
        <v>3</v>
      </c>
      <c r="L579" s="4">
        <v>7900</v>
      </c>
      <c r="M579">
        <v>20</v>
      </c>
      <c r="N579" s="4">
        <v>18960</v>
      </c>
      <c r="O579" t="s">
        <v>25</v>
      </c>
      <c r="P579">
        <v>1</v>
      </c>
      <c r="Q579" t="s">
        <v>65</v>
      </c>
      <c r="R579">
        <v>0</v>
      </c>
    </row>
    <row r="580" spans="1:18" x14ac:dyDescent="0.3">
      <c r="A580" t="s">
        <v>1503</v>
      </c>
      <c r="B580" s="1">
        <v>46069</v>
      </c>
      <c r="C580" t="s">
        <v>94</v>
      </c>
      <c r="D580" t="s">
        <v>39</v>
      </c>
      <c r="E580">
        <v>25</v>
      </c>
      <c r="F580" t="s">
        <v>21</v>
      </c>
      <c r="G580" t="s">
        <v>21</v>
      </c>
      <c r="H580" t="s">
        <v>22</v>
      </c>
      <c r="I580" t="s">
        <v>23</v>
      </c>
      <c r="J580" t="s">
        <v>80</v>
      </c>
      <c r="K580">
        <v>10</v>
      </c>
      <c r="L580" s="4">
        <v>16900</v>
      </c>
      <c r="M580">
        <v>25</v>
      </c>
      <c r="N580" s="4">
        <v>126750</v>
      </c>
      <c r="O580" t="s">
        <v>85</v>
      </c>
      <c r="P580">
        <v>2</v>
      </c>
      <c r="Q580" t="s">
        <v>26</v>
      </c>
      <c r="R580">
        <v>0</v>
      </c>
    </row>
    <row r="581" spans="1:18" x14ac:dyDescent="0.3">
      <c r="A581" t="s">
        <v>1504</v>
      </c>
      <c r="B581" s="1">
        <v>46184</v>
      </c>
      <c r="C581" t="s">
        <v>71</v>
      </c>
      <c r="D581" t="s">
        <v>39</v>
      </c>
      <c r="E581">
        <v>54</v>
      </c>
      <c r="F581" t="s">
        <v>51</v>
      </c>
      <c r="G581" t="s">
        <v>104</v>
      </c>
      <c r="H581" t="s">
        <v>62</v>
      </c>
      <c r="I581" t="s">
        <v>63</v>
      </c>
      <c r="J581" t="s">
        <v>80</v>
      </c>
      <c r="K581">
        <v>3</v>
      </c>
      <c r="L581" s="4">
        <v>44600</v>
      </c>
      <c r="M581">
        <v>15</v>
      </c>
      <c r="N581" s="4">
        <v>113730</v>
      </c>
      <c r="O581" t="s">
        <v>85</v>
      </c>
      <c r="Q581" t="s">
        <v>41</v>
      </c>
      <c r="R581">
        <v>1</v>
      </c>
    </row>
    <row r="582" spans="1:18" x14ac:dyDescent="0.3">
      <c r="A582" t="s">
        <v>1506</v>
      </c>
      <c r="B582" s="1">
        <v>45722</v>
      </c>
      <c r="C582" t="s">
        <v>94</v>
      </c>
      <c r="D582" t="s">
        <v>3292</v>
      </c>
      <c r="E582">
        <v>48</v>
      </c>
      <c r="F582" t="s">
        <v>51</v>
      </c>
      <c r="G582" t="s">
        <v>104</v>
      </c>
      <c r="H582" t="s">
        <v>22</v>
      </c>
      <c r="I582" t="s">
        <v>23</v>
      </c>
      <c r="J582" t="s">
        <v>64</v>
      </c>
      <c r="K582">
        <v>4</v>
      </c>
      <c r="L582" s="4">
        <v>14800</v>
      </c>
      <c r="M582">
        <v>20</v>
      </c>
      <c r="N582" s="4">
        <v>47360</v>
      </c>
      <c r="O582" t="s">
        <v>85</v>
      </c>
      <c r="Q582" t="s">
        <v>65</v>
      </c>
      <c r="R582">
        <v>0</v>
      </c>
    </row>
    <row r="583" spans="1:18" x14ac:dyDescent="0.3">
      <c r="A583" t="s">
        <v>1508</v>
      </c>
      <c r="B583" s="1">
        <v>46269</v>
      </c>
      <c r="C583" t="s">
        <v>29</v>
      </c>
      <c r="D583" t="s">
        <v>3292</v>
      </c>
      <c r="E583">
        <v>64</v>
      </c>
      <c r="F583" t="s">
        <v>61</v>
      </c>
      <c r="G583" t="s">
        <v>61</v>
      </c>
      <c r="H583" t="s">
        <v>46</v>
      </c>
      <c r="I583" t="s">
        <v>47</v>
      </c>
      <c r="J583" t="s">
        <v>72</v>
      </c>
      <c r="K583">
        <v>3</v>
      </c>
      <c r="L583" s="4">
        <v>31000</v>
      </c>
      <c r="M583">
        <v>10</v>
      </c>
      <c r="N583" s="4">
        <v>83700</v>
      </c>
      <c r="O583" t="s">
        <v>25</v>
      </c>
      <c r="P583">
        <v>2</v>
      </c>
      <c r="Q583" t="s">
        <v>65</v>
      </c>
      <c r="R583">
        <v>0</v>
      </c>
    </row>
    <row r="584" spans="1:18" x14ac:dyDescent="0.3">
      <c r="A584" t="s">
        <v>1510</v>
      </c>
      <c r="B584" s="1">
        <v>46114</v>
      </c>
      <c r="C584" t="s">
        <v>113</v>
      </c>
      <c r="D584" t="s">
        <v>20</v>
      </c>
      <c r="E584">
        <v>54</v>
      </c>
      <c r="F584" t="s">
        <v>21</v>
      </c>
      <c r="G584" t="s">
        <v>21</v>
      </c>
      <c r="H584" t="s">
        <v>62</v>
      </c>
      <c r="I584" t="s">
        <v>140</v>
      </c>
      <c r="J584" t="s">
        <v>89</v>
      </c>
      <c r="K584">
        <v>3</v>
      </c>
      <c r="L584" s="4">
        <v>23100</v>
      </c>
      <c r="M584">
        <v>25</v>
      </c>
      <c r="N584" s="4">
        <v>51975</v>
      </c>
      <c r="O584" t="s">
        <v>73</v>
      </c>
      <c r="P584">
        <v>1</v>
      </c>
      <c r="Q584" t="s">
        <v>41</v>
      </c>
      <c r="R584">
        <v>1</v>
      </c>
    </row>
    <row r="585" spans="1:18" x14ac:dyDescent="0.3">
      <c r="A585" t="s">
        <v>1512</v>
      </c>
      <c r="B585" s="1">
        <v>45683</v>
      </c>
      <c r="C585" t="s">
        <v>68</v>
      </c>
      <c r="D585" t="s">
        <v>39</v>
      </c>
      <c r="E585">
        <v>48</v>
      </c>
      <c r="F585" t="s">
        <v>21</v>
      </c>
      <c r="G585" t="s">
        <v>21</v>
      </c>
      <c r="H585" t="s">
        <v>32</v>
      </c>
      <c r="I585" t="s">
        <v>53</v>
      </c>
      <c r="J585" t="s">
        <v>80</v>
      </c>
      <c r="K585">
        <v>10</v>
      </c>
      <c r="L585" s="4">
        <v>42200</v>
      </c>
      <c r="M585">
        <v>5</v>
      </c>
      <c r="N585" s="4">
        <v>400900</v>
      </c>
      <c r="O585" t="s">
        <v>85</v>
      </c>
      <c r="P585">
        <v>1</v>
      </c>
      <c r="Q585" t="s">
        <v>26</v>
      </c>
      <c r="R585">
        <v>0</v>
      </c>
    </row>
    <row r="586" spans="1:18" x14ac:dyDescent="0.3">
      <c r="A586" t="s">
        <v>1515</v>
      </c>
      <c r="B586" s="1">
        <v>46146</v>
      </c>
      <c r="C586" t="s">
        <v>60</v>
      </c>
      <c r="D586" t="s">
        <v>20</v>
      </c>
      <c r="E586">
        <v>56</v>
      </c>
      <c r="F586" t="s">
        <v>21</v>
      </c>
      <c r="G586" t="s">
        <v>21</v>
      </c>
      <c r="H586" t="s">
        <v>62</v>
      </c>
      <c r="I586" t="s">
        <v>140</v>
      </c>
      <c r="J586" t="s">
        <v>72</v>
      </c>
      <c r="K586">
        <v>8</v>
      </c>
      <c r="L586" s="4">
        <v>19000</v>
      </c>
      <c r="M586">
        <v>20</v>
      </c>
      <c r="N586" s="4">
        <v>121600</v>
      </c>
      <c r="O586" t="s">
        <v>85</v>
      </c>
      <c r="P586">
        <v>5</v>
      </c>
      <c r="Q586" t="s">
        <v>65</v>
      </c>
      <c r="R586">
        <v>0</v>
      </c>
    </row>
    <row r="587" spans="1:18" x14ac:dyDescent="0.3">
      <c r="A587" t="s">
        <v>1517</v>
      </c>
      <c r="B587" s="1">
        <v>46040</v>
      </c>
      <c r="C587" t="s">
        <v>29</v>
      </c>
      <c r="D587" t="s">
        <v>3292</v>
      </c>
      <c r="E587">
        <v>50</v>
      </c>
      <c r="F587" t="s">
        <v>61</v>
      </c>
      <c r="G587" t="s">
        <v>61</v>
      </c>
      <c r="H587" t="s">
        <v>32</v>
      </c>
      <c r="I587" t="s">
        <v>33</v>
      </c>
      <c r="J587" t="s">
        <v>89</v>
      </c>
      <c r="K587">
        <v>1</v>
      </c>
      <c r="L587" s="4">
        <v>33200</v>
      </c>
      <c r="M587">
        <v>0</v>
      </c>
      <c r="N587" s="4">
        <v>33200</v>
      </c>
      <c r="O587" t="s">
        <v>85</v>
      </c>
      <c r="Q587" t="s">
        <v>41</v>
      </c>
      <c r="R587">
        <v>1</v>
      </c>
    </row>
    <row r="588" spans="1:18" x14ac:dyDescent="0.3">
      <c r="A588" t="s">
        <v>1519</v>
      </c>
      <c r="B588" s="1">
        <v>45833</v>
      </c>
      <c r="C588" t="s">
        <v>29</v>
      </c>
      <c r="D588" t="s">
        <v>20</v>
      </c>
      <c r="E588">
        <v>48</v>
      </c>
      <c r="F588" t="s">
        <v>51</v>
      </c>
      <c r="G588" t="s">
        <v>52</v>
      </c>
      <c r="H588" t="s">
        <v>22</v>
      </c>
      <c r="I588" t="s">
        <v>23</v>
      </c>
      <c r="J588" t="s">
        <v>72</v>
      </c>
      <c r="K588">
        <v>8</v>
      </c>
      <c r="L588" s="4">
        <v>47400</v>
      </c>
      <c r="M588">
        <v>5</v>
      </c>
      <c r="N588" s="4">
        <v>360240</v>
      </c>
      <c r="O588" t="s">
        <v>85</v>
      </c>
      <c r="P588">
        <v>1</v>
      </c>
      <c r="Q588" t="s">
        <v>41</v>
      </c>
      <c r="R588">
        <v>1</v>
      </c>
    </row>
    <row r="589" spans="1:18" x14ac:dyDescent="0.3">
      <c r="A589" t="s">
        <v>1521</v>
      </c>
      <c r="B589" s="1">
        <v>45832</v>
      </c>
      <c r="C589" t="s">
        <v>29</v>
      </c>
      <c r="D589" t="s">
        <v>3292</v>
      </c>
      <c r="E589">
        <v>25</v>
      </c>
      <c r="F589" t="s">
        <v>51</v>
      </c>
      <c r="G589" t="s">
        <v>104</v>
      </c>
      <c r="H589" t="s">
        <v>46</v>
      </c>
      <c r="I589" t="s">
        <v>79</v>
      </c>
      <c r="J589" t="s">
        <v>24</v>
      </c>
      <c r="K589">
        <v>3</v>
      </c>
      <c r="L589" s="4">
        <v>21700</v>
      </c>
      <c r="M589">
        <v>0</v>
      </c>
      <c r="N589" s="4">
        <v>65100</v>
      </c>
      <c r="O589" t="s">
        <v>25</v>
      </c>
      <c r="Q589" t="s">
        <v>74</v>
      </c>
      <c r="R589">
        <v>0</v>
      </c>
    </row>
    <row r="590" spans="1:18" x14ac:dyDescent="0.3">
      <c r="A590" t="s">
        <v>1523</v>
      </c>
      <c r="B590" s="1">
        <v>46109</v>
      </c>
      <c r="C590" t="s">
        <v>113</v>
      </c>
      <c r="D590" t="s">
        <v>3292</v>
      </c>
      <c r="E590">
        <v>25</v>
      </c>
      <c r="F590" t="s">
        <v>51</v>
      </c>
      <c r="G590" t="s">
        <v>104</v>
      </c>
      <c r="H590" t="s">
        <v>22</v>
      </c>
      <c r="I590" t="s">
        <v>84</v>
      </c>
      <c r="J590" t="s">
        <v>80</v>
      </c>
      <c r="K590">
        <v>8</v>
      </c>
      <c r="L590" s="4">
        <v>40100</v>
      </c>
      <c r="M590">
        <v>10</v>
      </c>
      <c r="N590" s="4">
        <v>288720</v>
      </c>
      <c r="O590" t="s">
        <v>85</v>
      </c>
      <c r="P590">
        <v>5</v>
      </c>
      <c r="Q590" t="s">
        <v>26</v>
      </c>
      <c r="R590">
        <v>0</v>
      </c>
    </row>
    <row r="591" spans="1:18" x14ac:dyDescent="0.3">
      <c r="A591" t="s">
        <v>1524</v>
      </c>
      <c r="B591" s="1">
        <v>45965</v>
      </c>
      <c r="C591" t="s">
        <v>68</v>
      </c>
      <c r="D591" t="s">
        <v>39</v>
      </c>
      <c r="E591">
        <v>49</v>
      </c>
      <c r="F591" t="s">
        <v>30</v>
      </c>
      <c r="G591" t="s">
        <v>57</v>
      </c>
      <c r="H591" t="s">
        <v>46</v>
      </c>
      <c r="I591" t="s">
        <v>79</v>
      </c>
      <c r="J591" t="s">
        <v>89</v>
      </c>
      <c r="K591">
        <v>2</v>
      </c>
      <c r="L591" s="4">
        <v>36100</v>
      </c>
      <c r="M591">
        <v>25</v>
      </c>
      <c r="N591" s="4">
        <v>54150</v>
      </c>
      <c r="O591" t="s">
        <v>73</v>
      </c>
      <c r="Q591" t="s">
        <v>74</v>
      </c>
      <c r="R591">
        <v>0</v>
      </c>
    </row>
    <row r="592" spans="1:18" x14ac:dyDescent="0.3">
      <c r="A592" t="s">
        <v>1526</v>
      </c>
      <c r="B592" s="1">
        <v>45839</v>
      </c>
      <c r="C592" t="s">
        <v>19</v>
      </c>
      <c r="D592" t="s">
        <v>3292</v>
      </c>
      <c r="E592">
        <v>35</v>
      </c>
      <c r="F592" t="s">
        <v>21</v>
      </c>
      <c r="G592" t="s">
        <v>21</v>
      </c>
      <c r="H592" t="s">
        <v>62</v>
      </c>
      <c r="I592" t="s">
        <v>140</v>
      </c>
      <c r="J592" t="s">
        <v>64</v>
      </c>
      <c r="K592">
        <v>3</v>
      </c>
      <c r="L592" s="4">
        <v>39000</v>
      </c>
      <c r="M592">
        <v>25</v>
      </c>
      <c r="N592" s="4">
        <v>87750</v>
      </c>
      <c r="O592" t="s">
        <v>25</v>
      </c>
      <c r="P592">
        <v>1</v>
      </c>
      <c r="Q592" t="s">
        <v>41</v>
      </c>
      <c r="R592">
        <v>1</v>
      </c>
    </row>
    <row r="593" spans="1:18" x14ac:dyDescent="0.3">
      <c r="A593" t="s">
        <v>1528</v>
      </c>
      <c r="B593" s="1">
        <v>45762</v>
      </c>
      <c r="C593" t="s">
        <v>60</v>
      </c>
      <c r="D593" t="s">
        <v>3292</v>
      </c>
      <c r="E593">
        <v>29</v>
      </c>
      <c r="F593" t="s">
        <v>44</v>
      </c>
      <c r="G593" t="s">
        <v>45</v>
      </c>
      <c r="H593" t="s">
        <v>62</v>
      </c>
      <c r="I593" t="s">
        <v>140</v>
      </c>
      <c r="J593" t="s">
        <v>64</v>
      </c>
      <c r="K593">
        <v>6</v>
      </c>
      <c r="L593" s="4">
        <v>34600</v>
      </c>
      <c r="M593">
        <v>20</v>
      </c>
      <c r="N593" s="4">
        <v>166080</v>
      </c>
      <c r="O593" t="s">
        <v>25</v>
      </c>
      <c r="P593">
        <v>2</v>
      </c>
      <c r="Q593" t="s">
        <v>65</v>
      </c>
      <c r="R593">
        <v>0</v>
      </c>
    </row>
    <row r="594" spans="1:18" x14ac:dyDescent="0.3">
      <c r="A594" t="s">
        <v>1530</v>
      </c>
      <c r="B594" s="1">
        <v>46113</v>
      </c>
      <c r="C594" t="s">
        <v>71</v>
      </c>
      <c r="D594" t="s">
        <v>39</v>
      </c>
      <c r="E594">
        <v>64</v>
      </c>
      <c r="F594" t="s">
        <v>21</v>
      </c>
      <c r="G594" t="s">
        <v>21</v>
      </c>
      <c r="H594" t="s">
        <v>32</v>
      </c>
      <c r="I594" t="s">
        <v>33</v>
      </c>
      <c r="J594" t="s">
        <v>89</v>
      </c>
      <c r="K594">
        <v>8</v>
      </c>
      <c r="L594" s="4">
        <v>8000</v>
      </c>
      <c r="M594">
        <v>0</v>
      </c>
      <c r="N594" s="4">
        <v>64000</v>
      </c>
      <c r="O594" t="s">
        <v>73</v>
      </c>
      <c r="P594">
        <v>1</v>
      </c>
      <c r="Q594" t="s">
        <v>65</v>
      </c>
      <c r="R594">
        <v>0</v>
      </c>
    </row>
    <row r="595" spans="1:18" x14ac:dyDescent="0.3">
      <c r="A595" t="s">
        <v>1531</v>
      </c>
      <c r="B595" s="1">
        <v>45849</v>
      </c>
      <c r="C595" t="s">
        <v>113</v>
      </c>
      <c r="D595" t="s">
        <v>20</v>
      </c>
      <c r="E595">
        <v>65</v>
      </c>
      <c r="F595" t="s">
        <v>44</v>
      </c>
      <c r="G595" t="s">
        <v>100</v>
      </c>
      <c r="H595" t="s">
        <v>46</v>
      </c>
      <c r="I595" t="s">
        <v>79</v>
      </c>
      <c r="J595" t="s">
        <v>64</v>
      </c>
      <c r="K595">
        <v>2</v>
      </c>
      <c r="L595" s="4">
        <v>4000</v>
      </c>
      <c r="M595">
        <v>25</v>
      </c>
      <c r="N595" s="4">
        <v>6000</v>
      </c>
      <c r="O595" t="s">
        <v>25</v>
      </c>
      <c r="Q595" t="s">
        <v>65</v>
      </c>
      <c r="R595">
        <v>0</v>
      </c>
    </row>
    <row r="596" spans="1:18" x14ac:dyDescent="0.3">
      <c r="A596" t="s">
        <v>1533</v>
      </c>
      <c r="B596" s="1">
        <v>45749</v>
      </c>
      <c r="C596" t="s">
        <v>68</v>
      </c>
      <c r="D596" t="s">
        <v>20</v>
      </c>
      <c r="E596">
        <v>41</v>
      </c>
      <c r="F596" t="s">
        <v>21</v>
      </c>
      <c r="G596" t="s">
        <v>21</v>
      </c>
      <c r="H596" t="s">
        <v>32</v>
      </c>
      <c r="I596" t="s">
        <v>33</v>
      </c>
      <c r="J596" t="s">
        <v>64</v>
      </c>
      <c r="K596">
        <v>2</v>
      </c>
      <c r="L596" s="4">
        <v>43200</v>
      </c>
      <c r="M596">
        <v>20</v>
      </c>
      <c r="N596" s="4">
        <v>69120</v>
      </c>
      <c r="O596" t="s">
        <v>85</v>
      </c>
      <c r="P596">
        <v>2</v>
      </c>
      <c r="Q596" t="s">
        <v>74</v>
      </c>
      <c r="R596">
        <v>0</v>
      </c>
    </row>
    <row r="597" spans="1:18" x14ac:dyDescent="0.3">
      <c r="A597" t="s">
        <v>1535</v>
      </c>
      <c r="B597" s="1">
        <v>45800</v>
      </c>
      <c r="C597" t="s">
        <v>38</v>
      </c>
      <c r="D597" t="s">
        <v>39</v>
      </c>
      <c r="E597">
        <v>28</v>
      </c>
      <c r="F597" t="s">
        <v>44</v>
      </c>
      <c r="G597" t="s">
        <v>45</v>
      </c>
      <c r="H597" t="s">
        <v>22</v>
      </c>
      <c r="I597" t="s">
        <v>23</v>
      </c>
      <c r="J597" t="s">
        <v>64</v>
      </c>
      <c r="K597">
        <v>10</v>
      </c>
      <c r="L597" s="4">
        <v>5400</v>
      </c>
      <c r="M597">
        <v>0</v>
      </c>
      <c r="N597" s="4">
        <v>54000</v>
      </c>
      <c r="O597" t="s">
        <v>25</v>
      </c>
      <c r="P597">
        <v>3</v>
      </c>
      <c r="Q597" t="s">
        <v>74</v>
      </c>
      <c r="R597">
        <v>0</v>
      </c>
    </row>
    <row r="598" spans="1:18" x14ac:dyDescent="0.3">
      <c r="A598" t="s">
        <v>1537</v>
      </c>
      <c r="B598" s="1">
        <v>45666</v>
      </c>
      <c r="C598" t="s">
        <v>94</v>
      </c>
      <c r="D598" t="s">
        <v>39</v>
      </c>
      <c r="E598">
        <v>65</v>
      </c>
      <c r="F598" t="s">
        <v>77</v>
      </c>
      <c r="G598" t="s">
        <v>95</v>
      </c>
      <c r="H598" t="s">
        <v>32</v>
      </c>
      <c r="I598" t="s">
        <v>33</v>
      </c>
      <c r="J598" t="s">
        <v>24</v>
      </c>
      <c r="K598">
        <v>8</v>
      </c>
      <c r="L598" s="4">
        <v>47300</v>
      </c>
      <c r="M598">
        <v>20</v>
      </c>
      <c r="N598" s="4">
        <v>302720</v>
      </c>
      <c r="O598" t="s">
        <v>85</v>
      </c>
      <c r="Q598" t="s">
        <v>74</v>
      </c>
      <c r="R598">
        <v>0</v>
      </c>
    </row>
    <row r="599" spans="1:18" x14ac:dyDescent="0.3">
      <c r="A599" t="s">
        <v>1539</v>
      </c>
      <c r="B599" s="1">
        <v>46206</v>
      </c>
      <c r="C599" t="s">
        <v>29</v>
      </c>
      <c r="D599" t="s">
        <v>20</v>
      </c>
      <c r="E599">
        <v>50</v>
      </c>
      <c r="F599" t="s">
        <v>21</v>
      </c>
      <c r="G599" t="s">
        <v>21</v>
      </c>
      <c r="H599" t="s">
        <v>62</v>
      </c>
      <c r="I599" t="s">
        <v>63</v>
      </c>
      <c r="J599" t="s">
        <v>80</v>
      </c>
      <c r="K599">
        <v>8</v>
      </c>
      <c r="L599" s="4">
        <v>10200</v>
      </c>
      <c r="M599">
        <v>0</v>
      </c>
      <c r="N599" s="4">
        <v>81600</v>
      </c>
      <c r="O599" t="s">
        <v>73</v>
      </c>
      <c r="P599">
        <v>5</v>
      </c>
      <c r="Q599" t="s">
        <v>74</v>
      </c>
      <c r="R599">
        <v>0</v>
      </c>
    </row>
    <row r="600" spans="1:18" x14ac:dyDescent="0.3">
      <c r="A600" t="s">
        <v>1541</v>
      </c>
      <c r="B600" s="1">
        <v>45840</v>
      </c>
      <c r="C600" t="s">
        <v>19</v>
      </c>
      <c r="D600" t="s">
        <v>20</v>
      </c>
      <c r="E600">
        <v>49</v>
      </c>
      <c r="F600" t="s">
        <v>30</v>
      </c>
      <c r="G600" t="s">
        <v>57</v>
      </c>
      <c r="H600" t="s">
        <v>62</v>
      </c>
      <c r="I600" t="s">
        <v>63</v>
      </c>
      <c r="J600" t="s">
        <v>72</v>
      </c>
      <c r="K600">
        <v>7</v>
      </c>
      <c r="L600" s="4">
        <v>28400</v>
      </c>
      <c r="M600">
        <v>20</v>
      </c>
      <c r="N600" s="4">
        <v>159040</v>
      </c>
      <c r="O600" t="s">
        <v>85</v>
      </c>
      <c r="P600">
        <v>3</v>
      </c>
      <c r="Q600" t="s">
        <v>65</v>
      </c>
      <c r="R600">
        <v>0</v>
      </c>
    </row>
    <row r="601" spans="1:18" x14ac:dyDescent="0.3">
      <c r="A601" t="s">
        <v>1542</v>
      </c>
      <c r="B601" s="1">
        <v>46119</v>
      </c>
      <c r="C601" t="s">
        <v>60</v>
      </c>
      <c r="D601" t="s">
        <v>20</v>
      </c>
      <c r="E601">
        <v>55</v>
      </c>
      <c r="F601" t="s">
        <v>44</v>
      </c>
      <c r="G601" t="s">
        <v>100</v>
      </c>
      <c r="H601" t="s">
        <v>32</v>
      </c>
      <c r="I601" t="s">
        <v>33</v>
      </c>
      <c r="J601" t="s">
        <v>64</v>
      </c>
      <c r="K601">
        <v>6</v>
      </c>
      <c r="L601" s="4">
        <v>27000</v>
      </c>
      <c r="M601">
        <v>0</v>
      </c>
      <c r="N601" s="4">
        <v>162000</v>
      </c>
      <c r="O601" t="s">
        <v>85</v>
      </c>
      <c r="Q601" t="s">
        <v>41</v>
      </c>
      <c r="R601">
        <v>1</v>
      </c>
    </row>
    <row r="602" spans="1:18" x14ac:dyDescent="0.3">
      <c r="A602" t="s">
        <v>1544</v>
      </c>
      <c r="B602" s="1">
        <v>46108</v>
      </c>
      <c r="C602" t="s">
        <v>94</v>
      </c>
      <c r="D602" t="s">
        <v>3292</v>
      </c>
      <c r="E602">
        <v>37</v>
      </c>
      <c r="F602" t="s">
        <v>77</v>
      </c>
      <c r="G602" t="s">
        <v>78</v>
      </c>
      <c r="H602" t="s">
        <v>22</v>
      </c>
      <c r="I602" t="s">
        <v>23</v>
      </c>
      <c r="J602" t="s">
        <v>89</v>
      </c>
      <c r="K602">
        <v>9</v>
      </c>
      <c r="L602" s="4">
        <v>26400</v>
      </c>
      <c r="M602">
        <v>15</v>
      </c>
      <c r="N602" s="4">
        <v>201960</v>
      </c>
      <c r="O602" t="s">
        <v>85</v>
      </c>
      <c r="P602">
        <v>1</v>
      </c>
      <c r="Q602" t="s">
        <v>41</v>
      </c>
      <c r="R602">
        <v>1</v>
      </c>
    </row>
    <row r="603" spans="1:18" x14ac:dyDescent="0.3">
      <c r="A603" t="s">
        <v>1546</v>
      </c>
      <c r="B603" s="1">
        <v>45725</v>
      </c>
      <c r="C603" t="s">
        <v>113</v>
      </c>
      <c r="D603" t="s">
        <v>39</v>
      </c>
      <c r="E603">
        <v>19</v>
      </c>
      <c r="F603" t="s">
        <v>21</v>
      </c>
      <c r="G603" t="s">
        <v>21</v>
      </c>
      <c r="H603" t="s">
        <v>46</v>
      </c>
      <c r="I603" t="s">
        <v>47</v>
      </c>
      <c r="J603" t="s">
        <v>89</v>
      </c>
      <c r="K603">
        <v>10</v>
      </c>
      <c r="L603" s="4">
        <v>27500</v>
      </c>
      <c r="M603">
        <v>0</v>
      </c>
      <c r="N603" s="4">
        <v>275000</v>
      </c>
      <c r="O603" t="s">
        <v>73</v>
      </c>
      <c r="P603">
        <v>4</v>
      </c>
      <c r="Q603" t="s">
        <v>26</v>
      </c>
      <c r="R603">
        <v>0</v>
      </c>
    </row>
    <row r="604" spans="1:18" x14ac:dyDescent="0.3">
      <c r="A604" t="s">
        <v>1548</v>
      </c>
      <c r="B604" s="1">
        <v>45732</v>
      </c>
      <c r="C604" t="s">
        <v>121</v>
      </c>
      <c r="D604" t="s">
        <v>39</v>
      </c>
      <c r="E604">
        <v>48</v>
      </c>
      <c r="F604" t="s">
        <v>21</v>
      </c>
      <c r="G604" t="s">
        <v>21</v>
      </c>
      <c r="H604" t="s">
        <v>22</v>
      </c>
      <c r="I604" t="s">
        <v>23</v>
      </c>
      <c r="J604" t="s">
        <v>34</v>
      </c>
      <c r="K604">
        <v>8</v>
      </c>
      <c r="L604" s="4">
        <v>20300</v>
      </c>
      <c r="M604">
        <v>10</v>
      </c>
      <c r="N604" s="4">
        <v>146160</v>
      </c>
      <c r="O604" t="s">
        <v>85</v>
      </c>
      <c r="P604">
        <v>3</v>
      </c>
      <c r="Q604" t="s">
        <v>74</v>
      </c>
      <c r="R604">
        <v>0</v>
      </c>
    </row>
    <row r="605" spans="1:18" x14ac:dyDescent="0.3">
      <c r="A605" t="s">
        <v>1559</v>
      </c>
      <c r="B605" s="1">
        <v>46056</v>
      </c>
      <c r="C605" t="s">
        <v>38</v>
      </c>
      <c r="D605" t="s">
        <v>39</v>
      </c>
      <c r="E605">
        <v>27</v>
      </c>
      <c r="F605" t="s">
        <v>51</v>
      </c>
      <c r="G605" t="s">
        <v>104</v>
      </c>
      <c r="H605" t="s">
        <v>62</v>
      </c>
      <c r="I605" t="s">
        <v>140</v>
      </c>
      <c r="J605" t="s">
        <v>80</v>
      </c>
      <c r="K605">
        <v>8</v>
      </c>
      <c r="L605" s="4">
        <v>9100</v>
      </c>
      <c r="M605">
        <v>15</v>
      </c>
      <c r="N605" s="4">
        <v>61880</v>
      </c>
      <c r="O605" t="s">
        <v>25</v>
      </c>
      <c r="P605">
        <v>1</v>
      </c>
      <c r="Q605" t="s">
        <v>26</v>
      </c>
      <c r="R605">
        <v>0</v>
      </c>
    </row>
    <row r="606" spans="1:18" x14ac:dyDescent="0.3">
      <c r="A606" t="s">
        <v>1560</v>
      </c>
      <c r="B606" s="1">
        <v>46155</v>
      </c>
      <c r="C606" t="s">
        <v>121</v>
      </c>
      <c r="D606" t="s">
        <v>39</v>
      </c>
      <c r="E606">
        <v>150</v>
      </c>
      <c r="F606" t="s">
        <v>21</v>
      </c>
      <c r="G606" t="s">
        <v>21</v>
      </c>
      <c r="H606" t="s">
        <v>22</v>
      </c>
      <c r="I606" t="s">
        <v>84</v>
      </c>
      <c r="J606" t="s">
        <v>24</v>
      </c>
      <c r="K606">
        <v>10</v>
      </c>
      <c r="L606" s="4">
        <v>23600</v>
      </c>
      <c r="M606">
        <v>0</v>
      </c>
      <c r="N606" s="4">
        <v>236000</v>
      </c>
      <c r="O606" t="s">
        <v>85</v>
      </c>
      <c r="Q606" t="s">
        <v>41</v>
      </c>
      <c r="R606">
        <v>1</v>
      </c>
    </row>
    <row r="607" spans="1:18" x14ac:dyDescent="0.3">
      <c r="A607" t="s">
        <v>1562</v>
      </c>
      <c r="B607" s="1">
        <v>45696</v>
      </c>
      <c r="C607" t="s">
        <v>113</v>
      </c>
      <c r="D607" t="s">
        <v>39</v>
      </c>
      <c r="E607">
        <v>40</v>
      </c>
      <c r="F607" t="s">
        <v>77</v>
      </c>
      <c r="G607" t="s">
        <v>95</v>
      </c>
      <c r="H607" t="s">
        <v>46</v>
      </c>
      <c r="I607" t="s">
        <v>79</v>
      </c>
      <c r="J607" t="s">
        <v>24</v>
      </c>
      <c r="K607">
        <v>10</v>
      </c>
      <c r="L607" s="4">
        <v>37000</v>
      </c>
      <c r="M607">
        <v>0</v>
      </c>
      <c r="N607" s="4">
        <v>370000</v>
      </c>
      <c r="O607" t="s">
        <v>3293</v>
      </c>
      <c r="P607">
        <v>5</v>
      </c>
      <c r="Q607" t="s">
        <v>41</v>
      </c>
      <c r="R607">
        <v>1</v>
      </c>
    </row>
    <row r="608" spans="1:18" x14ac:dyDescent="0.3">
      <c r="A608" t="s">
        <v>1564</v>
      </c>
      <c r="B608" s="1">
        <v>46057</v>
      </c>
      <c r="C608" t="s">
        <v>29</v>
      </c>
      <c r="D608" t="s">
        <v>39</v>
      </c>
      <c r="E608">
        <v>50</v>
      </c>
      <c r="F608" t="s">
        <v>44</v>
      </c>
      <c r="G608" t="s">
        <v>45</v>
      </c>
      <c r="H608" t="s">
        <v>62</v>
      </c>
      <c r="I608" t="s">
        <v>140</v>
      </c>
      <c r="J608" t="s">
        <v>24</v>
      </c>
      <c r="K608">
        <v>2</v>
      </c>
      <c r="L608" s="4">
        <v>13100</v>
      </c>
      <c r="M608">
        <v>25</v>
      </c>
      <c r="N608" s="4">
        <v>19650</v>
      </c>
      <c r="O608" t="s">
        <v>85</v>
      </c>
      <c r="P608">
        <v>1</v>
      </c>
      <c r="Q608" t="s">
        <v>41</v>
      </c>
      <c r="R608">
        <v>1</v>
      </c>
    </row>
    <row r="609" spans="1:18" x14ac:dyDescent="0.3">
      <c r="A609" t="s">
        <v>1569</v>
      </c>
      <c r="B609" s="1">
        <v>46053</v>
      </c>
      <c r="C609" t="s">
        <v>19</v>
      </c>
      <c r="D609" t="s">
        <v>39</v>
      </c>
      <c r="E609">
        <v>19</v>
      </c>
      <c r="F609" t="s">
        <v>61</v>
      </c>
      <c r="G609" t="s">
        <v>61</v>
      </c>
      <c r="H609" t="s">
        <v>62</v>
      </c>
      <c r="I609" t="s">
        <v>63</v>
      </c>
      <c r="J609" t="s">
        <v>24</v>
      </c>
      <c r="K609">
        <v>6</v>
      </c>
      <c r="L609" s="4">
        <v>7100</v>
      </c>
      <c r="M609">
        <v>0</v>
      </c>
      <c r="N609" s="4">
        <v>42600</v>
      </c>
      <c r="O609" t="s">
        <v>85</v>
      </c>
      <c r="P609">
        <v>3</v>
      </c>
      <c r="Q609" t="s">
        <v>65</v>
      </c>
      <c r="R609">
        <v>0</v>
      </c>
    </row>
    <row r="610" spans="1:18" x14ac:dyDescent="0.3">
      <c r="A610" t="s">
        <v>1570</v>
      </c>
      <c r="B610" s="1">
        <v>45871</v>
      </c>
      <c r="C610" t="s">
        <v>121</v>
      </c>
      <c r="D610" t="s">
        <v>3292</v>
      </c>
      <c r="E610">
        <v>37</v>
      </c>
      <c r="F610" t="s">
        <v>30</v>
      </c>
      <c r="G610" t="s">
        <v>31</v>
      </c>
      <c r="H610" t="s">
        <v>46</v>
      </c>
      <c r="I610" t="s">
        <v>47</v>
      </c>
      <c r="J610" t="s">
        <v>24</v>
      </c>
      <c r="K610">
        <v>5</v>
      </c>
      <c r="L610" s="4">
        <v>43700</v>
      </c>
      <c r="M610">
        <v>25</v>
      </c>
      <c r="N610" s="4">
        <v>163875</v>
      </c>
      <c r="O610" t="s">
        <v>85</v>
      </c>
      <c r="P610">
        <v>5</v>
      </c>
      <c r="Q610" t="s">
        <v>41</v>
      </c>
      <c r="R610">
        <v>1</v>
      </c>
    </row>
    <row r="611" spans="1:18" x14ac:dyDescent="0.3">
      <c r="A611" t="s">
        <v>1572</v>
      </c>
      <c r="B611" s="1">
        <v>46018</v>
      </c>
      <c r="C611" t="s">
        <v>94</v>
      </c>
      <c r="D611" t="s">
        <v>20</v>
      </c>
      <c r="E611">
        <v>38</v>
      </c>
      <c r="F611" t="s">
        <v>61</v>
      </c>
      <c r="G611" t="s">
        <v>61</v>
      </c>
      <c r="H611" t="s">
        <v>22</v>
      </c>
      <c r="I611" t="s">
        <v>23</v>
      </c>
      <c r="J611" t="s">
        <v>72</v>
      </c>
      <c r="K611">
        <v>10</v>
      </c>
      <c r="L611" s="4">
        <v>24500</v>
      </c>
      <c r="M611">
        <v>15</v>
      </c>
      <c r="N611" s="4">
        <v>208250</v>
      </c>
      <c r="O611" t="s">
        <v>85</v>
      </c>
      <c r="P611">
        <v>1</v>
      </c>
      <c r="Q611" t="s">
        <v>26</v>
      </c>
      <c r="R611">
        <v>0</v>
      </c>
    </row>
    <row r="612" spans="1:18" x14ac:dyDescent="0.3">
      <c r="A612" t="s">
        <v>1574</v>
      </c>
      <c r="B612" s="1">
        <v>45935</v>
      </c>
      <c r="C612" t="s">
        <v>121</v>
      </c>
      <c r="D612" t="s">
        <v>39</v>
      </c>
      <c r="E612">
        <v>64</v>
      </c>
      <c r="F612" t="s">
        <v>51</v>
      </c>
      <c r="G612" t="s">
        <v>104</v>
      </c>
      <c r="H612" t="s">
        <v>46</v>
      </c>
      <c r="I612" t="s">
        <v>47</v>
      </c>
      <c r="J612" t="s">
        <v>80</v>
      </c>
      <c r="K612">
        <v>7</v>
      </c>
      <c r="L612" s="4">
        <v>49400</v>
      </c>
      <c r="M612">
        <v>20</v>
      </c>
      <c r="N612" s="4">
        <v>276640</v>
      </c>
      <c r="O612" t="s">
        <v>73</v>
      </c>
      <c r="Q612" t="s">
        <v>65</v>
      </c>
      <c r="R612">
        <v>0</v>
      </c>
    </row>
    <row r="613" spans="1:18" x14ac:dyDescent="0.3">
      <c r="A613" t="s">
        <v>1576</v>
      </c>
      <c r="B613" s="1">
        <v>45913</v>
      </c>
      <c r="C613" t="s">
        <v>38</v>
      </c>
      <c r="D613" t="s">
        <v>20</v>
      </c>
      <c r="E613">
        <v>37</v>
      </c>
      <c r="F613" t="s">
        <v>30</v>
      </c>
      <c r="G613" t="s">
        <v>31</v>
      </c>
      <c r="H613" t="s">
        <v>46</v>
      </c>
      <c r="I613" t="s">
        <v>79</v>
      </c>
      <c r="J613" t="s">
        <v>89</v>
      </c>
      <c r="K613">
        <v>1</v>
      </c>
      <c r="L613" s="4">
        <v>13100</v>
      </c>
      <c r="M613">
        <v>25</v>
      </c>
      <c r="N613" s="4">
        <v>9825</v>
      </c>
      <c r="O613" t="s">
        <v>73</v>
      </c>
      <c r="P613">
        <v>4</v>
      </c>
      <c r="Q613" t="s">
        <v>74</v>
      </c>
      <c r="R613">
        <v>0</v>
      </c>
    </row>
    <row r="614" spans="1:18" x14ac:dyDescent="0.3">
      <c r="A614" t="s">
        <v>1577</v>
      </c>
      <c r="B614" s="1">
        <v>46068</v>
      </c>
      <c r="C614" t="s">
        <v>60</v>
      </c>
      <c r="D614" t="s">
        <v>20</v>
      </c>
      <c r="E614">
        <v>46</v>
      </c>
      <c r="F614" t="s">
        <v>51</v>
      </c>
      <c r="G614" t="s">
        <v>52</v>
      </c>
      <c r="H614" t="s">
        <v>46</v>
      </c>
      <c r="I614" t="s">
        <v>47</v>
      </c>
      <c r="J614" t="s">
        <v>72</v>
      </c>
      <c r="K614">
        <v>3</v>
      </c>
      <c r="L614" s="4">
        <v>46900</v>
      </c>
      <c r="M614">
        <v>25</v>
      </c>
      <c r="N614" s="4">
        <v>105525</v>
      </c>
      <c r="O614" t="s">
        <v>3293</v>
      </c>
      <c r="P614">
        <v>5</v>
      </c>
      <c r="Q614" t="s">
        <v>74</v>
      </c>
      <c r="R614">
        <v>0</v>
      </c>
    </row>
    <row r="615" spans="1:18" x14ac:dyDescent="0.3">
      <c r="A615" t="s">
        <v>1580</v>
      </c>
      <c r="B615" s="1">
        <v>45780</v>
      </c>
      <c r="C615" t="s">
        <v>68</v>
      </c>
      <c r="D615" t="s">
        <v>39</v>
      </c>
      <c r="E615">
        <v>24</v>
      </c>
      <c r="F615" t="s">
        <v>51</v>
      </c>
      <c r="G615" t="s">
        <v>52</v>
      </c>
      <c r="H615" t="s">
        <v>22</v>
      </c>
      <c r="I615" t="s">
        <v>84</v>
      </c>
      <c r="J615" t="s">
        <v>24</v>
      </c>
      <c r="K615">
        <v>6</v>
      </c>
      <c r="L615" s="4">
        <v>47700</v>
      </c>
      <c r="M615">
        <v>0</v>
      </c>
      <c r="N615" s="4">
        <v>286200</v>
      </c>
      <c r="O615" t="s">
        <v>85</v>
      </c>
      <c r="P615">
        <v>5</v>
      </c>
      <c r="Q615" t="s">
        <v>41</v>
      </c>
      <c r="R615">
        <v>1</v>
      </c>
    </row>
    <row r="616" spans="1:18" x14ac:dyDescent="0.3">
      <c r="A616" t="s">
        <v>1581</v>
      </c>
      <c r="B616" s="1">
        <v>46062</v>
      </c>
      <c r="C616" t="s">
        <v>38</v>
      </c>
      <c r="D616" t="s">
        <v>3292</v>
      </c>
      <c r="E616">
        <v>45</v>
      </c>
      <c r="F616" t="s">
        <v>77</v>
      </c>
      <c r="G616" t="s">
        <v>78</v>
      </c>
      <c r="H616" t="s">
        <v>46</v>
      </c>
      <c r="I616" t="s">
        <v>47</v>
      </c>
      <c r="J616" t="s">
        <v>72</v>
      </c>
      <c r="K616">
        <v>7</v>
      </c>
      <c r="L616" s="4">
        <v>20600</v>
      </c>
      <c r="M616">
        <v>15</v>
      </c>
      <c r="N616" s="4">
        <v>122570</v>
      </c>
      <c r="O616" t="s">
        <v>73</v>
      </c>
      <c r="P616">
        <v>3</v>
      </c>
      <c r="Q616" t="s">
        <v>65</v>
      </c>
      <c r="R616">
        <v>0</v>
      </c>
    </row>
    <row r="617" spans="1:18" x14ac:dyDescent="0.3">
      <c r="A617" t="s">
        <v>1583</v>
      </c>
      <c r="B617" s="1">
        <v>46077</v>
      </c>
      <c r="C617" t="s">
        <v>121</v>
      </c>
      <c r="D617" t="s">
        <v>20</v>
      </c>
      <c r="E617">
        <v>32</v>
      </c>
      <c r="F617" t="s">
        <v>61</v>
      </c>
      <c r="G617" t="s">
        <v>61</v>
      </c>
      <c r="H617" t="s">
        <v>32</v>
      </c>
      <c r="I617" t="s">
        <v>53</v>
      </c>
      <c r="J617" t="s">
        <v>80</v>
      </c>
      <c r="K617">
        <v>10</v>
      </c>
      <c r="L617" s="4">
        <v>20200</v>
      </c>
      <c r="M617">
        <v>20</v>
      </c>
      <c r="N617" s="4">
        <v>161600</v>
      </c>
      <c r="O617" t="s">
        <v>25</v>
      </c>
      <c r="P617">
        <v>1</v>
      </c>
      <c r="Q617" t="s">
        <v>26</v>
      </c>
      <c r="R617">
        <v>0</v>
      </c>
    </row>
    <row r="618" spans="1:18" x14ac:dyDescent="0.3">
      <c r="A618" t="s">
        <v>1584</v>
      </c>
      <c r="B618" s="1">
        <v>46167</v>
      </c>
      <c r="C618" t="s">
        <v>60</v>
      </c>
      <c r="D618" t="s">
        <v>20</v>
      </c>
      <c r="E618">
        <v>60</v>
      </c>
      <c r="F618" t="s">
        <v>77</v>
      </c>
      <c r="G618" t="s">
        <v>78</v>
      </c>
      <c r="H618" t="s">
        <v>46</v>
      </c>
      <c r="I618" t="s">
        <v>47</v>
      </c>
      <c r="J618" t="s">
        <v>80</v>
      </c>
      <c r="K618">
        <v>7</v>
      </c>
      <c r="L618" s="4">
        <v>48900</v>
      </c>
      <c r="M618">
        <v>20</v>
      </c>
      <c r="N618" s="4">
        <v>273840</v>
      </c>
      <c r="O618" t="s">
        <v>73</v>
      </c>
      <c r="Q618" t="s">
        <v>26</v>
      </c>
      <c r="R618">
        <v>0</v>
      </c>
    </row>
    <row r="619" spans="1:18" x14ac:dyDescent="0.3">
      <c r="A619" t="s">
        <v>1588</v>
      </c>
      <c r="B619" s="1">
        <v>45788</v>
      </c>
      <c r="C619" t="s">
        <v>113</v>
      </c>
      <c r="D619" t="s">
        <v>20</v>
      </c>
      <c r="E619">
        <v>20</v>
      </c>
      <c r="F619" t="s">
        <v>61</v>
      </c>
      <c r="G619" t="s">
        <v>61</v>
      </c>
      <c r="H619" t="s">
        <v>32</v>
      </c>
      <c r="I619" t="s">
        <v>33</v>
      </c>
      <c r="J619" t="s">
        <v>80</v>
      </c>
      <c r="K619">
        <v>9</v>
      </c>
      <c r="L619" s="4">
        <v>7700</v>
      </c>
      <c r="M619">
        <v>10</v>
      </c>
      <c r="N619" s="4">
        <v>62370</v>
      </c>
      <c r="O619" t="s">
        <v>85</v>
      </c>
      <c r="P619">
        <v>5</v>
      </c>
      <c r="Q619" t="s">
        <v>74</v>
      </c>
      <c r="R619">
        <v>0</v>
      </c>
    </row>
    <row r="620" spans="1:18" x14ac:dyDescent="0.3">
      <c r="A620" t="s">
        <v>1590</v>
      </c>
      <c r="B620" s="1">
        <v>45770</v>
      </c>
      <c r="C620" t="s">
        <v>68</v>
      </c>
      <c r="D620" t="s">
        <v>20</v>
      </c>
      <c r="E620">
        <v>27</v>
      </c>
      <c r="F620" t="s">
        <v>30</v>
      </c>
      <c r="G620" t="s">
        <v>57</v>
      </c>
      <c r="H620" t="s">
        <v>22</v>
      </c>
      <c r="I620" t="s">
        <v>23</v>
      </c>
      <c r="J620" t="s">
        <v>72</v>
      </c>
      <c r="K620">
        <v>6</v>
      </c>
      <c r="L620" s="4">
        <v>26400</v>
      </c>
      <c r="M620">
        <v>5</v>
      </c>
      <c r="N620" s="4">
        <v>150480</v>
      </c>
      <c r="O620" t="s">
        <v>25</v>
      </c>
      <c r="Q620" t="s">
        <v>74</v>
      </c>
      <c r="R620">
        <v>0</v>
      </c>
    </row>
    <row r="621" spans="1:18" x14ac:dyDescent="0.3">
      <c r="A621" t="s">
        <v>1592</v>
      </c>
      <c r="B621" s="1">
        <v>46022</v>
      </c>
      <c r="C621" t="s">
        <v>38</v>
      </c>
      <c r="D621" t="s">
        <v>20</v>
      </c>
      <c r="E621">
        <v>44</v>
      </c>
      <c r="F621" t="s">
        <v>30</v>
      </c>
      <c r="G621" t="s">
        <v>57</v>
      </c>
      <c r="H621" t="s">
        <v>22</v>
      </c>
      <c r="I621" t="s">
        <v>23</v>
      </c>
      <c r="J621" t="s">
        <v>72</v>
      </c>
      <c r="K621">
        <v>3</v>
      </c>
      <c r="L621" s="4">
        <v>23500</v>
      </c>
      <c r="M621">
        <v>15</v>
      </c>
      <c r="N621" s="4">
        <v>59925</v>
      </c>
      <c r="O621" t="s">
        <v>85</v>
      </c>
      <c r="P621">
        <v>2</v>
      </c>
      <c r="Q621" t="s">
        <v>41</v>
      </c>
      <c r="R621">
        <v>1</v>
      </c>
    </row>
    <row r="622" spans="1:18" x14ac:dyDescent="0.3">
      <c r="A622" t="s">
        <v>1595</v>
      </c>
      <c r="B622" s="1">
        <v>46053</v>
      </c>
      <c r="C622" t="s">
        <v>88</v>
      </c>
      <c r="D622" t="s">
        <v>3292</v>
      </c>
      <c r="E622">
        <v>53</v>
      </c>
      <c r="F622" t="s">
        <v>44</v>
      </c>
      <c r="G622" t="s">
        <v>45</v>
      </c>
      <c r="H622" t="s">
        <v>46</v>
      </c>
      <c r="I622" t="s">
        <v>47</v>
      </c>
      <c r="J622" t="s">
        <v>80</v>
      </c>
      <c r="K622">
        <v>6</v>
      </c>
      <c r="L622" s="4">
        <v>7900</v>
      </c>
      <c r="M622">
        <v>5</v>
      </c>
      <c r="N622" s="4">
        <v>45030</v>
      </c>
      <c r="O622" t="s">
        <v>85</v>
      </c>
      <c r="P622">
        <v>1</v>
      </c>
      <c r="Q622" t="s">
        <v>65</v>
      </c>
      <c r="R622">
        <v>0</v>
      </c>
    </row>
    <row r="623" spans="1:18" x14ac:dyDescent="0.3">
      <c r="A623" t="s">
        <v>1596</v>
      </c>
      <c r="B623" s="1">
        <v>46266</v>
      </c>
      <c r="C623" t="s">
        <v>60</v>
      </c>
      <c r="D623" t="s">
        <v>20</v>
      </c>
      <c r="E623">
        <v>50</v>
      </c>
      <c r="F623" t="s">
        <v>44</v>
      </c>
      <c r="G623" t="s">
        <v>45</v>
      </c>
      <c r="H623" t="s">
        <v>22</v>
      </c>
      <c r="I623" t="s">
        <v>84</v>
      </c>
      <c r="J623" t="s">
        <v>34</v>
      </c>
      <c r="K623">
        <v>4</v>
      </c>
      <c r="L623" s="4">
        <v>48000</v>
      </c>
      <c r="M623">
        <v>10</v>
      </c>
      <c r="N623" s="4">
        <v>172800</v>
      </c>
      <c r="O623" t="s">
        <v>73</v>
      </c>
      <c r="P623">
        <v>3</v>
      </c>
      <c r="Q623" t="s">
        <v>41</v>
      </c>
      <c r="R623">
        <v>1</v>
      </c>
    </row>
    <row r="624" spans="1:18" x14ac:dyDescent="0.3">
      <c r="A624" t="s">
        <v>1597</v>
      </c>
      <c r="B624" s="1">
        <v>46013</v>
      </c>
      <c r="C624" t="s">
        <v>68</v>
      </c>
      <c r="D624" t="s">
        <v>39</v>
      </c>
      <c r="E624">
        <v>54</v>
      </c>
      <c r="F624" t="s">
        <v>77</v>
      </c>
      <c r="G624" t="s">
        <v>95</v>
      </c>
      <c r="H624" t="s">
        <v>62</v>
      </c>
      <c r="I624" t="s">
        <v>63</v>
      </c>
      <c r="J624" t="s">
        <v>24</v>
      </c>
      <c r="K624">
        <v>5</v>
      </c>
      <c r="L624" s="4">
        <v>22200</v>
      </c>
      <c r="M624">
        <v>10</v>
      </c>
      <c r="N624" s="4">
        <v>99900</v>
      </c>
      <c r="O624" t="s">
        <v>85</v>
      </c>
      <c r="P624">
        <v>1</v>
      </c>
      <c r="Q624" t="s">
        <v>65</v>
      </c>
      <c r="R624">
        <v>0</v>
      </c>
    </row>
    <row r="625" spans="1:18" x14ac:dyDescent="0.3">
      <c r="A625" t="s">
        <v>1599</v>
      </c>
      <c r="B625" s="1">
        <v>45733</v>
      </c>
      <c r="C625" t="s">
        <v>29</v>
      </c>
      <c r="D625" t="s">
        <v>20</v>
      </c>
      <c r="E625">
        <v>43</v>
      </c>
      <c r="F625" t="s">
        <v>44</v>
      </c>
      <c r="G625" t="s">
        <v>100</v>
      </c>
      <c r="H625" t="s">
        <v>46</v>
      </c>
      <c r="I625" t="s">
        <v>79</v>
      </c>
      <c r="J625" t="s">
        <v>72</v>
      </c>
      <c r="K625">
        <v>7</v>
      </c>
      <c r="L625" s="4">
        <v>5600</v>
      </c>
      <c r="M625">
        <v>5</v>
      </c>
      <c r="N625" s="4">
        <v>37240</v>
      </c>
      <c r="O625" t="s">
        <v>25</v>
      </c>
      <c r="P625">
        <v>2</v>
      </c>
      <c r="Q625" t="s">
        <v>65</v>
      </c>
      <c r="R625">
        <v>0</v>
      </c>
    </row>
    <row r="626" spans="1:18" x14ac:dyDescent="0.3">
      <c r="A626" t="s">
        <v>1608</v>
      </c>
      <c r="B626" s="1">
        <v>45771</v>
      </c>
      <c r="C626" t="s">
        <v>29</v>
      </c>
      <c r="D626" t="s">
        <v>20</v>
      </c>
      <c r="E626">
        <v>27</v>
      </c>
      <c r="F626" t="s">
        <v>30</v>
      </c>
      <c r="G626" t="s">
        <v>31</v>
      </c>
      <c r="H626" t="s">
        <v>22</v>
      </c>
      <c r="I626" t="s">
        <v>23</v>
      </c>
      <c r="J626" t="s">
        <v>24</v>
      </c>
      <c r="K626">
        <v>7</v>
      </c>
      <c r="L626" s="4">
        <v>11000</v>
      </c>
      <c r="M626">
        <v>0</v>
      </c>
      <c r="N626" s="4">
        <v>77000</v>
      </c>
      <c r="O626" t="s">
        <v>85</v>
      </c>
      <c r="P626">
        <v>4</v>
      </c>
      <c r="Q626" t="s">
        <v>74</v>
      </c>
      <c r="R626">
        <v>0</v>
      </c>
    </row>
    <row r="627" spans="1:18" x14ac:dyDescent="0.3">
      <c r="A627" t="s">
        <v>1609</v>
      </c>
      <c r="B627" s="1">
        <v>46016</v>
      </c>
      <c r="C627" t="s">
        <v>121</v>
      </c>
      <c r="D627" t="s">
        <v>20</v>
      </c>
      <c r="E627">
        <v>19</v>
      </c>
      <c r="F627" t="s">
        <v>77</v>
      </c>
      <c r="G627" t="s">
        <v>95</v>
      </c>
      <c r="H627" t="s">
        <v>22</v>
      </c>
      <c r="I627" t="s">
        <v>23</v>
      </c>
      <c r="J627" t="s">
        <v>24</v>
      </c>
      <c r="K627">
        <v>10</v>
      </c>
      <c r="L627" s="4">
        <v>5700</v>
      </c>
      <c r="M627">
        <v>10</v>
      </c>
      <c r="N627" s="4">
        <v>51300</v>
      </c>
      <c r="O627" t="s">
        <v>73</v>
      </c>
      <c r="P627">
        <v>3</v>
      </c>
      <c r="Q627" t="s">
        <v>26</v>
      </c>
      <c r="R627">
        <v>0</v>
      </c>
    </row>
    <row r="628" spans="1:18" x14ac:dyDescent="0.3">
      <c r="A628" t="s">
        <v>1614</v>
      </c>
      <c r="B628" s="1">
        <v>46039</v>
      </c>
      <c r="C628" t="s">
        <v>68</v>
      </c>
      <c r="D628" t="s">
        <v>20</v>
      </c>
      <c r="E628">
        <v>49</v>
      </c>
      <c r="F628" t="s">
        <v>61</v>
      </c>
      <c r="G628" t="s">
        <v>61</v>
      </c>
      <c r="H628" t="s">
        <v>62</v>
      </c>
      <c r="I628" t="s">
        <v>63</v>
      </c>
      <c r="J628" t="s">
        <v>72</v>
      </c>
      <c r="K628">
        <v>9</v>
      </c>
      <c r="L628" s="4">
        <v>17700</v>
      </c>
      <c r="M628">
        <v>5</v>
      </c>
      <c r="N628" s="4">
        <v>151335</v>
      </c>
      <c r="O628" t="s">
        <v>25</v>
      </c>
      <c r="Q628" t="s">
        <v>41</v>
      </c>
      <c r="R628">
        <v>1</v>
      </c>
    </row>
    <row r="629" spans="1:18" x14ac:dyDescent="0.3">
      <c r="A629" t="s">
        <v>1616</v>
      </c>
      <c r="B629" s="1">
        <v>46113</v>
      </c>
      <c r="C629" t="s">
        <v>29</v>
      </c>
      <c r="D629" t="s">
        <v>39</v>
      </c>
      <c r="E629">
        <v>43</v>
      </c>
      <c r="F629" t="s">
        <v>77</v>
      </c>
      <c r="G629" t="s">
        <v>95</v>
      </c>
      <c r="H629" t="s">
        <v>22</v>
      </c>
      <c r="I629" t="s">
        <v>84</v>
      </c>
      <c r="J629" t="s">
        <v>72</v>
      </c>
      <c r="K629">
        <v>9</v>
      </c>
      <c r="L629" s="4">
        <v>26400</v>
      </c>
      <c r="M629">
        <v>0</v>
      </c>
      <c r="N629" s="4">
        <v>237600</v>
      </c>
      <c r="O629" t="s">
        <v>73</v>
      </c>
      <c r="P629">
        <v>4</v>
      </c>
      <c r="Q629" t="s">
        <v>65</v>
      </c>
      <c r="R629">
        <v>0</v>
      </c>
    </row>
    <row r="630" spans="1:18" x14ac:dyDescent="0.3">
      <c r="A630" t="s">
        <v>1617</v>
      </c>
      <c r="B630" s="1">
        <v>46111</v>
      </c>
      <c r="C630" t="s">
        <v>71</v>
      </c>
      <c r="D630" t="s">
        <v>20</v>
      </c>
      <c r="E630">
        <v>36</v>
      </c>
      <c r="F630" t="s">
        <v>21</v>
      </c>
      <c r="G630" t="s">
        <v>21</v>
      </c>
      <c r="H630" t="s">
        <v>22</v>
      </c>
      <c r="I630" t="s">
        <v>84</v>
      </c>
      <c r="J630" t="s">
        <v>80</v>
      </c>
      <c r="K630">
        <v>2</v>
      </c>
      <c r="L630" s="4">
        <v>43000</v>
      </c>
      <c r="M630">
        <v>0</v>
      </c>
      <c r="N630" s="4">
        <v>86000</v>
      </c>
      <c r="O630" t="s">
        <v>25</v>
      </c>
      <c r="Q630" t="s">
        <v>74</v>
      </c>
      <c r="R630">
        <v>0</v>
      </c>
    </row>
    <row r="631" spans="1:18" x14ac:dyDescent="0.3">
      <c r="A631" t="s">
        <v>1618</v>
      </c>
      <c r="B631" s="1">
        <v>45758</v>
      </c>
      <c r="C631" t="s">
        <v>38</v>
      </c>
      <c r="D631" t="s">
        <v>39</v>
      </c>
      <c r="E631">
        <v>58</v>
      </c>
      <c r="F631" t="s">
        <v>61</v>
      </c>
      <c r="G631" t="s">
        <v>61</v>
      </c>
      <c r="H631" t="s">
        <v>32</v>
      </c>
      <c r="I631" t="s">
        <v>33</v>
      </c>
      <c r="J631" t="s">
        <v>64</v>
      </c>
      <c r="K631">
        <v>2</v>
      </c>
      <c r="L631" s="4">
        <v>31100</v>
      </c>
      <c r="M631">
        <v>5</v>
      </c>
      <c r="N631" s="4">
        <v>59090</v>
      </c>
      <c r="O631" t="s">
        <v>73</v>
      </c>
      <c r="Q631" t="s">
        <v>74</v>
      </c>
      <c r="R631">
        <v>0</v>
      </c>
    </row>
    <row r="632" spans="1:18" x14ac:dyDescent="0.3">
      <c r="A632" t="s">
        <v>1620</v>
      </c>
      <c r="B632" s="1">
        <v>46157</v>
      </c>
      <c r="C632" t="s">
        <v>29</v>
      </c>
      <c r="D632" t="s">
        <v>3292</v>
      </c>
      <c r="E632">
        <v>26</v>
      </c>
      <c r="F632" t="s">
        <v>77</v>
      </c>
      <c r="G632" t="s">
        <v>95</v>
      </c>
      <c r="H632" t="s">
        <v>22</v>
      </c>
      <c r="I632" t="s">
        <v>84</v>
      </c>
      <c r="J632" t="s">
        <v>89</v>
      </c>
      <c r="K632">
        <v>4</v>
      </c>
      <c r="L632" s="4">
        <v>31900</v>
      </c>
      <c r="M632">
        <v>20</v>
      </c>
      <c r="N632" s="4">
        <v>102080</v>
      </c>
      <c r="O632" t="s">
        <v>85</v>
      </c>
      <c r="P632">
        <v>4</v>
      </c>
      <c r="Q632" t="s">
        <v>65</v>
      </c>
      <c r="R632">
        <v>0</v>
      </c>
    </row>
    <row r="633" spans="1:18" x14ac:dyDescent="0.3">
      <c r="A633" t="s">
        <v>1621</v>
      </c>
      <c r="B633" s="1">
        <v>46075</v>
      </c>
      <c r="C633" t="s">
        <v>88</v>
      </c>
      <c r="D633" t="s">
        <v>39</v>
      </c>
      <c r="E633">
        <v>59</v>
      </c>
      <c r="F633" t="s">
        <v>44</v>
      </c>
      <c r="G633" t="s">
        <v>45</v>
      </c>
      <c r="H633" t="s">
        <v>62</v>
      </c>
      <c r="I633" t="s">
        <v>140</v>
      </c>
      <c r="J633" t="s">
        <v>34</v>
      </c>
      <c r="K633">
        <v>10</v>
      </c>
      <c r="L633" s="4">
        <v>29800</v>
      </c>
      <c r="M633">
        <v>10</v>
      </c>
      <c r="N633" s="4">
        <v>268200</v>
      </c>
      <c r="O633" t="s">
        <v>85</v>
      </c>
      <c r="P633">
        <v>5</v>
      </c>
      <c r="Q633" t="s">
        <v>74</v>
      </c>
      <c r="R633">
        <v>0</v>
      </c>
    </row>
    <row r="634" spans="1:18" x14ac:dyDescent="0.3">
      <c r="A634" t="s">
        <v>1623</v>
      </c>
      <c r="B634" s="1">
        <v>45689</v>
      </c>
      <c r="C634" t="s">
        <v>71</v>
      </c>
      <c r="D634" t="s">
        <v>3292</v>
      </c>
      <c r="E634">
        <v>45</v>
      </c>
      <c r="F634" t="s">
        <v>77</v>
      </c>
      <c r="G634" t="s">
        <v>95</v>
      </c>
      <c r="H634" t="s">
        <v>32</v>
      </c>
      <c r="I634" t="s">
        <v>33</v>
      </c>
      <c r="J634" t="s">
        <v>72</v>
      </c>
      <c r="K634">
        <v>4</v>
      </c>
      <c r="L634" s="4">
        <v>13300</v>
      </c>
      <c r="M634">
        <v>15</v>
      </c>
      <c r="N634" s="4">
        <v>45220</v>
      </c>
      <c r="O634" t="s">
        <v>73</v>
      </c>
      <c r="Q634" t="s">
        <v>65</v>
      </c>
      <c r="R634">
        <v>0</v>
      </c>
    </row>
    <row r="635" spans="1:18" x14ac:dyDescent="0.3">
      <c r="A635" t="s">
        <v>1625</v>
      </c>
      <c r="B635" s="1">
        <v>46136</v>
      </c>
      <c r="C635" t="s">
        <v>71</v>
      </c>
      <c r="D635" t="s">
        <v>39</v>
      </c>
      <c r="E635">
        <v>22</v>
      </c>
      <c r="F635" t="s">
        <v>77</v>
      </c>
      <c r="G635" t="s">
        <v>78</v>
      </c>
      <c r="H635" t="s">
        <v>22</v>
      </c>
      <c r="I635" t="s">
        <v>84</v>
      </c>
      <c r="J635" t="s">
        <v>24</v>
      </c>
      <c r="K635">
        <v>1</v>
      </c>
      <c r="L635" s="4">
        <v>32300</v>
      </c>
      <c r="M635">
        <v>25</v>
      </c>
      <c r="N635" s="4">
        <v>24225</v>
      </c>
      <c r="O635" t="s">
        <v>25</v>
      </c>
      <c r="Q635" t="s">
        <v>26</v>
      </c>
      <c r="R635">
        <v>0</v>
      </c>
    </row>
    <row r="636" spans="1:18" x14ac:dyDescent="0.3">
      <c r="A636" t="s">
        <v>1627</v>
      </c>
      <c r="B636" s="1">
        <v>46103</v>
      </c>
      <c r="C636" t="s">
        <v>38</v>
      </c>
      <c r="D636" t="s">
        <v>3292</v>
      </c>
      <c r="E636">
        <v>55</v>
      </c>
      <c r="F636" t="s">
        <v>61</v>
      </c>
      <c r="G636" t="s">
        <v>61</v>
      </c>
      <c r="H636" t="s">
        <v>62</v>
      </c>
      <c r="I636" t="s">
        <v>140</v>
      </c>
      <c r="J636" t="s">
        <v>80</v>
      </c>
      <c r="K636">
        <v>8</v>
      </c>
      <c r="L636" s="4">
        <v>35400</v>
      </c>
      <c r="M636">
        <v>15</v>
      </c>
      <c r="N636" s="4">
        <v>240720</v>
      </c>
      <c r="O636" t="s">
        <v>25</v>
      </c>
      <c r="P636">
        <v>4</v>
      </c>
      <c r="Q636" t="s">
        <v>74</v>
      </c>
      <c r="R636">
        <v>0</v>
      </c>
    </row>
    <row r="637" spans="1:18" x14ac:dyDescent="0.3">
      <c r="A637" t="s">
        <v>1629</v>
      </c>
      <c r="B637" s="1">
        <v>45847</v>
      </c>
      <c r="C637" t="s">
        <v>71</v>
      </c>
      <c r="D637" t="s">
        <v>20</v>
      </c>
      <c r="E637">
        <v>23</v>
      </c>
      <c r="F637" t="s">
        <v>61</v>
      </c>
      <c r="G637" t="s">
        <v>61</v>
      </c>
      <c r="H637" t="s">
        <v>46</v>
      </c>
      <c r="I637" t="s">
        <v>47</v>
      </c>
      <c r="J637" t="s">
        <v>72</v>
      </c>
      <c r="K637">
        <v>7</v>
      </c>
      <c r="L637" s="4">
        <v>27200</v>
      </c>
      <c r="M637">
        <v>25</v>
      </c>
      <c r="N637" s="4">
        <v>142800</v>
      </c>
      <c r="O637" t="s">
        <v>25</v>
      </c>
      <c r="P637">
        <v>3</v>
      </c>
      <c r="Q637" t="s">
        <v>26</v>
      </c>
      <c r="R637">
        <v>0</v>
      </c>
    </row>
    <row r="638" spans="1:18" x14ac:dyDescent="0.3">
      <c r="A638" t="s">
        <v>1631</v>
      </c>
      <c r="B638" s="1">
        <v>45881</v>
      </c>
      <c r="C638" t="s">
        <v>19</v>
      </c>
      <c r="D638" t="s">
        <v>39</v>
      </c>
      <c r="E638">
        <v>49</v>
      </c>
      <c r="F638" t="s">
        <v>44</v>
      </c>
      <c r="G638" t="s">
        <v>100</v>
      </c>
      <c r="H638" t="s">
        <v>46</v>
      </c>
      <c r="I638" t="s">
        <v>79</v>
      </c>
      <c r="J638" t="s">
        <v>89</v>
      </c>
      <c r="K638">
        <v>9</v>
      </c>
      <c r="L638" s="4">
        <v>42500</v>
      </c>
      <c r="M638">
        <v>15</v>
      </c>
      <c r="N638" s="4">
        <v>325125</v>
      </c>
      <c r="O638" t="s">
        <v>25</v>
      </c>
      <c r="P638">
        <v>3</v>
      </c>
      <c r="Q638" t="s">
        <v>26</v>
      </c>
      <c r="R638">
        <v>0</v>
      </c>
    </row>
    <row r="639" spans="1:18" x14ac:dyDescent="0.3">
      <c r="A639" t="s">
        <v>1632</v>
      </c>
      <c r="B639" s="1">
        <v>45990</v>
      </c>
      <c r="C639" t="s">
        <v>38</v>
      </c>
      <c r="D639" t="s">
        <v>20</v>
      </c>
      <c r="E639">
        <v>22</v>
      </c>
      <c r="F639" t="s">
        <v>51</v>
      </c>
      <c r="G639" t="s">
        <v>52</v>
      </c>
      <c r="H639" t="s">
        <v>22</v>
      </c>
      <c r="I639" t="s">
        <v>23</v>
      </c>
      <c r="J639" t="s">
        <v>64</v>
      </c>
      <c r="K639">
        <v>2</v>
      </c>
      <c r="L639" s="4">
        <v>6300</v>
      </c>
      <c r="M639">
        <v>0</v>
      </c>
      <c r="N639" s="4">
        <v>12600</v>
      </c>
      <c r="O639" t="s">
        <v>3293</v>
      </c>
      <c r="Q639" t="s">
        <v>65</v>
      </c>
      <c r="R639">
        <v>0</v>
      </c>
    </row>
    <row r="640" spans="1:18" x14ac:dyDescent="0.3">
      <c r="A640" t="s">
        <v>1634</v>
      </c>
      <c r="B640" s="1">
        <v>46003</v>
      </c>
      <c r="C640" t="s">
        <v>19</v>
      </c>
      <c r="D640" t="s">
        <v>39</v>
      </c>
      <c r="E640">
        <v>35</v>
      </c>
      <c r="F640" t="s">
        <v>21</v>
      </c>
      <c r="G640" t="s">
        <v>21</v>
      </c>
      <c r="H640" t="s">
        <v>22</v>
      </c>
      <c r="I640" t="s">
        <v>23</v>
      </c>
      <c r="J640" t="s">
        <v>24</v>
      </c>
      <c r="K640">
        <v>10</v>
      </c>
      <c r="L640" s="4">
        <v>42900</v>
      </c>
      <c r="M640">
        <v>20</v>
      </c>
      <c r="N640" s="4">
        <v>343200</v>
      </c>
      <c r="O640" t="s">
        <v>85</v>
      </c>
      <c r="P640">
        <v>2</v>
      </c>
      <c r="Q640" t="s">
        <v>65</v>
      </c>
      <c r="R640">
        <v>0</v>
      </c>
    </row>
    <row r="641" spans="1:18" x14ac:dyDescent="0.3">
      <c r="A641" t="s">
        <v>1637</v>
      </c>
      <c r="B641" s="1">
        <v>45720</v>
      </c>
      <c r="C641" t="s">
        <v>113</v>
      </c>
      <c r="D641" t="s">
        <v>20</v>
      </c>
      <c r="E641">
        <v>43</v>
      </c>
      <c r="F641" t="s">
        <v>77</v>
      </c>
      <c r="G641" t="s">
        <v>78</v>
      </c>
      <c r="H641" t="s">
        <v>32</v>
      </c>
      <c r="I641" t="s">
        <v>53</v>
      </c>
      <c r="J641" t="s">
        <v>89</v>
      </c>
      <c r="K641">
        <v>10</v>
      </c>
      <c r="L641" s="4">
        <v>41000</v>
      </c>
      <c r="M641">
        <v>20</v>
      </c>
      <c r="N641" s="4">
        <v>328000</v>
      </c>
      <c r="O641" t="s">
        <v>73</v>
      </c>
      <c r="Q641" t="s">
        <v>74</v>
      </c>
      <c r="R641">
        <v>0</v>
      </c>
    </row>
    <row r="642" spans="1:18" x14ac:dyDescent="0.3">
      <c r="A642" t="s">
        <v>1638</v>
      </c>
      <c r="B642" s="1">
        <v>45944</v>
      </c>
      <c r="C642" t="s">
        <v>121</v>
      </c>
      <c r="D642" t="s">
        <v>20</v>
      </c>
      <c r="E642">
        <v>51</v>
      </c>
      <c r="F642" t="s">
        <v>77</v>
      </c>
      <c r="G642" t="s">
        <v>95</v>
      </c>
      <c r="H642" t="s">
        <v>22</v>
      </c>
      <c r="I642" t="s">
        <v>23</v>
      </c>
      <c r="J642" t="s">
        <v>72</v>
      </c>
      <c r="K642">
        <v>6</v>
      </c>
      <c r="L642" s="4">
        <v>15400</v>
      </c>
      <c r="M642">
        <v>20</v>
      </c>
      <c r="N642" s="4">
        <v>73920</v>
      </c>
      <c r="O642" t="s">
        <v>25</v>
      </c>
      <c r="P642">
        <v>2</v>
      </c>
      <c r="Q642" t="s">
        <v>26</v>
      </c>
      <c r="R642">
        <v>0</v>
      </c>
    </row>
    <row r="643" spans="1:18" x14ac:dyDescent="0.3">
      <c r="A643" t="s">
        <v>1640</v>
      </c>
      <c r="B643" s="1">
        <v>45965</v>
      </c>
      <c r="C643" t="s">
        <v>38</v>
      </c>
      <c r="D643" t="s">
        <v>20</v>
      </c>
      <c r="E643">
        <v>61</v>
      </c>
      <c r="F643" t="s">
        <v>77</v>
      </c>
      <c r="G643" t="s">
        <v>78</v>
      </c>
      <c r="H643" t="s">
        <v>46</v>
      </c>
      <c r="I643" t="s">
        <v>79</v>
      </c>
      <c r="J643" t="s">
        <v>80</v>
      </c>
      <c r="K643">
        <v>8</v>
      </c>
      <c r="L643" s="4">
        <v>39500</v>
      </c>
      <c r="M643">
        <v>25</v>
      </c>
      <c r="N643" s="4">
        <v>237000</v>
      </c>
      <c r="O643" t="s">
        <v>73</v>
      </c>
      <c r="Q643" t="s">
        <v>41</v>
      </c>
      <c r="R643">
        <v>1</v>
      </c>
    </row>
    <row r="644" spans="1:18" x14ac:dyDescent="0.3">
      <c r="A644" t="s">
        <v>1643</v>
      </c>
      <c r="B644" s="1">
        <v>46301</v>
      </c>
      <c r="C644" t="s">
        <v>38</v>
      </c>
      <c r="D644" t="s">
        <v>20</v>
      </c>
      <c r="E644">
        <v>37</v>
      </c>
      <c r="F644" t="s">
        <v>44</v>
      </c>
      <c r="G644" t="s">
        <v>45</v>
      </c>
      <c r="H644" t="s">
        <v>62</v>
      </c>
      <c r="I644" t="s">
        <v>140</v>
      </c>
      <c r="J644" t="s">
        <v>24</v>
      </c>
      <c r="K644">
        <v>2</v>
      </c>
      <c r="L644" s="4">
        <v>44100</v>
      </c>
      <c r="M644">
        <v>5</v>
      </c>
      <c r="N644" s="4">
        <v>83790</v>
      </c>
      <c r="O644" t="s">
        <v>85</v>
      </c>
      <c r="P644">
        <v>1</v>
      </c>
      <c r="Q644" t="s">
        <v>41</v>
      </c>
      <c r="R644">
        <v>1</v>
      </c>
    </row>
    <row r="645" spans="1:18" x14ac:dyDescent="0.3">
      <c r="A645" t="s">
        <v>1644</v>
      </c>
      <c r="B645" s="1">
        <v>45894</v>
      </c>
      <c r="C645" t="s">
        <v>68</v>
      </c>
      <c r="D645" t="s">
        <v>3292</v>
      </c>
      <c r="E645">
        <v>55</v>
      </c>
      <c r="F645" t="s">
        <v>77</v>
      </c>
      <c r="G645" t="s">
        <v>78</v>
      </c>
      <c r="H645" t="s">
        <v>32</v>
      </c>
      <c r="I645" t="s">
        <v>33</v>
      </c>
      <c r="J645" t="s">
        <v>24</v>
      </c>
      <c r="K645">
        <v>3</v>
      </c>
      <c r="L645" s="4">
        <v>20600</v>
      </c>
      <c r="M645">
        <v>5</v>
      </c>
      <c r="N645" s="4">
        <v>58710</v>
      </c>
      <c r="O645" t="s">
        <v>25</v>
      </c>
      <c r="P645">
        <v>4</v>
      </c>
      <c r="Q645" t="s">
        <v>65</v>
      </c>
      <c r="R645">
        <v>0</v>
      </c>
    </row>
    <row r="646" spans="1:18" x14ac:dyDescent="0.3">
      <c r="A646" t="s">
        <v>1646</v>
      </c>
      <c r="B646" s="1">
        <v>46101</v>
      </c>
      <c r="C646" t="s">
        <v>68</v>
      </c>
      <c r="D646" t="s">
        <v>20</v>
      </c>
      <c r="E646">
        <v>43</v>
      </c>
      <c r="F646" t="s">
        <v>21</v>
      </c>
      <c r="G646" t="s">
        <v>21</v>
      </c>
      <c r="H646" t="s">
        <v>46</v>
      </c>
      <c r="I646" t="s">
        <v>79</v>
      </c>
      <c r="J646" t="s">
        <v>24</v>
      </c>
      <c r="K646">
        <v>5</v>
      </c>
      <c r="L646" s="4">
        <v>45900</v>
      </c>
      <c r="M646">
        <v>15</v>
      </c>
      <c r="N646" s="4">
        <v>195075</v>
      </c>
      <c r="O646" t="s">
        <v>85</v>
      </c>
      <c r="P646">
        <v>4</v>
      </c>
      <c r="Q646" t="s">
        <v>65</v>
      </c>
      <c r="R646">
        <v>0</v>
      </c>
    </row>
    <row r="647" spans="1:18" x14ac:dyDescent="0.3">
      <c r="A647" t="s">
        <v>1648</v>
      </c>
      <c r="B647" s="1">
        <v>45715</v>
      </c>
      <c r="C647" t="s">
        <v>68</v>
      </c>
      <c r="D647" t="s">
        <v>20</v>
      </c>
      <c r="E647">
        <v>36</v>
      </c>
      <c r="F647" t="s">
        <v>21</v>
      </c>
      <c r="G647" t="s">
        <v>21</v>
      </c>
      <c r="H647" t="s">
        <v>46</v>
      </c>
      <c r="I647" t="s">
        <v>79</v>
      </c>
      <c r="J647" t="s">
        <v>72</v>
      </c>
      <c r="K647">
        <v>3</v>
      </c>
      <c r="L647" s="4">
        <v>30900</v>
      </c>
      <c r="M647">
        <v>15</v>
      </c>
      <c r="N647" s="4">
        <v>78795</v>
      </c>
      <c r="O647" t="s">
        <v>85</v>
      </c>
      <c r="Q647" t="s">
        <v>26</v>
      </c>
      <c r="R647">
        <v>0</v>
      </c>
    </row>
    <row r="648" spans="1:18" x14ac:dyDescent="0.3">
      <c r="A648" t="s">
        <v>1650</v>
      </c>
      <c r="B648" s="1">
        <v>46103</v>
      </c>
      <c r="C648" t="s">
        <v>38</v>
      </c>
      <c r="D648" t="s">
        <v>39</v>
      </c>
      <c r="E648">
        <v>44</v>
      </c>
      <c r="F648" t="s">
        <v>30</v>
      </c>
      <c r="G648" t="s">
        <v>57</v>
      </c>
      <c r="H648" t="s">
        <v>22</v>
      </c>
      <c r="I648" t="s">
        <v>23</v>
      </c>
      <c r="J648" t="s">
        <v>72</v>
      </c>
      <c r="K648">
        <v>9</v>
      </c>
      <c r="L648" s="4">
        <v>30300</v>
      </c>
      <c r="M648">
        <v>25</v>
      </c>
      <c r="N648" s="4">
        <v>204525</v>
      </c>
      <c r="O648" t="s">
        <v>85</v>
      </c>
      <c r="Q648" t="s">
        <v>26</v>
      </c>
      <c r="R648">
        <v>0</v>
      </c>
    </row>
    <row r="649" spans="1:18" x14ac:dyDescent="0.3">
      <c r="A649" t="s">
        <v>1652</v>
      </c>
      <c r="B649" s="1">
        <v>46020</v>
      </c>
      <c r="C649" t="s">
        <v>68</v>
      </c>
      <c r="D649" t="s">
        <v>20</v>
      </c>
      <c r="E649">
        <v>53</v>
      </c>
      <c r="F649" t="s">
        <v>30</v>
      </c>
      <c r="G649" t="s">
        <v>31</v>
      </c>
      <c r="H649" t="s">
        <v>46</v>
      </c>
      <c r="I649" t="s">
        <v>79</v>
      </c>
      <c r="J649" t="s">
        <v>64</v>
      </c>
      <c r="K649">
        <v>7</v>
      </c>
      <c r="L649" s="4">
        <v>16500</v>
      </c>
      <c r="M649">
        <v>20</v>
      </c>
      <c r="N649" s="4">
        <v>92400</v>
      </c>
      <c r="O649" t="s">
        <v>85</v>
      </c>
      <c r="P649">
        <v>5</v>
      </c>
      <c r="Q649" t="s">
        <v>74</v>
      </c>
      <c r="R649">
        <v>0</v>
      </c>
    </row>
    <row r="650" spans="1:18" x14ac:dyDescent="0.3">
      <c r="A650" t="s">
        <v>1654</v>
      </c>
      <c r="B650" s="1">
        <v>45706</v>
      </c>
      <c r="C650" t="s">
        <v>60</v>
      </c>
      <c r="D650" t="s">
        <v>20</v>
      </c>
      <c r="E650">
        <v>61</v>
      </c>
      <c r="F650" t="s">
        <v>61</v>
      </c>
      <c r="G650" t="s">
        <v>61</v>
      </c>
      <c r="H650" t="s">
        <v>32</v>
      </c>
      <c r="I650" t="s">
        <v>33</v>
      </c>
      <c r="J650" t="s">
        <v>72</v>
      </c>
      <c r="K650">
        <v>5</v>
      </c>
      <c r="L650" s="4">
        <v>2100</v>
      </c>
      <c r="M650">
        <v>25</v>
      </c>
      <c r="N650" s="4">
        <v>7875</v>
      </c>
      <c r="O650" t="s">
        <v>73</v>
      </c>
      <c r="Q650" t="s">
        <v>26</v>
      </c>
      <c r="R650">
        <v>0</v>
      </c>
    </row>
    <row r="651" spans="1:18" x14ac:dyDescent="0.3">
      <c r="A651" t="s">
        <v>1656</v>
      </c>
      <c r="B651" s="1">
        <v>45705</v>
      </c>
      <c r="C651" t="s">
        <v>88</v>
      </c>
      <c r="D651" t="s">
        <v>39</v>
      </c>
      <c r="E651">
        <v>46</v>
      </c>
      <c r="F651" t="s">
        <v>61</v>
      </c>
      <c r="G651" t="s">
        <v>61</v>
      </c>
      <c r="H651" t="s">
        <v>46</v>
      </c>
      <c r="I651" t="s">
        <v>47</v>
      </c>
      <c r="J651" t="s">
        <v>24</v>
      </c>
      <c r="K651">
        <v>6</v>
      </c>
      <c r="L651" s="4">
        <v>6000</v>
      </c>
      <c r="M651">
        <v>5</v>
      </c>
      <c r="N651" s="4">
        <v>34200</v>
      </c>
      <c r="O651" t="s">
        <v>73</v>
      </c>
      <c r="P651">
        <v>2</v>
      </c>
      <c r="Q651" t="s">
        <v>65</v>
      </c>
      <c r="R651">
        <v>0</v>
      </c>
    </row>
    <row r="652" spans="1:18" x14ac:dyDescent="0.3">
      <c r="A652" t="s">
        <v>1658</v>
      </c>
      <c r="B652" s="1">
        <v>45715</v>
      </c>
      <c r="C652" t="s">
        <v>68</v>
      </c>
      <c r="D652" t="s">
        <v>3292</v>
      </c>
      <c r="E652">
        <v>31</v>
      </c>
      <c r="F652" t="s">
        <v>30</v>
      </c>
      <c r="G652" t="s">
        <v>57</v>
      </c>
      <c r="H652" t="s">
        <v>62</v>
      </c>
      <c r="I652" t="s">
        <v>140</v>
      </c>
      <c r="J652" t="s">
        <v>34</v>
      </c>
      <c r="K652">
        <v>3</v>
      </c>
      <c r="L652" s="4">
        <v>20600</v>
      </c>
      <c r="M652">
        <v>5</v>
      </c>
      <c r="N652" s="4">
        <v>58710</v>
      </c>
      <c r="O652" t="s">
        <v>85</v>
      </c>
      <c r="P652">
        <v>3</v>
      </c>
      <c r="Q652" t="s">
        <v>26</v>
      </c>
      <c r="R652">
        <v>0</v>
      </c>
    </row>
    <row r="653" spans="1:18" x14ac:dyDescent="0.3">
      <c r="A653" t="s">
        <v>1659</v>
      </c>
      <c r="B653" s="1">
        <v>46184</v>
      </c>
      <c r="C653" t="s">
        <v>121</v>
      </c>
      <c r="D653" t="s">
        <v>39</v>
      </c>
      <c r="E653">
        <v>20</v>
      </c>
      <c r="F653" t="s">
        <v>61</v>
      </c>
      <c r="G653" t="s">
        <v>61</v>
      </c>
      <c r="H653" t="s">
        <v>22</v>
      </c>
      <c r="I653" t="s">
        <v>84</v>
      </c>
      <c r="J653" t="s">
        <v>24</v>
      </c>
      <c r="K653">
        <v>8</v>
      </c>
      <c r="L653" s="4">
        <v>23200</v>
      </c>
      <c r="M653">
        <v>10</v>
      </c>
      <c r="N653" s="4">
        <v>167040</v>
      </c>
      <c r="O653" t="s">
        <v>85</v>
      </c>
      <c r="P653">
        <v>3</v>
      </c>
      <c r="Q653" t="s">
        <v>65</v>
      </c>
      <c r="R653">
        <v>0</v>
      </c>
    </row>
    <row r="654" spans="1:18" x14ac:dyDescent="0.3">
      <c r="A654" t="s">
        <v>1661</v>
      </c>
      <c r="B654" s="1">
        <v>45663</v>
      </c>
      <c r="C654" t="s">
        <v>68</v>
      </c>
      <c r="D654" t="s">
        <v>39</v>
      </c>
      <c r="E654">
        <v>34</v>
      </c>
      <c r="F654" t="s">
        <v>44</v>
      </c>
      <c r="G654" t="s">
        <v>100</v>
      </c>
      <c r="H654" t="s">
        <v>22</v>
      </c>
      <c r="I654" t="s">
        <v>23</v>
      </c>
      <c r="J654" t="s">
        <v>89</v>
      </c>
      <c r="K654">
        <v>7</v>
      </c>
      <c r="L654" s="4">
        <v>16600</v>
      </c>
      <c r="M654">
        <v>0</v>
      </c>
      <c r="N654" s="4">
        <v>116200</v>
      </c>
      <c r="O654" t="s">
        <v>25</v>
      </c>
      <c r="Q654" t="s">
        <v>26</v>
      </c>
      <c r="R654">
        <v>0</v>
      </c>
    </row>
    <row r="655" spans="1:18" x14ac:dyDescent="0.3">
      <c r="A655" t="s">
        <v>1662</v>
      </c>
      <c r="B655" s="1">
        <v>45820</v>
      </c>
      <c r="C655" t="s">
        <v>113</v>
      </c>
      <c r="D655" t="s">
        <v>3292</v>
      </c>
      <c r="E655">
        <v>63</v>
      </c>
      <c r="F655" t="s">
        <v>30</v>
      </c>
      <c r="G655" t="s">
        <v>31</v>
      </c>
      <c r="H655" t="s">
        <v>22</v>
      </c>
      <c r="I655" t="s">
        <v>84</v>
      </c>
      <c r="J655" t="s">
        <v>72</v>
      </c>
      <c r="K655">
        <v>1</v>
      </c>
      <c r="L655" s="4">
        <v>7400</v>
      </c>
      <c r="M655">
        <v>10</v>
      </c>
      <c r="N655" s="4">
        <v>6660</v>
      </c>
      <c r="O655" t="s">
        <v>25</v>
      </c>
      <c r="P655">
        <v>3</v>
      </c>
      <c r="Q655" t="s">
        <v>74</v>
      </c>
      <c r="R655">
        <v>0</v>
      </c>
    </row>
    <row r="656" spans="1:18" x14ac:dyDescent="0.3">
      <c r="A656" t="s">
        <v>1664</v>
      </c>
      <c r="B656" s="1">
        <v>45676</v>
      </c>
      <c r="C656" t="s">
        <v>88</v>
      </c>
      <c r="D656" t="s">
        <v>39</v>
      </c>
      <c r="E656">
        <v>54</v>
      </c>
      <c r="F656" t="s">
        <v>61</v>
      </c>
      <c r="G656" t="s">
        <v>61</v>
      </c>
      <c r="H656" t="s">
        <v>62</v>
      </c>
      <c r="I656" t="s">
        <v>140</v>
      </c>
      <c r="J656" t="s">
        <v>89</v>
      </c>
      <c r="K656">
        <v>5</v>
      </c>
      <c r="L656" s="4">
        <v>48300</v>
      </c>
      <c r="M656">
        <v>5</v>
      </c>
      <c r="N656" s="4">
        <v>229425</v>
      </c>
      <c r="O656" t="s">
        <v>25</v>
      </c>
      <c r="P656">
        <v>2</v>
      </c>
      <c r="Q656" t="s">
        <v>41</v>
      </c>
      <c r="R656">
        <v>1</v>
      </c>
    </row>
    <row r="657" spans="1:18" x14ac:dyDescent="0.3">
      <c r="A657" t="s">
        <v>1666</v>
      </c>
      <c r="B657" s="1">
        <v>45980</v>
      </c>
      <c r="C657" t="s">
        <v>38</v>
      </c>
      <c r="D657" t="s">
        <v>39</v>
      </c>
      <c r="E657">
        <v>63</v>
      </c>
      <c r="F657" t="s">
        <v>21</v>
      </c>
      <c r="G657" t="s">
        <v>21</v>
      </c>
      <c r="H657" t="s">
        <v>46</v>
      </c>
      <c r="I657" t="s">
        <v>47</v>
      </c>
      <c r="J657" t="s">
        <v>24</v>
      </c>
      <c r="K657">
        <v>9</v>
      </c>
      <c r="L657" s="4">
        <v>17400</v>
      </c>
      <c r="M657">
        <v>10</v>
      </c>
      <c r="N657" s="4">
        <v>140940</v>
      </c>
      <c r="O657" t="s">
        <v>85</v>
      </c>
      <c r="Q657" t="s">
        <v>26</v>
      </c>
      <c r="R657">
        <v>0</v>
      </c>
    </row>
    <row r="658" spans="1:18" x14ac:dyDescent="0.3">
      <c r="A658" t="s">
        <v>1668</v>
      </c>
      <c r="B658" s="1">
        <v>46084</v>
      </c>
      <c r="C658" t="s">
        <v>68</v>
      </c>
      <c r="D658" t="s">
        <v>3292</v>
      </c>
      <c r="E658">
        <v>43</v>
      </c>
      <c r="F658" t="s">
        <v>51</v>
      </c>
      <c r="G658" t="s">
        <v>52</v>
      </c>
      <c r="H658" t="s">
        <v>22</v>
      </c>
      <c r="I658" t="s">
        <v>84</v>
      </c>
      <c r="J658" t="s">
        <v>72</v>
      </c>
      <c r="K658">
        <v>10</v>
      </c>
      <c r="L658" s="4">
        <v>10100</v>
      </c>
      <c r="M658">
        <v>5</v>
      </c>
      <c r="N658" s="4">
        <v>95950</v>
      </c>
      <c r="O658" t="s">
        <v>85</v>
      </c>
      <c r="P658">
        <v>1</v>
      </c>
      <c r="Q658" t="s">
        <v>74</v>
      </c>
      <c r="R658">
        <v>0</v>
      </c>
    </row>
    <row r="659" spans="1:18" x14ac:dyDescent="0.3">
      <c r="A659" t="s">
        <v>1669</v>
      </c>
      <c r="B659" s="1">
        <v>45927</v>
      </c>
      <c r="C659" t="s">
        <v>60</v>
      </c>
      <c r="D659" t="s">
        <v>20</v>
      </c>
      <c r="E659">
        <v>52</v>
      </c>
      <c r="F659" t="s">
        <v>61</v>
      </c>
      <c r="G659" t="s">
        <v>61</v>
      </c>
      <c r="H659" t="s">
        <v>46</v>
      </c>
      <c r="I659" t="s">
        <v>47</v>
      </c>
      <c r="J659" t="s">
        <v>80</v>
      </c>
      <c r="K659">
        <v>7</v>
      </c>
      <c r="L659" s="4">
        <v>2700</v>
      </c>
      <c r="M659">
        <v>5</v>
      </c>
      <c r="N659" s="4">
        <v>17955</v>
      </c>
      <c r="O659" t="s">
        <v>25</v>
      </c>
      <c r="P659">
        <v>1</v>
      </c>
      <c r="Q659" t="s">
        <v>41</v>
      </c>
      <c r="R659">
        <v>1</v>
      </c>
    </row>
    <row r="660" spans="1:18" x14ac:dyDescent="0.3">
      <c r="A660" t="s">
        <v>1670</v>
      </c>
      <c r="B660" s="1">
        <v>46014</v>
      </c>
      <c r="C660" t="s">
        <v>60</v>
      </c>
      <c r="D660" t="s">
        <v>39</v>
      </c>
      <c r="E660">
        <v>43</v>
      </c>
      <c r="F660" t="s">
        <v>77</v>
      </c>
      <c r="G660" t="s">
        <v>78</v>
      </c>
      <c r="H660" t="s">
        <v>46</v>
      </c>
      <c r="I660" t="s">
        <v>47</v>
      </c>
      <c r="J660" t="s">
        <v>24</v>
      </c>
      <c r="K660">
        <v>2</v>
      </c>
      <c r="L660" s="4">
        <v>10700</v>
      </c>
      <c r="M660">
        <v>15</v>
      </c>
      <c r="N660" s="4">
        <v>18190</v>
      </c>
      <c r="O660" t="s">
        <v>73</v>
      </c>
      <c r="P660">
        <v>5</v>
      </c>
      <c r="Q660" t="s">
        <v>74</v>
      </c>
      <c r="R660">
        <v>0</v>
      </c>
    </row>
    <row r="661" spans="1:18" x14ac:dyDescent="0.3">
      <c r="A661" t="s">
        <v>1671</v>
      </c>
      <c r="B661" s="1">
        <v>45935</v>
      </c>
      <c r="C661" t="s">
        <v>19</v>
      </c>
      <c r="D661" t="s">
        <v>39</v>
      </c>
      <c r="E661">
        <v>64</v>
      </c>
      <c r="F661" t="s">
        <v>61</v>
      </c>
      <c r="G661" t="s">
        <v>61</v>
      </c>
      <c r="H661" t="s">
        <v>46</v>
      </c>
      <c r="I661" t="s">
        <v>79</v>
      </c>
      <c r="J661" t="s">
        <v>64</v>
      </c>
      <c r="K661">
        <v>7</v>
      </c>
      <c r="L661" s="4">
        <v>26500</v>
      </c>
      <c r="M661">
        <v>10</v>
      </c>
      <c r="N661" s="4">
        <v>166950</v>
      </c>
      <c r="O661" t="s">
        <v>73</v>
      </c>
      <c r="P661">
        <v>1</v>
      </c>
      <c r="Q661" t="s">
        <v>74</v>
      </c>
      <c r="R661">
        <v>0</v>
      </c>
    </row>
    <row r="662" spans="1:18" x14ac:dyDescent="0.3">
      <c r="A662" t="s">
        <v>1672</v>
      </c>
      <c r="B662" s="1">
        <v>45809</v>
      </c>
      <c r="C662" t="s">
        <v>94</v>
      </c>
      <c r="D662" t="s">
        <v>39</v>
      </c>
      <c r="E662">
        <v>28</v>
      </c>
      <c r="F662" t="s">
        <v>21</v>
      </c>
      <c r="G662" t="s">
        <v>21</v>
      </c>
      <c r="H662" t="s">
        <v>32</v>
      </c>
      <c r="I662" t="s">
        <v>53</v>
      </c>
      <c r="J662" t="s">
        <v>64</v>
      </c>
      <c r="K662">
        <v>8</v>
      </c>
      <c r="L662" s="4">
        <v>41000</v>
      </c>
      <c r="M662">
        <v>15</v>
      </c>
      <c r="N662" s="4">
        <v>278800</v>
      </c>
      <c r="O662" t="s">
        <v>85</v>
      </c>
      <c r="Q662" t="s">
        <v>26</v>
      </c>
      <c r="R662">
        <v>0</v>
      </c>
    </row>
    <row r="663" spans="1:18" x14ac:dyDescent="0.3">
      <c r="A663" t="s">
        <v>1677</v>
      </c>
      <c r="B663" s="1">
        <v>45759</v>
      </c>
      <c r="C663" t="s">
        <v>121</v>
      </c>
      <c r="D663" t="s">
        <v>39</v>
      </c>
      <c r="E663">
        <v>29</v>
      </c>
      <c r="F663" t="s">
        <v>51</v>
      </c>
      <c r="G663" t="s">
        <v>104</v>
      </c>
      <c r="H663" t="s">
        <v>46</v>
      </c>
      <c r="I663" t="s">
        <v>79</v>
      </c>
      <c r="J663" t="s">
        <v>64</v>
      </c>
      <c r="K663">
        <v>9</v>
      </c>
      <c r="L663" s="4">
        <v>23100</v>
      </c>
      <c r="M663">
        <v>20</v>
      </c>
      <c r="N663" s="4">
        <v>166320</v>
      </c>
      <c r="O663" t="s">
        <v>85</v>
      </c>
      <c r="P663">
        <v>4</v>
      </c>
      <c r="Q663" t="s">
        <v>26</v>
      </c>
      <c r="R663">
        <v>0</v>
      </c>
    </row>
    <row r="664" spans="1:18" x14ac:dyDescent="0.3">
      <c r="A664" t="s">
        <v>1680</v>
      </c>
      <c r="B664" s="1">
        <v>46189</v>
      </c>
      <c r="C664" t="s">
        <v>38</v>
      </c>
      <c r="D664" t="s">
        <v>39</v>
      </c>
      <c r="E664">
        <v>18</v>
      </c>
      <c r="F664" t="s">
        <v>21</v>
      </c>
      <c r="G664" t="s">
        <v>21</v>
      </c>
      <c r="H664" t="s">
        <v>32</v>
      </c>
      <c r="I664" t="s">
        <v>33</v>
      </c>
      <c r="J664" t="s">
        <v>89</v>
      </c>
      <c r="K664">
        <v>4</v>
      </c>
      <c r="L664" s="4">
        <v>28200</v>
      </c>
      <c r="M664">
        <v>10</v>
      </c>
      <c r="N664" s="4">
        <v>101520</v>
      </c>
      <c r="O664" t="s">
        <v>85</v>
      </c>
      <c r="Q664" t="s">
        <v>65</v>
      </c>
      <c r="R664">
        <v>0</v>
      </c>
    </row>
    <row r="665" spans="1:18" x14ac:dyDescent="0.3">
      <c r="A665" t="s">
        <v>1682</v>
      </c>
      <c r="B665" s="1">
        <v>45720</v>
      </c>
      <c r="C665" t="s">
        <v>29</v>
      </c>
      <c r="D665" t="s">
        <v>3292</v>
      </c>
      <c r="E665">
        <v>40</v>
      </c>
      <c r="F665" t="s">
        <v>77</v>
      </c>
      <c r="G665" t="s">
        <v>95</v>
      </c>
      <c r="H665" t="s">
        <v>22</v>
      </c>
      <c r="I665" t="s">
        <v>23</v>
      </c>
      <c r="J665" t="s">
        <v>34</v>
      </c>
      <c r="K665">
        <v>9</v>
      </c>
      <c r="L665" s="4">
        <v>32400</v>
      </c>
      <c r="M665">
        <v>5</v>
      </c>
      <c r="N665" s="4">
        <v>277020</v>
      </c>
      <c r="O665" t="s">
        <v>85</v>
      </c>
      <c r="P665">
        <v>2</v>
      </c>
      <c r="Q665" t="s">
        <v>26</v>
      </c>
      <c r="R665">
        <v>0</v>
      </c>
    </row>
    <row r="666" spans="1:18" x14ac:dyDescent="0.3">
      <c r="A666" t="s">
        <v>1683</v>
      </c>
      <c r="B666" s="1">
        <v>46155</v>
      </c>
      <c r="C666" t="s">
        <v>29</v>
      </c>
      <c r="D666" t="s">
        <v>39</v>
      </c>
      <c r="E666">
        <v>39</v>
      </c>
      <c r="F666" t="s">
        <v>77</v>
      </c>
      <c r="G666" t="s">
        <v>95</v>
      </c>
      <c r="H666" t="s">
        <v>32</v>
      </c>
      <c r="I666" t="s">
        <v>53</v>
      </c>
      <c r="J666" t="s">
        <v>89</v>
      </c>
      <c r="K666">
        <v>4</v>
      </c>
      <c r="L666" s="4">
        <v>22700</v>
      </c>
      <c r="M666">
        <v>5</v>
      </c>
      <c r="N666" s="4">
        <v>86260</v>
      </c>
      <c r="O666" t="s">
        <v>85</v>
      </c>
      <c r="P666">
        <v>5</v>
      </c>
      <c r="Q666" t="s">
        <v>41</v>
      </c>
      <c r="R666">
        <v>1</v>
      </c>
    </row>
    <row r="667" spans="1:18" x14ac:dyDescent="0.3">
      <c r="A667" t="s">
        <v>1686</v>
      </c>
      <c r="B667" s="1">
        <v>45708</v>
      </c>
      <c r="C667" t="s">
        <v>19</v>
      </c>
      <c r="D667" t="s">
        <v>39</v>
      </c>
      <c r="E667">
        <v>44</v>
      </c>
      <c r="F667" t="s">
        <v>61</v>
      </c>
      <c r="G667" t="s">
        <v>61</v>
      </c>
      <c r="H667" t="s">
        <v>62</v>
      </c>
      <c r="I667" t="s">
        <v>63</v>
      </c>
      <c r="J667" t="s">
        <v>80</v>
      </c>
      <c r="K667">
        <v>9</v>
      </c>
      <c r="L667" s="4">
        <v>37300</v>
      </c>
      <c r="M667">
        <v>25</v>
      </c>
      <c r="N667" s="4">
        <v>251775</v>
      </c>
      <c r="O667" t="s">
        <v>73</v>
      </c>
      <c r="Q667" t="s">
        <v>65</v>
      </c>
      <c r="R667">
        <v>0</v>
      </c>
    </row>
    <row r="668" spans="1:18" x14ac:dyDescent="0.3">
      <c r="A668" t="s">
        <v>1688</v>
      </c>
      <c r="B668" s="1">
        <v>46100</v>
      </c>
      <c r="C668" t="s">
        <v>121</v>
      </c>
      <c r="D668" t="s">
        <v>39</v>
      </c>
      <c r="E668">
        <v>55</v>
      </c>
      <c r="F668" t="s">
        <v>77</v>
      </c>
      <c r="G668" t="s">
        <v>95</v>
      </c>
      <c r="H668" t="s">
        <v>46</v>
      </c>
      <c r="I668" t="s">
        <v>79</v>
      </c>
      <c r="J668" t="s">
        <v>80</v>
      </c>
      <c r="K668">
        <v>2</v>
      </c>
      <c r="L668" s="4">
        <v>7600</v>
      </c>
      <c r="M668">
        <v>15</v>
      </c>
      <c r="N668" s="4">
        <v>12920</v>
      </c>
      <c r="O668" t="s">
        <v>85</v>
      </c>
      <c r="P668">
        <v>4</v>
      </c>
      <c r="Q668" t="s">
        <v>65</v>
      </c>
      <c r="R668">
        <v>0</v>
      </c>
    </row>
    <row r="669" spans="1:18" x14ac:dyDescent="0.3">
      <c r="A669" t="s">
        <v>1691</v>
      </c>
      <c r="B669" s="1">
        <v>45770</v>
      </c>
      <c r="C669" t="s">
        <v>29</v>
      </c>
      <c r="D669" t="s">
        <v>20</v>
      </c>
      <c r="E669">
        <v>36</v>
      </c>
      <c r="F669" t="s">
        <v>30</v>
      </c>
      <c r="G669" t="s">
        <v>57</v>
      </c>
      <c r="H669" t="s">
        <v>46</v>
      </c>
      <c r="I669" t="s">
        <v>47</v>
      </c>
      <c r="J669" t="s">
        <v>80</v>
      </c>
      <c r="K669">
        <v>9</v>
      </c>
      <c r="L669" s="4">
        <v>46200</v>
      </c>
      <c r="M669">
        <v>25</v>
      </c>
      <c r="N669" s="4">
        <v>311850</v>
      </c>
      <c r="O669" t="s">
        <v>85</v>
      </c>
      <c r="Q669" t="s">
        <v>65</v>
      </c>
      <c r="R669">
        <v>0</v>
      </c>
    </row>
    <row r="670" spans="1:18" x14ac:dyDescent="0.3">
      <c r="A670" t="s">
        <v>1692</v>
      </c>
      <c r="B670" s="1">
        <v>46095</v>
      </c>
      <c r="C670" t="s">
        <v>71</v>
      </c>
      <c r="D670" t="s">
        <v>20</v>
      </c>
      <c r="E670">
        <v>54</v>
      </c>
      <c r="F670" t="s">
        <v>77</v>
      </c>
      <c r="G670" t="s">
        <v>95</v>
      </c>
      <c r="H670" t="s">
        <v>32</v>
      </c>
      <c r="I670" t="s">
        <v>53</v>
      </c>
      <c r="J670" t="s">
        <v>80</v>
      </c>
      <c r="K670">
        <v>4</v>
      </c>
      <c r="L670" s="4">
        <v>38600</v>
      </c>
      <c r="M670">
        <v>0</v>
      </c>
      <c r="N670" s="4">
        <v>154400</v>
      </c>
      <c r="O670" t="s">
        <v>85</v>
      </c>
      <c r="Q670" t="s">
        <v>26</v>
      </c>
      <c r="R670">
        <v>0</v>
      </c>
    </row>
    <row r="671" spans="1:18" x14ac:dyDescent="0.3">
      <c r="A671" t="s">
        <v>1693</v>
      </c>
      <c r="B671" s="1">
        <v>45777</v>
      </c>
      <c r="C671" t="s">
        <v>19</v>
      </c>
      <c r="D671" t="s">
        <v>39</v>
      </c>
      <c r="E671">
        <v>64</v>
      </c>
      <c r="F671" t="s">
        <v>77</v>
      </c>
      <c r="G671" t="s">
        <v>78</v>
      </c>
      <c r="H671" t="s">
        <v>22</v>
      </c>
      <c r="I671" t="s">
        <v>84</v>
      </c>
      <c r="J671" t="s">
        <v>24</v>
      </c>
      <c r="K671">
        <v>9</v>
      </c>
      <c r="L671" s="4">
        <v>16700</v>
      </c>
      <c r="M671">
        <v>25</v>
      </c>
      <c r="N671" s="4">
        <v>112725</v>
      </c>
      <c r="O671" t="s">
        <v>73</v>
      </c>
      <c r="P671">
        <v>5</v>
      </c>
      <c r="Q671" t="s">
        <v>26</v>
      </c>
      <c r="R671">
        <v>0</v>
      </c>
    </row>
    <row r="672" spans="1:18" x14ac:dyDescent="0.3">
      <c r="A672" t="s">
        <v>1695</v>
      </c>
      <c r="B672" s="1">
        <v>45663</v>
      </c>
      <c r="C672" t="s">
        <v>113</v>
      </c>
      <c r="D672" t="s">
        <v>39</v>
      </c>
      <c r="E672">
        <v>34</v>
      </c>
      <c r="F672" t="s">
        <v>51</v>
      </c>
      <c r="G672" t="s">
        <v>104</v>
      </c>
      <c r="H672" t="s">
        <v>62</v>
      </c>
      <c r="I672" t="s">
        <v>63</v>
      </c>
      <c r="J672" t="s">
        <v>80</v>
      </c>
      <c r="K672">
        <v>7</v>
      </c>
      <c r="L672" s="4">
        <v>45800</v>
      </c>
      <c r="M672">
        <v>20</v>
      </c>
      <c r="N672" s="4">
        <v>256480</v>
      </c>
      <c r="O672" t="s">
        <v>85</v>
      </c>
      <c r="Q672" t="s">
        <v>26</v>
      </c>
      <c r="R672">
        <v>0</v>
      </c>
    </row>
    <row r="673" spans="1:18" x14ac:dyDescent="0.3">
      <c r="A673" t="s">
        <v>1696</v>
      </c>
      <c r="B673" s="1">
        <v>45811</v>
      </c>
      <c r="C673" t="s">
        <v>71</v>
      </c>
      <c r="D673" t="s">
        <v>20</v>
      </c>
      <c r="E673">
        <v>39</v>
      </c>
      <c r="F673" t="s">
        <v>61</v>
      </c>
      <c r="G673" t="s">
        <v>61</v>
      </c>
      <c r="H673" t="s">
        <v>46</v>
      </c>
      <c r="I673" t="s">
        <v>79</v>
      </c>
      <c r="J673" t="s">
        <v>72</v>
      </c>
      <c r="K673">
        <v>7</v>
      </c>
      <c r="L673" s="4">
        <v>30600</v>
      </c>
      <c r="M673">
        <v>0</v>
      </c>
      <c r="N673" s="4">
        <v>214200</v>
      </c>
      <c r="O673" t="s">
        <v>73</v>
      </c>
      <c r="P673">
        <v>3</v>
      </c>
      <c r="Q673" t="s">
        <v>26</v>
      </c>
      <c r="R673">
        <v>0</v>
      </c>
    </row>
    <row r="674" spans="1:18" x14ac:dyDescent="0.3">
      <c r="A674" t="s">
        <v>1699</v>
      </c>
      <c r="B674" s="1">
        <v>46033</v>
      </c>
      <c r="C674" t="s">
        <v>121</v>
      </c>
      <c r="D674" t="s">
        <v>39</v>
      </c>
      <c r="E674">
        <v>54</v>
      </c>
      <c r="F674" t="s">
        <v>30</v>
      </c>
      <c r="G674" t="s">
        <v>57</v>
      </c>
      <c r="H674" t="s">
        <v>62</v>
      </c>
      <c r="I674" t="s">
        <v>63</v>
      </c>
      <c r="J674" t="s">
        <v>89</v>
      </c>
      <c r="K674">
        <v>8</v>
      </c>
      <c r="L674" s="4">
        <v>6400</v>
      </c>
      <c r="M674">
        <v>5</v>
      </c>
      <c r="N674" s="4">
        <v>48640</v>
      </c>
      <c r="O674" t="s">
        <v>25</v>
      </c>
      <c r="P674">
        <v>3</v>
      </c>
      <c r="Q674" t="s">
        <v>26</v>
      </c>
      <c r="R674">
        <v>0</v>
      </c>
    </row>
    <row r="675" spans="1:18" x14ac:dyDescent="0.3">
      <c r="A675" t="s">
        <v>1701</v>
      </c>
      <c r="B675" s="1">
        <v>45916</v>
      </c>
      <c r="C675" t="s">
        <v>19</v>
      </c>
      <c r="D675" t="s">
        <v>20</v>
      </c>
      <c r="E675">
        <v>36</v>
      </c>
      <c r="F675" t="s">
        <v>44</v>
      </c>
      <c r="G675" t="s">
        <v>100</v>
      </c>
      <c r="H675" t="s">
        <v>32</v>
      </c>
      <c r="I675" t="s">
        <v>33</v>
      </c>
      <c r="J675" t="s">
        <v>72</v>
      </c>
      <c r="K675">
        <v>3</v>
      </c>
      <c r="L675" s="4">
        <v>37700</v>
      </c>
      <c r="M675">
        <v>5</v>
      </c>
      <c r="N675" s="4">
        <v>107445</v>
      </c>
      <c r="O675" t="s">
        <v>85</v>
      </c>
      <c r="P675">
        <v>2</v>
      </c>
      <c r="Q675" t="s">
        <v>26</v>
      </c>
      <c r="R675">
        <v>0</v>
      </c>
    </row>
    <row r="676" spans="1:18" x14ac:dyDescent="0.3">
      <c r="A676" t="s">
        <v>1705</v>
      </c>
      <c r="B676" s="1">
        <v>45804</v>
      </c>
      <c r="C676" t="s">
        <v>19</v>
      </c>
      <c r="D676" t="s">
        <v>39</v>
      </c>
      <c r="E676">
        <v>55</v>
      </c>
      <c r="F676" t="s">
        <v>77</v>
      </c>
      <c r="G676" t="s">
        <v>78</v>
      </c>
      <c r="H676" t="s">
        <v>32</v>
      </c>
      <c r="I676" t="s">
        <v>33</v>
      </c>
      <c r="J676" t="s">
        <v>34</v>
      </c>
      <c r="K676">
        <v>4</v>
      </c>
      <c r="L676" s="4">
        <v>26200</v>
      </c>
      <c r="M676">
        <v>0</v>
      </c>
      <c r="N676" s="4">
        <v>104800</v>
      </c>
      <c r="O676" t="s">
        <v>85</v>
      </c>
      <c r="P676">
        <v>1</v>
      </c>
      <c r="Q676" t="s">
        <v>26</v>
      </c>
      <c r="R676">
        <v>0</v>
      </c>
    </row>
    <row r="677" spans="1:18" x14ac:dyDescent="0.3">
      <c r="A677" t="s">
        <v>1708</v>
      </c>
      <c r="B677" s="1">
        <v>45952</v>
      </c>
      <c r="C677" t="s">
        <v>113</v>
      </c>
      <c r="D677" t="s">
        <v>20</v>
      </c>
      <c r="E677">
        <v>65</v>
      </c>
      <c r="F677" t="s">
        <v>61</v>
      </c>
      <c r="G677" t="s">
        <v>61</v>
      </c>
      <c r="H677" t="s">
        <v>22</v>
      </c>
      <c r="I677" t="s">
        <v>84</v>
      </c>
      <c r="J677" t="s">
        <v>89</v>
      </c>
      <c r="K677">
        <v>5</v>
      </c>
      <c r="L677" s="4">
        <v>7900</v>
      </c>
      <c r="M677">
        <v>20</v>
      </c>
      <c r="N677" s="4">
        <v>31600</v>
      </c>
      <c r="O677" t="s">
        <v>73</v>
      </c>
      <c r="P677">
        <v>5</v>
      </c>
      <c r="Q677" t="s">
        <v>26</v>
      </c>
      <c r="R677">
        <v>0</v>
      </c>
    </row>
    <row r="678" spans="1:18" x14ac:dyDescent="0.3">
      <c r="A678" t="s">
        <v>1710</v>
      </c>
      <c r="B678" s="1">
        <v>45867</v>
      </c>
      <c r="C678" t="s">
        <v>88</v>
      </c>
      <c r="D678" t="s">
        <v>20</v>
      </c>
      <c r="E678">
        <v>21</v>
      </c>
      <c r="F678" t="s">
        <v>21</v>
      </c>
      <c r="G678" t="s">
        <v>21</v>
      </c>
      <c r="H678" t="s">
        <v>32</v>
      </c>
      <c r="I678" t="s">
        <v>33</v>
      </c>
      <c r="J678" t="s">
        <v>64</v>
      </c>
      <c r="K678">
        <v>4</v>
      </c>
      <c r="L678" s="4">
        <v>29800</v>
      </c>
      <c r="M678">
        <v>5</v>
      </c>
      <c r="N678" s="4">
        <v>113240</v>
      </c>
      <c r="O678" t="s">
        <v>85</v>
      </c>
      <c r="P678">
        <v>3</v>
      </c>
      <c r="Q678" t="s">
        <v>41</v>
      </c>
      <c r="R678">
        <v>1</v>
      </c>
    </row>
    <row r="679" spans="1:18" x14ac:dyDescent="0.3">
      <c r="A679" t="s">
        <v>1711</v>
      </c>
      <c r="B679" s="1">
        <v>45908</v>
      </c>
      <c r="C679" t="s">
        <v>60</v>
      </c>
      <c r="D679" t="s">
        <v>39</v>
      </c>
      <c r="E679">
        <v>22</v>
      </c>
      <c r="F679" t="s">
        <v>30</v>
      </c>
      <c r="G679" t="s">
        <v>57</v>
      </c>
      <c r="H679" t="s">
        <v>32</v>
      </c>
      <c r="I679" t="s">
        <v>53</v>
      </c>
      <c r="J679" t="s">
        <v>24</v>
      </c>
      <c r="K679">
        <v>4</v>
      </c>
      <c r="L679" s="4">
        <v>3700</v>
      </c>
      <c r="M679">
        <v>15</v>
      </c>
      <c r="N679" s="4">
        <v>12580</v>
      </c>
      <c r="O679" t="s">
        <v>85</v>
      </c>
      <c r="P679">
        <v>2</v>
      </c>
      <c r="Q679" t="s">
        <v>26</v>
      </c>
      <c r="R679">
        <v>0</v>
      </c>
    </row>
    <row r="680" spans="1:18" x14ac:dyDescent="0.3">
      <c r="A680" t="s">
        <v>1712</v>
      </c>
      <c r="B680" s="1">
        <v>46086</v>
      </c>
      <c r="C680" t="s">
        <v>88</v>
      </c>
      <c r="D680" t="s">
        <v>3292</v>
      </c>
      <c r="E680">
        <v>36</v>
      </c>
      <c r="F680" t="s">
        <v>44</v>
      </c>
      <c r="G680" t="s">
        <v>45</v>
      </c>
      <c r="H680" t="s">
        <v>62</v>
      </c>
      <c r="I680" t="s">
        <v>63</v>
      </c>
      <c r="J680" t="s">
        <v>34</v>
      </c>
      <c r="K680">
        <v>1</v>
      </c>
      <c r="L680" s="4">
        <v>41100</v>
      </c>
      <c r="M680">
        <v>0</v>
      </c>
      <c r="N680" s="4">
        <v>41100</v>
      </c>
      <c r="O680" t="s">
        <v>73</v>
      </c>
      <c r="P680">
        <v>5</v>
      </c>
      <c r="Q680" t="s">
        <v>41</v>
      </c>
      <c r="R680">
        <v>1</v>
      </c>
    </row>
    <row r="681" spans="1:18" x14ac:dyDescent="0.3">
      <c r="A681" t="s">
        <v>1713</v>
      </c>
      <c r="B681" s="1">
        <v>46051</v>
      </c>
      <c r="C681" t="s">
        <v>38</v>
      </c>
      <c r="D681" t="s">
        <v>20</v>
      </c>
      <c r="E681">
        <v>22</v>
      </c>
      <c r="F681" t="s">
        <v>51</v>
      </c>
      <c r="G681" t="s">
        <v>104</v>
      </c>
      <c r="H681" t="s">
        <v>32</v>
      </c>
      <c r="I681" t="s">
        <v>33</v>
      </c>
      <c r="J681" t="s">
        <v>34</v>
      </c>
      <c r="K681">
        <v>9</v>
      </c>
      <c r="L681" s="4">
        <v>32700</v>
      </c>
      <c r="M681">
        <v>20</v>
      </c>
      <c r="N681" s="4">
        <v>235440</v>
      </c>
      <c r="O681" t="s">
        <v>85</v>
      </c>
      <c r="P681">
        <v>5</v>
      </c>
      <c r="Q681" t="s">
        <v>26</v>
      </c>
      <c r="R681">
        <v>0</v>
      </c>
    </row>
    <row r="682" spans="1:18" x14ac:dyDescent="0.3">
      <c r="A682" t="s">
        <v>1715</v>
      </c>
      <c r="B682" s="1">
        <v>46058</v>
      </c>
      <c r="C682" t="s">
        <v>60</v>
      </c>
      <c r="D682" t="s">
        <v>3292</v>
      </c>
      <c r="E682">
        <v>37</v>
      </c>
      <c r="F682" t="s">
        <v>77</v>
      </c>
      <c r="G682" t="s">
        <v>78</v>
      </c>
      <c r="H682" t="s">
        <v>46</v>
      </c>
      <c r="I682" t="s">
        <v>79</v>
      </c>
      <c r="J682" t="s">
        <v>34</v>
      </c>
      <c r="K682">
        <v>1</v>
      </c>
      <c r="L682" s="4">
        <v>44400</v>
      </c>
      <c r="M682">
        <v>10</v>
      </c>
      <c r="N682" s="4">
        <v>39960</v>
      </c>
      <c r="O682" t="s">
        <v>3293</v>
      </c>
      <c r="P682">
        <v>3</v>
      </c>
      <c r="Q682" t="s">
        <v>41</v>
      </c>
      <c r="R682">
        <v>1</v>
      </c>
    </row>
    <row r="683" spans="1:18" x14ac:dyDescent="0.3">
      <c r="A683" t="s">
        <v>1717</v>
      </c>
      <c r="B683" s="1">
        <v>46078</v>
      </c>
      <c r="C683" t="s">
        <v>88</v>
      </c>
      <c r="D683" t="s">
        <v>3292</v>
      </c>
      <c r="E683">
        <v>52</v>
      </c>
      <c r="F683" t="s">
        <v>30</v>
      </c>
      <c r="G683" t="s">
        <v>57</v>
      </c>
      <c r="H683" t="s">
        <v>22</v>
      </c>
      <c r="I683" t="s">
        <v>84</v>
      </c>
      <c r="J683" t="s">
        <v>72</v>
      </c>
      <c r="K683">
        <v>1</v>
      </c>
      <c r="L683" s="4">
        <v>30600</v>
      </c>
      <c r="M683">
        <v>25</v>
      </c>
      <c r="N683" s="4">
        <v>22950</v>
      </c>
      <c r="O683" t="s">
        <v>73</v>
      </c>
      <c r="P683">
        <v>5</v>
      </c>
      <c r="Q683" t="s">
        <v>65</v>
      </c>
      <c r="R683">
        <v>0</v>
      </c>
    </row>
    <row r="684" spans="1:18" x14ac:dyDescent="0.3">
      <c r="A684" t="s">
        <v>1718</v>
      </c>
      <c r="B684" s="1">
        <v>45820</v>
      </c>
      <c r="C684" t="s">
        <v>113</v>
      </c>
      <c r="D684" t="s">
        <v>3292</v>
      </c>
      <c r="E684">
        <v>28</v>
      </c>
      <c r="F684" t="s">
        <v>44</v>
      </c>
      <c r="G684" t="s">
        <v>45</v>
      </c>
      <c r="H684" t="s">
        <v>62</v>
      </c>
      <c r="I684" t="s">
        <v>140</v>
      </c>
      <c r="J684" t="s">
        <v>72</v>
      </c>
      <c r="K684">
        <v>1</v>
      </c>
      <c r="L684" s="4">
        <v>22800</v>
      </c>
      <c r="M684">
        <v>5</v>
      </c>
      <c r="N684" s="4">
        <v>21660</v>
      </c>
      <c r="O684" t="s">
        <v>25</v>
      </c>
      <c r="P684">
        <v>2</v>
      </c>
      <c r="Q684" t="s">
        <v>41</v>
      </c>
      <c r="R684">
        <v>1</v>
      </c>
    </row>
    <row r="685" spans="1:18" x14ac:dyDescent="0.3">
      <c r="A685" t="s">
        <v>1719</v>
      </c>
      <c r="B685" s="1">
        <v>45927</v>
      </c>
      <c r="C685" t="s">
        <v>113</v>
      </c>
      <c r="D685" t="s">
        <v>3292</v>
      </c>
      <c r="E685">
        <v>43</v>
      </c>
      <c r="F685" t="s">
        <v>61</v>
      </c>
      <c r="G685" t="s">
        <v>61</v>
      </c>
      <c r="H685" t="s">
        <v>32</v>
      </c>
      <c r="I685" t="s">
        <v>53</v>
      </c>
      <c r="J685" t="s">
        <v>24</v>
      </c>
      <c r="K685">
        <v>8</v>
      </c>
      <c r="L685" s="4">
        <v>29200</v>
      </c>
      <c r="M685">
        <v>5</v>
      </c>
      <c r="N685" s="4">
        <v>221920</v>
      </c>
      <c r="O685" t="s">
        <v>73</v>
      </c>
      <c r="Q685" t="s">
        <v>74</v>
      </c>
      <c r="R685">
        <v>0</v>
      </c>
    </row>
    <row r="686" spans="1:18" x14ac:dyDescent="0.3">
      <c r="A686" t="s">
        <v>1720</v>
      </c>
      <c r="B686" s="1">
        <v>46329</v>
      </c>
      <c r="C686" t="s">
        <v>94</v>
      </c>
      <c r="D686" t="s">
        <v>20</v>
      </c>
      <c r="E686">
        <v>39</v>
      </c>
      <c r="F686" t="s">
        <v>77</v>
      </c>
      <c r="G686" t="s">
        <v>95</v>
      </c>
      <c r="H686" t="s">
        <v>46</v>
      </c>
      <c r="I686" t="s">
        <v>47</v>
      </c>
      <c r="J686" t="s">
        <v>89</v>
      </c>
      <c r="K686">
        <v>10</v>
      </c>
      <c r="L686" s="4">
        <v>6300</v>
      </c>
      <c r="M686">
        <v>0</v>
      </c>
      <c r="N686" s="4">
        <v>63000</v>
      </c>
      <c r="O686" t="s">
        <v>85</v>
      </c>
      <c r="P686">
        <v>5</v>
      </c>
      <c r="Q686" t="s">
        <v>26</v>
      </c>
      <c r="R686">
        <v>0</v>
      </c>
    </row>
    <row r="687" spans="1:18" x14ac:dyDescent="0.3">
      <c r="A687" t="s">
        <v>1723</v>
      </c>
      <c r="B687" s="1">
        <v>46172</v>
      </c>
      <c r="C687" t="s">
        <v>94</v>
      </c>
      <c r="D687" t="s">
        <v>20</v>
      </c>
      <c r="E687">
        <v>59</v>
      </c>
      <c r="F687" t="s">
        <v>77</v>
      </c>
      <c r="G687" t="s">
        <v>78</v>
      </c>
      <c r="H687" t="s">
        <v>46</v>
      </c>
      <c r="I687" t="s">
        <v>79</v>
      </c>
      <c r="J687" t="s">
        <v>34</v>
      </c>
      <c r="K687">
        <v>7</v>
      </c>
      <c r="L687" s="4">
        <v>26700</v>
      </c>
      <c r="M687">
        <v>25</v>
      </c>
      <c r="N687" s="4">
        <v>140175</v>
      </c>
      <c r="O687" t="s">
        <v>73</v>
      </c>
      <c r="Q687" t="s">
        <v>41</v>
      </c>
      <c r="R687">
        <v>1</v>
      </c>
    </row>
    <row r="688" spans="1:18" x14ac:dyDescent="0.3">
      <c r="A688" t="s">
        <v>1724</v>
      </c>
      <c r="B688" s="1">
        <v>45889</v>
      </c>
      <c r="C688" t="s">
        <v>29</v>
      </c>
      <c r="D688" t="s">
        <v>20</v>
      </c>
      <c r="E688">
        <v>46</v>
      </c>
      <c r="F688" t="s">
        <v>21</v>
      </c>
      <c r="G688" t="s">
        <v>21</v>
      </c>
      <c r="H688" t="s">
        <v>32</v>
      </c>
      <c r="I688" t="s">
        <v>53</v>
      </c>
      <c r="J688" t="s">
        <v>34</v>
      </c>
      <c r="K688">
        <v>10</v>
      </c>
      <c r="L688" s="4">
        <v>12800</v>
      </c>
      <c r="M688">
        <v>15</v>
      </c>
      <c r="N688" s="4">
        <v>108800</v>
      </c>
      <c r="O688" t="s">
        <v>25</v>
      </c>
      <c r="P688">
        <v>5</v>
      </c>
      <c r="Q688" t="s">
        <v>41</v>
      </c>
      <c r="R688">
        <v>1</v>
      </c>
    </row>
    <row r="689" spans="1:18" x14ac:dyDescent="0.3">
      <c r="A689" t="s">
        <v>1726</v>
      </c>
      <c r="B689" s="1">
        <v>46129</v>
      </c>
      <c r="C689" t="s">
        <v>19</v>
      </c>
      <c r="D689" t="s">
        <v>20</v>
      </c>
      <c r="E689">
        <v>57</v>
      </c>
      <c r="F689" t="s">
        <v>51</v>
      </c>
      <c r="G689" t="s">
        <v>104</v>
      </c>
      <c r="H689" t="s">
        <v>62</v>
      </c>
      <c r="I689" t="s">
        <v>140</v>
      </c>
      <c r="J689" t="s">
        <v>89</v>
      </c>
      <c r="K689">
        <v>10</v>
      </c>
      <c r="L689" s="4">
        <v>10400</v>
      </c>
      <c r="M689">
        <v>20</v>
      </c>
      <c r="N689" s="4">
        <v>83200</v>
      </c>
      <c r="O689" t="s">
        <v>85</v>
      </c>
      <c r="P689">
        <v>3</v>
      </c>
      <c r="Q689" t="s">
        <v>74</v>
      </c>
      <c r="R689">
        <v>0</v>
      </c>
    </row>
    <row r="690" spans="1:18" x14ac:dyDescent="0.3">
      <c r="A690" t="s">
        <v>1727</v>
      </c>
      <c r="B690" s="1">
        <v>45925</v>
      </c>
      <c r="C690" t="s">
        <v>38</v>
      </c>
      <c r="D690" t="s">
        <v>20</v>
      </c>
      <c r="E690">
        <v>51</v>
      </c>
      <c r="F690" t="s">
        <v>30</v>
      </c>
      <c r="G690" t="s">
        <v>31</v>
      </c>
      <c r="H690" t="s">
        <v>22</v>
      </c>
      <c r="I690" t="s">
        <v>84</v>
      </c>
      <c r="J690" t="s">
        <v>80</v>
      </c>
      <c r="K690">
        <v>4</v>
      </c>
      <c r="L690" s="4">
        <v>9200</v>
      </c>
      <c r="M690">
        <v>25</v>
      </c>
      <c r="N690" s="4">
        <v>27600</v>
      </c>
      <c r="O690" t="s">
        <v>85</v>
      </c>
      <c r="P690">
        <v>2</v>
      </c>
      <c r="Q690" t="s">
        <v>74</v>
      </c>
      <c r="R690">
        <v>0</v>
      </c>
    </row>
    <row r="691" spans="1:18" x14ac:dyDescent="0.3">
      <c r="A691" t="s">
        <v>1730</v>
      </c>
      <c r="B691" s="1">
        <v>46086</v>
      </c>
      <c r="C691" t="s">
        <v>113</v>
      </c>
      <c r="D691" t="s">
        <v>3292</v>
      </c>
      <c r="E691">
        <v>36</v>
      </c>
      <c r="F691" t="s">
        <v>61</v>
      </c>
      <c r="G691" t="s">
        <v>61</v>
      </c>
      <c r="H691" t="s">
        <v>46</v>
      </c>
      <c r="I691" t="s">
        <v>47</v>
      </c>
      <c r="J691" t="s">
        <v>72</v>
      </c>
      <c r="K691">
        <v>10</v>
      </c>
      <c r="L691" s="4">
        <v>21700</v>
      </c>
      <c r="M691">
        <v>20</v>
      </c>
      <c r="N691" s="4">
        <v>173600</v>
      </c>
      <c r="O691" t="s">
        <v>73</v>
      </c>
      <c r="P691">
        <v>2</v>
      </c>
      <c r="Q691" t="s">
        <v>26</v>
      </c>
      <c r="R691">
        <v>0</v>
      </c>
    </row>
    <row r="692" spans="1:18" x14ac:dyDescent="0.3">
      <c r="A692" t="s">
        <v>1732</v>
      </c>
      <c r="B692" s="1">
        <v>45814</v>
      </c>
      <c r="C692" t="s">
        <v>113</v>
      </c>
      <c r="D692" t="s">
        <v>20</v>
      </c>
      <c r="E692">
        <v>54</v>
      </c>
      <c r="F692" t="s">
        <v>51</v>
      </c>
      <c r="G692" t="s">
        <v>104</v>
      </c>
      <c r="H692" t="s">
        <v>46</v>
      </c>
      <c r="I692" t="s">
        <v>47</v>
      </c>
      <c r="J692" t="s">
        <v>72</v>
      </c>
      <c r="K692">
        <v>4</v>
      </c>
      <c r="L692" s="4">
        <v>19600</v>
      </c>
      <c r="M692">
        <v>10</v>
      </c>
      <c r="N692" s="4">
        <v>70560</v>
      </c>
      <c r="O692" t="s">
        <v>25</v>
      </c>
      <c r="P692">
        <v>4</v>
      </c>
      <c r="Q692" t="s">
        <v>74</v>
      </c>
      <c r="R692">
        <v>0</v>
      </c>
    </row>
    <row r="693" spans="1:18" x14ac:dyDescent="0.3">
      <c r="A693" t="s">
        <v>1734</v>
      </c>
      <c r="B693" s="1">
        <v>45821</v>
      </c>
      <c r="C693" t="s">
        <v>113</v>
      </c>
      <c r="D693" t="s">
        <v>3292</v>
      </c>
      <c r="E693">
        <v>25</v>
      </c>
      <c r="F693" t="s">
        <v>44</v>
      </c>
      <c r="G693" t="s">
        <v>45</v>
      </c>
      <c r="H693" t="s">
        <v>46</v>
      </c>
      <c r="I693" t="s">
        <v>47</v>
      </c>
      <c r="J693" t="s">
        <v>80</v>
      </c>
      <c r="K693">
        <v>7</v>
      </c>
      <c r="L693" s="4">
        <v>4700</v>
      </c>
      <c r="M693">
        <v>0</v>
      </c>
      <c r="N693" s="4">
        <v>32900</v>
      </c>
      <c r="O693" t="s">
        <v>85</v>
      </c>
      <c r="P693">
        <v>2</v>
      </c>
      <c r="Q693" t="s">
        <v>65</v>
      </c>
      <c r="R693">
        <v>0</v>
      </c>
    </row>
    <row r="694" spans="1:18" x14ac:dyDescent="0.3">
      <c r="A694" t="s">
        <v>1736</v>
      </c>
      <c r="B694" s="1">
        <v>46023</v>
      </c>
      <c r="C694" t="s">
        <v>94</v>
      </c>
      <c r="D694" t="s">
        <v>39</v>
      </c>
      <c r="E694">
        <v>20</v>
      </c>
      <c r="F694" t="s">
        <v>44</v>
      </c>
      <c r="G694" t="s">
        <v>100</v>
      </c>
      <c r="H694" t="s">
        <v>46</v>
      </c>
      <c r="I694" t="s">
        <v>79</v>
      </c>
      <c r="J694" t="s">
        <v>89</v>
      </c>
      <c r="K694">
        <v>10</v>
      </c>
      <c r="L694" s="4">
        <v>39900</v>
      </c>
      <c r="M694">
        <v>15</v>
      </c>
      <c r="N694" s="4">
        <v>339150</v>
      </c>
      <c r="O694" t="s">
        <v>85</v>
      </c>
      <c r="P694">
        <v>4</v>
      </c>
      <c r="Q694" t="s">
        <v>65</v>
      </c>
      <c r="R694">
        <v>0</v>
      </c>
    </row>
    <row r="695" spans="1:18" x14ac:dyDescent="0.3">
      <c r="A695" t="s">
        <v>1737</v>
      </c>
      <c r="B695" s="1">
        <v>45802</v>
      </c>
      <c r="C695" t="s">
        <v>71</v>
      </c>
      <c r="D695" t="s">
        <v>20</v>
      </c>
      <c r="E695">
        <v>64</v>
      </c>
      <c r="F695" t="s">
        <v>44</v>
      </c>
      <c r="G695" t="s">
        <v>45</v>
      </c>
      <c r="H695" t="s">
        <v>32</v>
      </c>
      <c r="I695" t="s">
        <v>33</v>
      </c>
      <c r="J695" t="s">
        <v>64</v>
      </c>
      <c r="K695">
        <v>6</v>
      </c>
      <c r="L695" s="4">
        <v>35200</v>
      </c>
      <c r="M695">
        <v>20</v>
      </c>
      <c r="N695" s="4">
        <v>168960</v>
      </c>
      <c r="O695" t="s">
        <v>73</v>
      </c>
      <c r="P695">
        <v>2</v>
      </c>
      <c r="Q695" t="s">
        <v>41</v>
      </c>
      <c r="R695">
        <v>1</v>
      </c>
    </row>
    <row r="696" spans="1:18" x14ac:dyDescent="0.3">
      <c r="A696" t="s">
        <v>1738</v>
      </c>
      <c r="B696" s="1">
        <v>45669</v>
      </c>
      <c r="C696" t="s">
        <v>121</v>
      </c>
      <c r="D696" t="s">
        <v>3292</v>
      </c>
      <c r="E696">
        <v>56</v>
      </c>
      <c r="F696" t="s">
        <v>21</v>
      </c>
      <c r="G696" t="s">
        <v>21</v>
      </c>
      <c r="H696" t="s">
        <v>46</v>
      </c>
      <c r="I696" t="s">
        <v>47</v>
      </c>
      <c r="J696" t="s">
        <v>80</v>
      </c>
      <c r="K696">
        <v>9</v>
      </c>
      <c r="L696" s="4">
        <v>30200</v>
      </c>
      <c r="M696">
        <v>15</v>
      </c>
      <c r="N696" s="4">
        <v>231030</v>
      </c>
      <c r="O696" t="s">
        <v>25</v>
      </c>
      <c r="P696">
        <v>4</v>
      </c>
      <c r="Q696" t="s">
        <v>65</v>
      </c>
      <c r="R696">
        <v>0</v>
      </c>
    </row>
    <row r="697" spans="1:18" x14ac:dyDescent="0.3">
      <c r="A697" t="s">
        <v>1739</v>
      </c>
      <c r="B697" s="1">
        <v>45718</v>
      </c>
      <c r="C697" t="s">
        <v>29</v>
      </c>
      <c r="D697" t="s">
        <v>3292</v>
      </c>
      <c r="E697">
        <v>64</v>
      </c>
      <c r="F697" t="s">
        <v>77</v>
      </c>
      <c r="G697" t="s">
        <v>95</v>
      </c>
      <c r="H697" t="s">
        <v>32</v>
      </c>
      <c r="I697" t="s">
        <v>33</v>
      </c>
      <c r="J697" t="s">
        <v>64</v>
      </c>
      <c r="K697">
        <v>7</v>
      </c>
      <c r="L697" s="4">
        <v>23800</v>
      </c>
      <c r="M697">
        <v>25</v>
      </c>
      <c r="N697" s="4">
        <v>124950</v>
      </c>
      <c r="O697" t="s">
        <v>73</v>
      </c>
      <c r="P697">
        <v>1</v>
      </c>
      <c r="Q697" t="s">
        <v>74</v>
      </c>
      <c r="R697">
        <v>0</v>
      </c>
    </row>
    <row r="698" spans="1:18" x14ac:dyDescent="0.3">
      <c r="A698" t="s">
        <v>1741</v>
      </c>
      <c r="B698" s="1">
        <v>45683</v>
      </c>
      <c r="C698" t="s">
        <v>94</v>
      </c>
      <c r="D698" t="s">
        <v>3292</v>
      </c>
      <c r="E698">
        <v>47</v>
      </c>
      <c r="F698" t="s">
        <v>61</v>
      </c>
      <c r="G698" t="s">
        <v>61</v>
      </c>
      <c r="H698" t="s">
        <v>46</v>
      </c>
      <c r="I698" t="s">
        <v>47</v>
      </c>
      <c r="J698" t="s">
        <v>24</v>
      </c>
      <c r="K698">
        <v>3</v>
      </c>
      <c r="L698" s="4">
        <v>32900</v>
      </c>
      <c r="M698">
        <v>10</v>
      </c>
      <c r="N698" s="4">
        <v>88830</v>
      </c>
      <c r="O698" t="s">
        <v>85</v>
      </c>
      <c r="P698">
        <v>1</v>
      </c>
      <c r="Q698" t="s">
        <v>65</v>
      </c>
      <c r="R698">
        <v>0</v>
      </c>
    </row>
    <row r="699" spans="1:18" x14ac:dyDescent="0.3">
      <c r="A699" t="s">
        <v>1742</v>
      </c>
      <c r="B699" s="1">
        <v>46043</v>
      </c>
      <c r="C699" t="s">
        <v>68</v>
      </c>
      <c r="D699" t="s">
        <v>39</v>
      </c>
      <c r="E699">
        <v>62</v>
      </c>
      <c r="F699" t="s">
        <v>44</v>
      </c>
      <c r="G699" t="s">
        <v>45</v>
      </c>
      <c r="H699" t="s">
        <v>46</v>
      </c>
      <c r="I699" t="s">
        <v>79</v>
      </c>
      <c r="J699" t="s">
        <v>34</v>
      </c>
      <c r="K699">
        <v>10</v>
      </c>
      <c r="L699" s="4">
        <v>36800</v>
      </c>
      <c r="M699">
        <v>15</v>
      </c>
      <c r="N699" s="4">
        <v>312800</v>
      </c>
      <c r="O699" t="s">
        <v>85</v>
      </c>
      <c r="Q699" t="s">
        <v>65</v>
      </c>
      <c r="R699">
        <v>0</v>
      </c>
    </row>
    <row r="700" spans="1:18" x14ac:dyDescent="0.3">
      <c r="A700" t="s">
        <v>1743</v>
      </c>
      <c r="B700" s="1">
        <v>46235</v>
      </c>
      <c r="C700" t="s">
        <v>29</v>
      </c>
      <c r="D700" t="s">
        <v>20</v>
      </c>
      <c r="E700">
        <v>49</v>
      </c>
      <c r="F700" t="s">
        <v>21</v>
      </c>
      <c r="G700" t="s">
        <v>21</v>
      </c>
      <c r="H700" t="s">
        <v>32</v>
      </c>
      <c r="I700" t="s">
        <v>53</v>
      </c>
      <c r="J700" t="s">
        <v>89</v>
      </c>
      <c r="K700">
        <v>7</v>
      </c>
      <c r="L700" s="4">
        <v>38400</v>
      </c>
      <c r="M700">
        <v>25</v>
      </c>
      <c r="N700" s="4">
        <v>201600</v>
      </c>
      <c r="O700" t="s">
        <v>25</v>
      </c>
      <c r="P700">
        <v>1</v>
      </c>
      <c r="Q700" t="s">
        <v>26</v>
      </c>
      <c r="R700">
        <v>0</v>
      </c>
    </row>
    <row r="701" spans="1:18" x14ac:dyDescent="0.3">
      <c r="A701" t="s">
        <v>1745</v>
      </c>
      <c r="B701" s="1">
        <v>45696</v>
      </c>
      <c r="C701" t="s">
        <v>38</v>
      </c>
      <c r="D701" t="s">
        <v>39</v>
      </c>
      <c r="E701">
        <v>56</v>
      </c>
      <c r="F701" t="s">
        <v>21</v>
      </c>
      <c r="G701" t="s">
        <v>21</v>
      </c>
      <c r="H701" t="s">
        <v>62</v>
      </c>
      <c r="I701" t="s">
        <v>140</v>
      </c>
      <c r="J701" t="s">
        <v>64</v>
      </c>
      <c r="K701">
        <v>4</v>
      </c>
      <c r="L701" s="4">
        <v>13800</v>
      </c>
      <c r="M701">
        <v>25</v>
      </c>
      <c r="N701" s="4">
        <v>41400</v>
      </c>
      <c r="O701" t="s">
        <v>25</v>
      </c>
      <c r="Q701" t="s">
        <v>74</v>
      </c>
      <c r="R701">
        <v>0</v>
      </c>
    </row>
    <row r="702" spans="1:18" x14ac:dyDescent="0.3">
      <c r="A702" t="s">
        <v>1747</v>
      </c>
      <c r="B702" s="1">
        <v>46162</v>
      </c>
      <c r="C702" t="s">
        <v>71</v>
      </c>
      <c r="D702" t="s">
        <v>39</v>
      </c>
      <c r="E702">
        <v>60</v>
      </c>
      <c r="F702" t="s">
        <v>51</v>
      </c>
      <c r="G702" t="s">
        <v>52</v>
      </c>
      <c r="H702" t="s">
        <v>32</v>
      </c>
      <c r="I702" t="s">
        <v>53</v>
      </c>
      <c r="J702" t="s">
        <v>89</v>
      </c>
      <c r="K702">
        <v>6</v>
      </c>
      <c r="L702" s="4">
        <v>16900</v>
      </c>
      <c r="M702">
        <v>10</v>
      </c>
      <c r="N702" s="4">
        <v>91260</v>
      </c>
      <c r="O702" t="s">
        <v>25</v>
      </c>
      <c r="P702">
        <v>1</v>
      </c>
      <c r="Q702" t="s">
        <v>74</v>
      </c>
      <c r="R702">
        <v>0</v>
      </c>
    </row>
    <row r="703" spans="1:18" x14ac:dyDescent="0.3">
      <c r="A703" t="s">
        <v>1748</v>
      </c>
      <c r="B703" s="1">
        <v>45820</v>
      </c>
      <c r="C703" t="s">
        <v>68</v>
      </c>
      <c r="D703" t="s">
        <v>3292</v>
      </c>
      <c r="E703">
        <v>39</v>
      </c>
      <c r="F703" t="s">
        <v>30</v>
      </c>
      <c r="G703" t="s">
        <v>31</v>
      </c>
      <c r="H703" t="s">
        <v>62</v>
      </c>
      <c r="I703" t="s">
        <v>140</v>
      </c>
      <c r="J703" t="s">
        <v>64</v>
      </c>
      <c r="K703">
        <v>7</v>
      </c>
      <c r="L703" s="4">
        <v>34500</v>
      </c>
      <c r="M703">
        <v>15</v>
      </c>
      <c r="N703" s="4">
        <v>205275</v>
      </c>
      <c r="O703" t="s">
        <v>85</v>
      </c>
      <c r="P703">
        <v>1</v>
      </c>
      <c r="Q703" t="s">
        <v>26</v>
      </c>
      <c r="R703">
        <v>0</v>
      </c>
    </row>
    <row r="704" spans="1:18" x14ac:dyDescent="0.3">
      <c r="A704" t="s">
        <v>1749</v>
      </c>
      <c r="B704" s="1">
        <v>45763</v>
      </c>
      <c r="C704" t="s">
        <v>60</v>
      </c>
      <c r="D704" t="s">
        <v>39</v>
      </c>
      <c r="E704">
        <v>35</v>
      </c>
      <c r="F704" t="s">
        <v>61</v>
      </c>
      <c r="G704" t="s">
        <v>61</v>
      </c>
      <c r="H704" t="s">
        <v>62</v>
      </c>
      <c r="I704" t="s">
        <v>140</v>
      </c>
      <c r="J704" t="s">
        <v>89</v>
      </c>
      <c r="K704">
        <v>3</v>
      </c>
      <c r="L704" s="4">
        <v>26300</v>
      </c>
      <c r="M704">
        <v>20</v>
      </c>
      <c r="N704" s="4">
        <v>63120</v>
      </c>
      <c r="O704" t="s">
        <v>73</v>
      </c>
      <c r="P704">
        <v>1</v>
      </c>
      <c r="Q704" t="s">
        <v>74</v>
      </c>
      <c r="R704">
        <v>0</v>
      </c>
    </row>
    <row r="705" spans="1:18" x14ac:dyDescent="0.3">
      <c r="A705" t="s">
        <v>1750</v>
      </c>
      <c r="B705" s="1">
        <v>46083</v>
      </c>
      <c r="C705" t="s">
        <v>113</v>
      </c>
      <c r="D705" t="s">
        <v>39</v>
      </c>
      <c r="E705">
        <v>34</v>
      </c>
      <c r="F705" t="s">
        <v>51</v>
      </c>
      <c r="G705" t="s">
        <v>104</v>
      </c>
      <c r="H705" t="s">
        <v>22</v>
      </c>
      <c r="I705" t="s">
        <v>23</v>
      </c>
      <c r="J705" t="s">
        <v>64</v>
      </c>
      <c r="K705">
        <v>4</v>
      </c>
      <c r="L705" s="4">
        <v>8200</v>
      </c>
      <c r="M705">
        <v>25</v>
      </c>
      <c r="N705" s="4">
        <v>24600</v>
      </c>
      <c r="O705" t="s">
        <v>25</v>
      </c>
      <c r="P705">
        <v>2</v>
      </c>
      <c r="Q705" t="s">
        <v>74</v>
      </c>
      <c r="R705">
        <v>0</v>
      </c>
    </row>
    <row r="706" spans="1:18" x14ac:dyDescent="0.3">
      <c r="A706" t="s">
        <v>1751</v>
      </c>
      <c r="B706" s="1">
        <v>45884</v>
      </c>
      <c r="C706" t="s">
        <v>68</v>
      </c>
      <c r="D706" t="s">
        <v>39</v>
      </c>
      <c r="E706">
        <v>64</v>
      </c>
      <c r="F706" t="s">
        <v>44</v>
      </c>
      <c r="G706" t="s">
        <v>45</v>
      </c>
      <c r="H706" t="s">
        <v>22</v>
      </c>
      <c r="I706" t="s">
        <v>23</v>
      </c>
      <c r="J706" t="s">
        <v>80</v>
      </c>
      <c r="K706">
        <v>7</v>
      </c>
      <c r="L706" s="4">
        <v>17300</v>
      </c>
      <c r="M706">
        <v>0</v>
      </c>
      <c r="N706" s="4">
        <v>121100</v>
      </c>
      <c r="O706" t="s">
        <v>73</v>
      </c>
      <c r="P706">
        <v>5</v>
      </c>
      <c r="Q706" t="s">
        <v>41</v>
      </c>
      <c r="R706">
        <v>1</v>
      </c>
    </row>
    <row r="707" spans="1:18" x14ac:dyDescent="0.3">
      <c r="A707" t="s">
        <v>1752</v>
      </c>
      <c r="B707" s="1">
        <v>45978</v>
      </c>
      <c r="C707" t="s">
        <v>38</v>
      </c>
      <c r="D707" t="s">
        <v>39</v>
      </c>
      <c r="E707">
        <v>19</v>
      </c>
      <c r="F707" t="s">
        <v>51</v>
      </c>
      <c r="G707" t="s">
        <v>52</v>
      </c>
      <c r="H707" t="s">
        <v>32</v>
      </c>
      <c r="I707" t="s">
        <v>33</v>
      </c>
      <c r="J707" t="s">
        <v>24</v>
      </c>
      <c r="K707">
        <v>8</v>
      </c>
      <c r="L707" s="4">
        <v>2800</v>
      </c>
      <c r="M707">
        <v>0</v>
      </c>
      <c r="N707" s="4">
        <v>22400</v>
      </c>
      <c r="O707" t="s">
        <v>25</v>
      </c>
      <c r="P707">
        <v>3</v>
      </c>
      <c r="Q707" t="s">
        <v>74</v>
      </c>
      <c r="R707">
        <v>0</v>
      </c>
    </row>
    <row r="708" spans="1:18" x14ac:dyDescent="0.3">
      <c r="A708" t="s">
        <v>1753</v>
      </c>
      <c r="B708" s="1">
        <v>46013</v>
      </c>
      <c r="C708" t="s">
        <v>121</v>
      </c>
      <c r="D708" t="s">
        <v>3292</v>
      </c>
      <c r="E708">
        <v>47</v>
      </c>
      <c r="F708" t="s">
        <v>21</v>
      </c>
      <c r="G708" t="s">
        <v>21</v>
      </c>
      <c r="H708" t="s">
        <v>62</v>
      </c>
      <c r="I708" t="s">
        <v>63</v>
      </c>
      <c r="J708" t="s">
        <v>72</v>
      </c>
      <c r="K708">
        <v>4</v>
      </c>
      <c r="L708" s="4">
        <v>49500</v>
      </c>
      <c r="M708">
        <v>0</v>
      </c>
      <c r="N708" s="4">
        <v>198000</v>
      </c>
      <c r="O708" t="s">
        <v>25</v>
      </c>
      <c r="Q708" t="s">
        <v>65</v>
      </c>
      <c r="R708">
        <v>0</v>
      </c>
    </row>
    <row r="709" spans="1:18" x14ac:dyDescent="0.3">
      <c r="A709" t="s">
        <v>1756</v>
      </c>
      <c r="B709" s="1">
        <v>45688</v>
      </c>
      <c r="C709" t="s">
        <v>38</v>
      </c>
      <c r="D709" t="s">
        <v>39</v>
      </c>
      <c r="E709">
        <v>18</v>
      </c>
      <c r="F709" t="s">
        <v>30</v>
      </c>
      <c r="G709" t="s">
        <v>57</v>
      </c>
      <c r="H709" t="s">
        <v>32</v>
      </c>
      <c r="I709" t="s">
        <v>33</v>
      </c>
      <c r="J709" t="s">
        <v>80</v>
      </c>
      <c r="K709">
        <v>2</v>
      </c>
      <c r="L709" s="4">
        <v>22700</v>
      </c>
      <c r="M709">
        <v>5</v>
      </c>
      <c r="N709" s="4">
        <v>43130</v>
      </c>
      <c r="O709" t="s">
        <v>73</v>
      </c>
      <c r="P709">
        <v>2</v>
      </c>
      <c r="Q709" t="s">
        <v>26</v>
      </c>
      <c r="R709">
        <v>0</v>
      </c>
    </row>
    <row r="710" spans="1:18" x14ac:dyDescent="0.3">
      <c r="A710" t="s">
        <v>1758</v>
      </c>
      <c r="B710" s="1">
        <v>45855</v>
      </c>
      <c r="C710" t="s">
        <v>88</v>
      </c>
      <c r="D710" t="s">
        <v>20</v>
      </c>
      <c r="E710">
        <v>51</v>
      </c>
      <c r="F710" t="s">
        <v>51</v>
      </c>
      <c r="G710" t="s">
        <v>104</v>
      </c>
      <c r="H710" t="s">
        <v>46</v>
      </c>
      <c r="I710" t="s">
        <v>47</v>
      </c>
      <c r="J710" t="s">
        <v>34</v>
      </c>
      <c r="K710">
        <v>1</v>
      </c>
      <c r="L710" s="4">
        <v>45900</v>
      </c>
      <c r="M710">
        <v>25</v>
      </c>
      <c r="N710" s="4">
        <v>34425</v>
      </c>
      <c r="O710" t="s">
        <v>25</v>
      </c>
      <c r="P710">
        <v>3</v>
      </c>
      <c r="Q710" t="s">
        <v>74</v>
      </c>
      <c r="R710">
        <v>0</v>
      </c>
    </row>
    <row r="711" spans="1:18" x14ac:dyDescent="0.3">
      <c r="A711" t="s">
        <v>1760</v>
      </c>
      <c r="B711" s="1">
        <v>45909</v>
      </c>
      <c r="C711" t="s">
        <v>68</v>
      </c>
      <c r="D711" t="s">
        <v>20</v>
      </c>
      <c r="E711">
        <v>31</v>
      </c>
      <c r="F711" t="s">
        <v>44</v>
      </c>
      <c r="G711" t="s">
        <v>100</v>
      </c>
      <c r="H711" t="s">
        <v>22</v>
      </c>
      <c r="I711" t="s">
        <v>23</v>
      </c>
      <c r="J711" t="s">
        <v>80</v>
      </c>
      <c r="K711">
        <v>6</v>
      </c>
      <c r="L711" s="4">
        <v>9900</v>
      </c>
      <c r="M711">
        <v>15</v>
      </c>
      <c r="N711" s="4">
        <v>50490</v>
      </c>
      <c r="O711" t="s">
        <v>85</v>
      </c>
      <c r="P711">
        <v>4</v>
      </c>
      <c r="Q711" t="s">
        <v>26</v>
      </c>
      <c r="R711">
        <v>0</v>
      </c>
    </row>
    <row r="712" spans="1:18" x14ac:dyDescent="0.3">
      <c r="A712" t="s">
        <v>1762</v>
      </c>
      <c r="B712" s="1">
        <v>46118</v>
      </c>
      <c r="C712" t="s">
        <v>38</v>
      </c>
      <c r="D712" t="s">
        <v>3292</v>
      </c>
      <c r="E712">
        <v>64</v>
      </c>
      <c r="F712" t="s">
        <v>77</v>
      </c>
      <c r="G712" t="s">
        <v>95</v>
      </c>
      <c r="H712" t="s">
        <v>32</v>
      </c>
      <c r="I712" t="s">
        <v>53</v>
      </c>
      <c r="J712" t="s">
        <v>72</v>
      </c>
      <c r="K712">
        <v>9</v>
      </c>
      <c r="L712" s="4">
        <v>7300</v>
      </c>
      <c r="M712">
        <v>25</v>
      </c>
      <c r="N712" s="4">
        <v>49275</v>
      </c>
      <c r="O712" t="s">
        <v>85</v>
      </c>
      <c r="P712">
        <v>4</v>
      </c>
      <c r="Q712" t="s">
        <v>74</v>
      </c>
      <c r="R712">
        <v>0</v>
      </c>
    </row>
    <row r="713" spans="1:18" x14ac:dyDescent="0.3">
      <c r="A713" t="s">
        <v>1766</v>
      </c>
      <c r="B713" s="1">
        <v>46194</v>
      </c>
      <c r="C713" t="s">
        <v>71</v>
      </c>
      <c r="D713" t="s">
        <v>20</v>
      </c>
      <c r="E713">
        <v>43</v>
      </c>
      <c r="F713" t="s">
        <v>77</v>
      </c>
      <c r="G713" t="s">
        <v>95</v>
      </c>
      <c r="H713" t="s">
        <v>32</v>
      </c>
      <c r="I713" t="s">
        <v>33</v>
      </c>
      <c r="J713" t="s">
        <v>80</v>
      </c>
      <c r="K713">
        <v>9</v>
      </c>
      <c r="L713" s="4">
        <v>7400</v>
      </c>
      <c r="M713">
        <v>5</v>
      </c>
      <c r="N713" s="4">
        <v>63270</v>
      </c>
      <c r="O713" t="s">
        <v>85</v>
      </c>
      <c r="P713">
        <v>1</v>
      </c>
      <c r="Q713" t="s">
        <v>26</v>
      </c>
      <c r="R713">
        <v>0</v>
      </c>
    </row>
    <row r="714" spans="1:18" x14ac:dyDescent="0.3">
      <c r="A714" t="s">
        <v>1768</v>
      </c>
      <c r="B714" s="1">
        <v>45899</v>
      </c>
      <c r="C714" t="s">
        <v>38</v>
      </c>
      <c r="D714" t="s">
        <v>39</v>
      </c>
      <c r="E714">
        <v>19</v>
      </c>
      <c r="F714" t="s">
        <v>30</v>
      </c>
      <c r="G714" t="s">
        <v>57</v>
      </c>
      <c r="H714" t="s">
        <v>32</v>
      </c>
      <c r="I714" t="s">
        <v>53</v>
      </c>
      <c r="J714" t="s">
        <v>64</v>
      </c>
      <c r="K714">
        <v>3</v>
      </c>
      <c r="L714" s="4">
        <v>18700</v>
      </c>
      <c r="M714">
        <v>15</v>
      </c>
      <c r="N714" s="4">
        <v>47685</v>
      </c>
      <c r="O714" t="s">
        <v>25</v>
      </c>
      <c r="P714">
        <v>5</v>
      </c>
      <c r="Q714" t="s">
        <v>41</v>
      </c>
      <c r="R714">
        <v>1</v>
      </c>
    </row>
    <row r="715" spans="1:18" x14ac:dyDescent="0.3">
      <c r="A715" t="s">
        <v>1769</v>
      </c>
      <c r="B715" s="1">
        <v>45673</v>
      </c>
      <c r="C715" t="s">
        <v>38</v>
      </c>
      <c r="D715" t="s">
        <v>39</v>
      </c>
      <c r="E715">
        <v>40</v>
      </c>
      <c r="F715" t="s">
        <v>30</v>
      </c>
      <c r="G715" t="s">
        <v>31</v>
      </c>
      <c r="H715" t="s">
        <v>22</v>
      </c>
      <c r="I715" t="s">
        <v>84</v>
      </c>
      <c r="J715" t="s">
        <v>89</v>
      </c>
      <c r="K715">
        <v>10</v>
      </c>
      <c r="L715" s="4">
        <v>24800</v>
      </c>
      <c r="M715">
        <v>25</v>
      </c>
      <c r="N715" s="4">
        <v>186000</v>
      </c>
      <c r="O715" t="s">
        <v>85</v>
      </c>
      <c r="Q715" t="s">
        <v>65</v>
      </c>
      <c r="R715">
        <v>0</v>
      </c>
    </row>
    <row r="716" spans="1:18" x14ac:dyDescent="0.3">
      <c r="A716" t="s">
        <v>1770</v>
      </c>
      <c r="B716" s="1">
        <v>46034</v>
      </c>
      <c r="C716" t="s">
        <v>38</v>
      </c>
      <c r="D716" t="s">
        <v>39</v>
      </c>
      <c r="E716">
        <v>52</v>
      </c>
      <c r="F716" t="s">
        <v>77</v>
      </c>
      <c r="G716" t="s">
        <v>78</v>
      </c>
      <c r="H716" t="s">
        <v>32</v>
      </c>
      <c r="I716" t="s">
        <v>33</v>
      </c>
      <c r="J716" t="s">
        <v>64</v>
      </c>
      <c r="K716">
        <v>2</v>
      </c>
      <c r="L716" s="4">
        <v>32500</v>
      </c>
      <c r="M716">
        <v>20</v>
      </c>
      <c r="N716" s="4">
        <v>52000</v>
      </c>
      <c r="O716" t="s">
        <v>73</v>
      </c>
      <c r="P716">
        <v>1</v>
      </c>
      <c r="Q716" t="s">
        <v>26</v>
      </c>
      <c r="R716">
        <v>0</v>
      </c>
    </row>
    <row r="717" spans="1:18" x14ac:dyDescent="0.3">
      <c r="A717" t="s">
        <v>1772</v>
      </c>
      <c r="B717" s="1">
        <v>45758</v>
      </c>
      <c r="C717" t="s">
        <v>94</v>
      </c>
      <c r="D717" t="s">
        <v>20</v>
      </c>
      <c r="E717">
        <v>25</v>
      </c>
      <c r="F717" t="s">
        <v>77</v>
      </c>
      <c r="G717" t="s">
        <v>95</v>
      </c>
      <c r="H717" t="s">
        <v>32</v>
      </c>
      <c r="I717" t="s">
        <v>53</v>
      </c>
      <c r="J717" t="s">
        <v>64</v>
      </c>
      <c r="K717">
        <v>1</v>
      </c>
      <c r="L717" s="4">
        <v>16200</v>
      </c>
      <c r="M717">
        <v>5</v>
      </c>
      <c r="N717" s="4">
        <v>15390</v>
      </c>
      <c r="O717" t="s">
        <v>73</v>
      </c>
      <c r="P717">
        <v>1</v>
      </c>
      <c r="Q717" t="s">
        <v>41</v>
      </c>
      <c r="R717">
        <v>1</v>
      </c>
    </row>
    <row r="718" spans="1:18" x14ac:dyDescent="0.3">
      <c r="A718" t="s">
        <v>1774</v>
      </c>
      <c r="B718" s="1">
        <v>46067</v>
      </c>
      <c r="C718" t="s">
        <v>121</v>
      </c>
      <c r="D718" t="s">
        <v>39</v>
      </c>
      <c r="E718">
        <v>30</v>
      </c>
      <c r="F718" t="s">
        <v>44</v>
      </c>
      <c r="G718" t="s">
        <v>100</v>
      </c>
      <c r="H718" t="s">
        <v>32</v>
      </c>
      <c r="I718" t="s">
        <v>33</v>
      </c>
      <c r="J718" t="s">
        <v>34</v>
      </c>
      <c r="K718">
        <v>5</v>
      </c>
      <c r="L718" s="4">
        <v>34900</v>
      </c>
      <c r="M718">
        <v>10</v>
      </c>
      <c r="N718" s="4">
        <v>157050</v>
      </c>
      <c r="O718" t="s">
        <v>3293</v>
      </c>
      <c r="P718">
        <v>1</v>
      </c>
      <c r="Q718" t="s">
        <v>74</v>
      </c>
      <c r="R718">
        <v>0</v>
      </c>
    </row>
    <row r="719" spans="1:18" x14ac:dyDescent="0.3">
      <c r="A719" t="s">
        <v>1775</v>
      </c>
      <c r="B719" s="1">
        <v>45699</v>
      </c>
      <c r="C719" t="s">
        <v>113</v>
      </c>
      <c r="D719" t="s">
        <v>39</v>
      </c>
      <c r="E719">
        <v>29</v>
      </c>
      <c r="F719" t="s">
        <v>21</v>
      </c>
      <c r="G719" t="s">
        <v>21</v>
      </c>
      <c r="H719" t="s">
        <v>22</v>
      </c>
      <c r="I719" t="s">
        <v>23</v>
      </c>
      <c r="J719" t="s">
        <v>24</v>
      </c>
      <c r="K719">
        <v>6</v>
      </c>
      <c r="L719" s="4">
        <v>23000</v>
      </c>
      <c r="M719">
        <v>10</v>
      </c>
      <c r="N719" s="4">
        <v>124200</v>
      </c>
      <c r="O719" t="s">
        <v>25</v>
      </c>
      <c r="P719">
        <v>1</v>
      </c>
      <c r="Q719" t="s">
        <v>74</v>
      </c>
      <c r="R719">
        <v>0</v>
      </c>
    </row>
    <row r="720" spans="1:18" x14ac:dyDescent="0.3">
      <c r="A720" t="s">
        <v>1777</v>
      </c>
      <c r="B720" s="1">
        <v>46113</v>
      </c>
      <c r="C720" t="s">
        <v>94</v>
      </c>
      <c r="D720" t="s">
        <v>20</v>
      </c>
      <c r="E720">
        <v>27</v>
      </c>
      <c r="F720" t="s">
        <v>21</v>
      </c>
      <c r="G720" t="s">
        <v>21</v>
      </c>
      <c r="H720" t="s">
        <v>62</v>
      </c>
      <c r="I720" t="s">
        <v>140</v>
      </c>
      <c r="J720" t="s">
        <v>64</v>
      </c>
      <c r="K720">
        <v>3</v>
      </c>
      <c r="L720" s="4">
        <v>40300</v>
      </c>
      <c r="M720">
        <v>15</v>
      </c>
      <c r="N720" s="4">
        <v>102765</v>
      </c>
      <c r="O720" t="s">
        <v>25</v>
      </c>
      <c r="P720">
        <v>4</v>
      </c>
      <c r="Q720" t="s">
        <v>26</v>
      </c>
      <c r="R720">
        <v>0</v>
      </c>
    </row>
    <row r="721" spans="1:18" x14ac:dyDescent="0.3">
      <c r="A721" t="s">
        <v>1780</v>
      </c>
      <c r="B721" s="1">
        <v>45987</v>
      </c>
      <c r="C721" t="s">
        <v>38</v>
      </c>
      <c r="D721" t="s">
        <v>3292</v>
      </c>
      <c r="E721">
        <v>50</v>
      </c>
      <c r="F721" t="s">
        <v>51</v>
      </c>
      <c r="G721" t="s">
        <v>104</v>
      </c>
      <c r="H721" t="s">
        <v>22</v>
      </c>
      <c r="I721" t="s">
        <v>84</v>
      </c>
      <c r="J721" t="s">
        <v>34</v>
      </c>
      <c r="K721">
        <v>3</v>
      </c>
      <c r="L721" s="4">
        <v>7500</v>
      </c>
      <c r="M721">
        <v>20</v>
      </c>
      <c r="N721" s="4">
        <v>18000</v>
      </c>
      <c r="O721" t="s">
        <v>85</v>
      </c>
      <c r="P721">
        <v>1</v>
      </c>
      <c r="Q721" t="s">
        <v>65</v>
      </c>
      <c r="R721">
        <v>0</v>
      </c>
    </row>
    <row r="722" spans="1:18" x14ac:dyDescent="0.3">
      <c r="A722" t="s">
        <v>1783</v>
      </c>
      <c r="B722" s="1">
        <v>45805</v>
      </c>
      <c r="C722" t="s">
        <v>29</v>
      </c>
      <c r="D722" t="s">
        <v>3292</v>
      </c>
      <c r="E722">
        <v>30</v>
      </c>
      <c r="F722" t="s">
        <v>30</v>
      </c>
      <c r="G722" t="s">
        <v>31</v>
      </c>
      <c r="H722" t="s">
        <v>32</v>
      </c>
      <c r="I722" t="s">
        <v>33</v>
      </c>
      <c r="J722" t="s">
        <v>80</v>
      </c>
      <c r="K722">
        <v>2</v>
      </c>
      <c r="L722" s="4">
        <v>18400</v>
      </c>
      <c r="M722">
        <v>0</v>
      </c>
      <c r="N722" s="4">
        <v>36800</v>
      </c>
      <c r="O722" t="s">
        <v>85</v>
      </c>
      <c r="Q722" t="s">
        <v>65</v>
      </c>
      <c r="R722">
        <v>0</v>
      </c>
    </row>
    <row r="723" spans="1:18" x14ac:dyDescent="0.3">
      <c r="A723" t="s">
        <v>1785</v>
      </c>
      <c r="B723" s="1">
        <v>46122</v>
      </c>
      <c r="C723" t="s">
        <v>71</v>
      </c>
      <c r="D723" t="s">
        <v>39</v>
      </c>
      <c r="E723">
        <v>58</v>
      </c>
      <c r="F723" t="s">
        <v>21</v>
      </c>
      <c r="G723" t="s">
        <v>21</v>
      </c>
      <c r="H723" t="s">
        <v>46</v>
      </c>
      <c r="I723" t="s">
        <v>47</v>
      </c>
      <c r="J723" t="s">
        <v>64</v>
      </c>
      <c r="K723">
        <v>2</v>
      </c>
      <c r="L723" s="4">
        <v>19900</v>
      </c>
      <c r="M723">
        <v>15</v>
      </c>
      <c r="N723" s="4">
        <v>33830</v>
      </c>
      <c r="O723" t="s">
        <v>25</v>
      </c>
      <c r="P723">
        <v>1</v>
      </c>
      <c r="Q723" t="s">
        <v>41</v>
      </c>
      <c r="R723">
        <v>1</v>
      </c>
    </row>
    <row r="724" spans="1:18" x14ac:dyDescent="0.3">
      <c r="A724" t="s">
        <v>1787</v>
      </c>
      <c r="B724" s="1">
        <v>45722</v>
      </c>
      <c r="C724" t="s">
        <v>88</v>
      </c>
      <c r="D724" t="s">
        <v>3292</v>
      </c>
      <c r="E724">
        <v>37</v>
      </c>
      <c r="F724" t="s">
        <v>51</v>
      </c>
      <c r="G724" t="s">
        <v>52</v>
      </c>
      <c r="H724" t="s">
        <v>22</v>
      </c>
      <c r="I724" t="s">
        <v>23</v>
      </c>
      <c r="J724" t="s">
        <v>34</v>
      </c>
      <c r="K724">
        <v>5</v>
      </c>
      <c r="L724" s="4">
        <v>13600</v>
      </c>
      <c r="M724">
        <v>5</v>
      </c>
      <c r="N724" s="4">
        <v>64600</v>
      </c>
      <c r="O724" t="s">
        <v>85</v>
      </c>
      <c r="P724">
        <v>4</v>
      </c>
      <c r="Q724" t="s">
        <v>74</v>
      </c>
      <c r="R724">
        <v>0</v>
      </c>
    </row>
    <row r="725" spans="1:18" x14ac:dyDescent="0.3">
      <c r="A725" t="s">
        <v>1789</v>
      </c>
      <c r="B725" s="1">
        <v>45784</v>
      </c>
      <c r="C725" t="s">
        <v>19</v>
      </c>
      <c r="D725" t="s">
        <v>20</v>
      </c>
      <c r="E725">
        <v>25</v>
      </c>
      <c r="F725" t="s">
        <v>61</v>
      </c>
      <c r="G725" t="s">
        <v>61</v>
      </c>
      <c r="H725" t="s">
        <v>62</v>
      </c>
      <c r="I725" t="s">
        <v>140</v>
      </c>
      <c r="J725" t="s">
        <v>72</v>
      </c>
      <c r="K725">
        <v>1</v>
      </c>
      <c r="L725" s="4">
        <v>27000</v>
      </c>
      <c r="M725">
        <v>5</v>
      </c>
      <c r="N725" s="4">
        <v>25650</v>
      </c>
      <c r="O725" t="s">
        <v>25</v>
      </c>
      <c r="Q725" t="s">
        <v>74</v>
      </c>
      <c r="R725">
        <v>0</v>
      </c>
    </row>
    <row r="726" spans="1:18" x14ac:dyDescent="0.3">
      <c r="A726" t="s">
        <v>1791</v>
      </c>
      <c r="B726" s="1">
        <v>46208</v>
      </c>
      <c r="C726" t="s">
        <v>68</v>
      </c>
      <c r="D726" t="s">
        <v>20</v>
      </c>
      <c r="E726">
        <v>21</v>
      </c>
      <c r="F726" t="s">
        <v>77</v>
      </c>
      <c r="G726" t="s">
        <v>95</v>
      </c>
      <c r="H726" t="s">
        <v>62</v>
      </c>
      <c r="I726" t="s">
        <v>63</v>
      </c>
      <c r="J726" t="s">
        <v>64</v>
      </c>
      <c r="K726">
        <v>2</v>
      </c>
      <c r="L726" s="4">
        <v>44200</v>
      </c>
      <c r="M726">
        <v>20</v>
      </c>
      <c r="N726" s="4">
        <v>70720</v>
      </c>
      <c r="O726" t="s">
        <v>73</v>
      </c>
      <c r="Q726" t="s">
        <v>65</v>
      </c>
      <c r="R726">
        <v>0</v>
      </c>
    </row>
    <row r="727" spans="1:18" x14ac:dyDescent="0.3">
      <c r="A727" t="s">
        <v>1793</v>
      </c>
      <c r="B727" s="1">
        <v>46103</v>
      </c>
      <c r="C727" t="s">
        <v>113</v>
      </c>
      <c r="D727" t="s">
        <v>39</v>
      </c>
      <c r="E727">
        <v>43</v>
      </c>
      <c r="F727" t="s">
        <v>44</v>
      </c>
      <c r="G727" t="s">
        <v>100</v>
      </c>
      <c r="H727" t="s">
        <v>32</v>
      </c>
      <c r="I727" t="s">
        <v>33</v>
      </c>
      <c r="J727" t="s">
        <v>80</v>
      </c>
      <c r="K727">
        <v>8</v>
      </c>
      <c r="L727" s="4">
        <v>11000</v>
      </c>
      <c r="M727">
        <v>0</v>
      </c>
      <c r="N727" s="4">
        <v>88000</v>
      </c>
      <c r="O727" t="s">
        <v>73</v>
      </c>
      <c r="P727">
        <v>3</v>
      </c>
      <c r="Q727" t="s">
        <v>41</v>
      </c>
      <c r="R727">
        <v>1</v>
      </c>
    </row>
    <row r="728" spans="1:18" x14ac:dyDescent="0.3">
      <c r="A728" t="s">
        <v>1794</v>
      </c>
      <c r="B728" s="1">
        <v>46101</v>
      </c>
      <c r="C728" t="s">
        <v>60</v>
      </c>
      <c r="D728" t="s">
        <v>39</v>
      </c>
      <c r="E728">
        <v>55</v>
      </c>
      <c r="F728" t="s">
        <v>51</v>
      </c>
      <c r="G728" t="s">
        <v>52</v>
      </c>
      <c r="H728" t="s">
        <v>22</v>
      </c>
      <c r="I728" t="s">
        <v>84</v>
      </c>
      <c r="J728" t="s">
        <v>34</v>
      </c>
      <c r="K728">
        <v>10</v>
      </c>
      <c r="L728" s="4">
        <v>30900</v>
      </c>
      <c r="M728">
        <v>0</v>
      </c>
      <c r="N728" s="4">
        <v>309000</v>
      </c>
      <c r="O728" t="s">
        <v>85</v>
      </c>
      <c r="P728">
        <v>4</v>
      </c>
      <c r="Q728" t="s">
        <v>41</v>
      </c>
      <c r="R728">
        <v>1</v>
      </c>
    </row>
    <row r="729" spans="1:18" x14ac:dyDescent="0.3">
      <c r="A729" t="s">
        <v>1795</v>
      </c>
      <c r="B729" s="1">
        <v>45694</v>
      </c>
      <c r="C729" t="s">
        <v>19</v>
      </c>
      <c r="D729" t="s">
        <v>39</v>
      </c>
      <c r="E729">
        <v>19</v>
      </c>
      <c r="F729" t="s">
        <v>77</v>
      </c>
      <c r="G729" t="s">
        <v>95</v>
      </c>
      <c r="H729" t="s">
        <v>46</v>
      </c>
      <c r="I729" t="s">
        <v>47</v>
      </c>
      <c r="J729" t="s">
        <v>72</v>
      </c>
      <c r="K729">
        <v>3</v>
      </c>
      <c r="L729" s="4">
        <v>32200</v>
      </c>
      <c r="M729">
        <v>5</v>
      </c>
      <c r="N729" s="4">
        <v>91770</v>
      </c>
      <c r="O729" t="s">
        <v>85</v>
      </c>
      <c r="P729">
        <v>3</v>
      </c>
      <c r="Q729" t="s">
        <v>65</v>
      </c>
      <c r="R729">
        <v>0</v>
      </c>
    </row>
    <row r="730" spans="1:18" x14ac:dyDescent="0.3">
      <c r="A730" t="s">
        <v>1796</v>
      </c>
      <c r="B730" s="1">
        <v>46144</v>
      </c>
      <c r="C730" t="s">
        <v>121</v>
      </c>
      <c r="D730" t="s">
        <v>20</v>
      </c>
      <c r="E730">
        <v>20</v>
      </c>
      <c r="F730" t="s">
        <v>61</v>
      </c>
      <c r="G730" t="s">
        <v>61</v>
      </c>
      <c r="H730" t="s">
        <v>62</v>
      </c>
      <c r="I730" t="s">
        <v>63</v>
      </c>
      <c r="J730" t="s">
        <v>72</v>
      </c>
      <c r="K730">
        <v>8</v>
      </c>
      <c r="L730" s="4">
        <v>28500</v>
      </c>
      <c r="M730">
        <v>15</v>
      </c>
      <c r="N730" s="4">
        <v>193800</v>
      </c>
      <c r="O730" t="s">
        <v>73</v>
      </c>
      <c r="P730">
        <v>4</v>
      </c>
      <c r="Q730" t="s">
        <v>41</v>
      </c>
      <c r="R730">
        <v>1</v>
      </c>
    </row>
    <row r="731" spans="1:18" x14ac:dyDescent="0.3">
      <c r="A731" t="s">
        <v>1797</v>
      </c>
      <c r="B731" s="1">
        <v>46007</v>
      </c>
      <c r="C731" t="s">
        <v>71</v>
      </c>
      <c r="D731" t="s">
        <v>20</v>
      </c>
      <c r="E731">
        <v>52</v>
      </c>
      <c r="F731" t="s">
        <v>44</v>
      </c>
      <c r="G731" t="s">
        <v>45</v>
      </c>
      <c r="H731" t="s">
        <v>46</v>
      </c>
      <c r="I731" t="s">
        <v>47</v>
      </c>
      <c r="J731" t="s">
        <v>80</v>
      </c>
      <c r="K731">
        <v>8</v>
      </c>
      <c r="L731" s="4">
        <v>29800</v>
      </c>
      <c r="M731">
        <v>10</v>
      </c>
      <c r="N731" s="4">
        <v>214560</v>
      </c>
      <c r="O731" t="s">
        <v>73</v>
      </c>
      <c r="Q731" t="s">
        <v>65</v>
      </c>
      <c r="R731">
        <v>0</v>
      </c>
    </row>
    <row r="732" spans="1:18" x14ac:dyDescent="0.3">
      <c r="A732" t="s">
        <v>1799</v>
      </c>
      <c r="B732" s="1">
        <v>45838</v>
      </c>
      <c r="C732" t="s">
        <v>113</v>
      </c>
      <c r="D732" t="s">
        <v>20</v>
      </c>
      <c r="E732">
        <v>52</v>
      </c>
      <c r="F732" t="s">
        <v>51</v>
      </c>
      <c r="G732" t="s">
        <v>104</v>
      </c>
      <c r="H732" t="s">
        <v>62</v>
      </c>
      <c r="I732" t="s">
        <v>140</v>
      </c>
      <c r="J732" t="s">
        <v>64</v>
      </c>
      <c r="K732">
        <v>7</v>
      </c>
      <c r="L732" s="4">
        <v>31400</v>
      </c>
      <c r="M732">
        <v>10</v>
      </c>
      <c r="N732" s="4">
        <v>197820</v>
      </c>
      <c r="O732" t="s">
        <v>85</v>
      </c>
      <c r="Q732" t="s">
        <v>26</v>
      </c>
      <c r="R732">
        <v>0</v>
      </c>
    </row>
    <row r="733" spans="1:18" x14ac:dyDescent="0.3">
      <c r="A733" t="s">
        <v>1803</v>
      </c>
      <c r="B733" s="1">
        <v>45727</v>
      </c>
      <c r="C733" t="s">
        <v>68</v>
      </c>
      <c r="D733" t="s">
        <v>39</v>
      </c>
      <c r="E733">
        <v>46</v>
      </c>
      <c r="F733" t="s">
        <v>77</v>
      </c>
      <c r="G733" t="s">
        <v>78</v>
      </c>
      <c r="H733" t="s">
        <v>46</v>
      </c>
      <c r="I733" t="s">
        <v>47</v>
      </c>
      <c r="J733" t="s">
        <v>34</v>
      </c>
      <c r="K733">
        <v>8</v>
      </c>
      <c r="L733" s="4">
        <v>24400</v>
      </c>
      <c r="M733">
        <v>0</v>
      </c>
      <c r="N733" s="4">
        <v>195200</v>
      </c>
      <c r="O733" t="s">
        <v>85</v>
      </c>
      <c r="P733">
        <v>2</v>
      </c>
      <c r="Q733" t="s">
        <v>26</v>
      </c>
      <c r="R733">
        <v>0</v>
      </c>
    </row>
    <row r="734" spans="1:18" x14ac:dyDescent="0.3">
      <c r="A734" t="s">
        <v>1805</v>
      </c>
      <c r="B734" s="1">
        <v>45749</v>
      </c>
      <c r="C734" t="s">
        <v>60</v>
      </c>
      <c r="D734" t="s">
        <v>20</v>
      </c>
      <c r="E734">
        <v>43</v>
      </c>
      <c r="F734" t="s">
        <v>44</v>
      </c>
      <c r="G734" t="s">
        <v>45</v>
      </c>
      <c r="H734" t="s">
        <v>32</v>
      </c>
      <c r="I734" t="s">
        <v>33</v>
      </c>
      <c r="J734" t="s">
        <v>89</v>
      </c>
      <c r="K734">
        <v>4</v>
      </c>
      <c r="L734" s="4">
        <v>48600</v>
      </c>
      <c r="M734">
        <v>20</v>
      </c>
      <c r="N734" s="4">
        <v>155520</v>
      </c>
      <c r="O734" t="s">
        <v>85</v>
      </c>
      <c r="Q734" t="s">
        <v>74</v>
      </c>
      <c r="R734">
        <v>0</v>
      </c>
    </row>
    <row r="735" spans="1:18" x14ac:dyDescent="0.3">
      <c r="A735" t="s">
        <v>1807</v>
      </c>
      <c r="B735" s="1">
        <v>45722</v>
      </c>
      <c r="C735" t="s">
        <v>68</v>
      </c>
      <c r="D735" t="s">
        <v>3292</v>
      </c>
      <c r="E735">
        <v>64</v>
      </c>
      <c r="F735" t="s">
        <v>77</v>
      </c>
      <c r="G735" t="s">
        <v>78</v>
      </c>
      <c r="H735" t="s">
        <v>62</v>
      </c>
      <c r="I735" t="s">
        <v>63</v>
      </c>
      <c r="J735" t="s">
        <v>72</v>
      </c>
      <c r="K735">
        <v>1</v>
      </c>
      <c r="L735" s="4">
        <v>4000</v>
      </c>
      <c r="M735">
        <v>25</v>
      </c>
      <c r="N735" s="4">
        <v>3000</v>
      </c>
      <c r="O735" t="s">
        <v>73</v>
      </c>
      <c r="P735">
        <v>1</v>
      </c>
      <c r="Q735" t="s">
        <v>26</v>
      </c>
      <c r="R735">
        <v>0</v>
      </c>
    </row>
    <row r="736" spans="1:18" x14ac:dyDescent="0.3">
      <c r="A736" t="s">
        <v>1808</v>
      </c>
      <c r="B736" s="1">
        <v>45841</v>
      </c>
      <c r="C736" t="s">
        <v>19</v>
      </c>
      <c r="D736" t="s">
        <v>3292</v>
      </c>
      <c r="E736">
        <v>49</v>
      </c>
      <c r="F736" t="s">
        <v>21</v>
      </c>
      <c r="G736" t="s">
        <v>21</v>
      </c>
      <c r="H736" t="s">
        <v>22</v>
      </c>
      <c r="I736" t="s">
        <v>84</v>
      </c>
      <c r="J736" t="s">
        <v>24</v>
      </c>
      <c r="K736">
        <v>5</v>
      </c>
      <c r="L736" s="4">
        <v>31300</v>
      </c>
      <c r="M736">
        <v>25</v>
      </c>
      <c r="N736" s="4">
        <v>117375</v>
      </c>
      <c r="O736" t="s">
        <v>85</v>
      </c>
      <c r="P736">
        <v>4</v>
      </c>
      <c r="Q736" t="s">
        <v>41</v>
      </c>
      <c r="R736">
        <v>1</v>
      </c>
    </row>
    <row r="737" spans="1:18" x14ac:dyDescent="0.3">
      <c r="A737" t="s">
        <v>1810</v>
      </c>
      <c r="B737" s="1">
        <v>45938</v>
      </c>
      <c r="C737" t="s">
        <v>68</v>
      </c>
      <c r="D737" t="s">
        <v>20</v>
      </c>
      <c r="E737">
        <v>35</v>
      </c>
      <c r="F737" t="s">
        <v>77</v>
      </c>
      <c r="G737" t="s">
        <v>78</v>
      </c>
      <c r="H737" t="s">
        <v>22</v>
      </c>
      <c r="I737" t="s">
        <v>84</v>
      </c>
      <c r="J737" t="s">
        <v>72</v>
      </c>
      <c r="K737">
        <v>10</v>
      </c>
      <c r="L737" s="4">
        <v>23200</v>
      </c>
      <c r="M737">
        <v>10</v>
      </c>
      <c r="N737" s="4">
        <v>208800</v>
      </c>
      <c r="O737" t="s">
        <v>73</v>
      </c>
      <c r="P737">
        <v>1</v>
      </c>
      <c r="Q737" t="s">
        <v>74</v>
      </c>
      <c r="R737">
        <v>0</v>
      </c>
    </row>
    <row r="738" spans="1:18" x14ac:dyDescent="0.3">
      <c r="A738" t="s">
        <v>1812</v>
      </c>
      <c r="B738" s="1">
        <v>45783</v>
      </c>
      <c r="C738" t="s">
        <v>68</v>
      </c>
      <c r="D738" t="s">
        <v>3292</v>
      </c>
      <c r="E738">
        <v>57</v>
      </c>
      <c r="F738" t="s">
        <v>30</v>
      </c>
      <c r="G738" t="s">
        <v>57</v>
      </c>
      <c r="H738" t="s">
        <v>62</v>
      </c>
      <c r="I738" t="s">
        <v>140</v>
      </c>
      <c r="J738" t="s">
        <v>34</v>
      </c>
      <c r="K738">
        <v>9</v>
      </c>
      <c r="L738" s="4">
        <v>17700</v>
      </c>
      <c r="M738">
        <v>0</v>
      </c>
      <c r="N738" s="4">
        <v>159300</v>
      </c>
      <c r="O738" t="s">
        <v>85</v>
      </c>
      <c r="P738">
        <v>5</v>
      </c>
      <c r="Q738" t="s">
        <v>65</v>
      </c>
      <c r="R738">
        <v>0</v>
      </c>
    </row>
    <row r="739" spans="1:18" x14ac:dyDescent="0.3">
      <c r="A739" t="s">
        <v>1814</v>
      </c>
      <c r="B739" s="1">
        <v>45911</v>
      </c>
      <c r="C739" t="s">
        <v>121</v>
      </c>
      <c r="D739" t="s">
        <v>20</v>
      </c>
      <c r="E739">
        <v>150</v>
      </c>
      <c r="F739" t="s">
        <v>21</v>
      </c>
      <c r="G739" t="s">
        <v>21</v>
      </c>
      <c r="H739" t="s">
        <v>46</v>
      </c>
      <c r="I739" t="s">
        <v>79</v>
      </c>
      <c r="J739" t="s">
        <v>72</v>
      </c>
      <c r="K739">
        <v>5</v>
      </c>
      <c r="L739" s="4">
        <v>4400</v>
      </c>
      <c r="M739">
        <v>5</v>
      </c>
      <c r="N739" s="4">
        <v>20900</v>
      </c>
      <c r="O739" t="s">
        <v>73</v>
      </c>
      <c r="P739">
        <v>4</v>
      </c>
      <c r="Q739" t="s">
        <v>26</v>
      </c>
      <c r="R739">
        <v>0</v>
      </c>
    </row>
    <row r="740" spans="1:18" x14ac:dyDescent="0.3">
      <c r="A740" t="s">
        <v>1815</v>
      </c>
      <c r="B740" s="1">
        <v>46186</v>
      </c>
      <c r="C740" t="s">
        <v>68</v>
      </c>
      <c r="D740" t="s">
        <v>3292</v>
      </c>
      <c r="E740">
        <v>41</v>
      </c>
      <c r="F740" t="s">
        <v>44</v>
      </c>
      <c r="G740" t="s">
        <v>45</v>
      </c>
      <c r="H740" t="s">
        <v>46</v>
      </c>
      <c r="I740" t="s">
        <v>79</v>
      </c>
      <c r="J740" t="s">
        <v>89</v>
      </c>
      <c r="K740">
        <v>10</v>
      </c>
      <c r="L740" s="4">
        <v>8800</v>
      </c>
      <c r="M740">
        <v>5</v>
      </c>
      <c r="N740" s="4">
        <v>83600</v>
      </c>
      <c r="O740" t="s">
        <v>25</v>
      </c>
      <c r="Q740" t="s">
        <v>41</v>
      </c>
      <c r="R740">
        <v>1</v>
      </c>
    </row>
    <row r="741" spans="1:18" x14ac:dyDescent="0.3">
      <c r="A741" t="s">
        <v>1816</v>
      </c>
      <c r="B741" s="1">
        <v>45918</v>
      </c>
      <c r="C741" t="s">
        <v>71</v>
      </c>
      <c r="D741" t="s">
        <v>39</v>
      </c>
      <c r="E741">
        <v>32</v>
      </c>
      <c r="F741" t="s">
        <v>21</v>
      </c>
      <c r="G741" t="s">
        <v>21</v>
      </c>
      <c r="H741" t="s">
        <v>22</v>
      </c>
      <c r="I741" t="s">
        <v>84</v>
      </c>
      <c r="J741" t="s">
        <v>24</v>
      </c>
      <c r="K741">
        <v>9</v>
      </c>
      <c r="L741" s="4">
        <v>46800</v>
      </c>
      <c r="M741">
        <v>20</v>
      </c>
      <c r="N741" s="4">
        <v>336960</v>
      </c>
      <c r="O741" t="s">
        <v>73</v>
      </c>
      <c r="Q741" t="s">
        <v>41</v>
      </c>
      <c r="R741">
        <v>1</v>
      </c>
    </row>
    <row r="742" spans="1:18" x14ac:dyDescent="0.3">
      <c r="A742" t="s">
        <v>1820</v>
      </c>
      <c r="B742" s="1">
        <v>45751</v>
      </c>
      <c r="C742" t="s">
        <v>68</v>
      </c>
      <c r="D742" t="s">
        <v>20</v>
      </c>
      <c r="E742">
        <v>64</v>
      </c>
      <c r="F742" t="s">
        <v>44</v>
      </c>
      <c r="G742" t="s">
        <v>45</v>
      </c>
      <c r="H742" t="s">
        <v>62</v>
      </c>
      <c r="I742" t="s">
        <v>63</v>
      </c>
      <c r="J742" t="s">
        <v>64</v>
      </c>
      <c r="K742">
        <v>5</v>
      </c>
      <c r="L742" s="4">
        <v>15500</v>
      </c>
      <c r="M742">
        <v>20</v>
      </c>
      <c r="N742" s="4">
        <v>62000</v>
      </c>
      <c r="O742" t="s">
        <v>85</v>
      </c>
      <c r="Q742" t="s">
        <v>65</v>
      </c>
      <c r="R742">
        <v>0</v>
      </c>
    </row>
    <row r="743" spans="1:18" x14ac:dyDescent="0.3">
      <c r="A743" t="s">
        <v>1822</v>
      </c>
      <c r="B743" s="1">
        <v>45929</v>
      </c>
      <c r="C743" t="s">
        <v>60</v>
      </c>
      <c r="D743" t="s">
        <v>39</v>
      </c>
      <c r="E743">
        <v>24</v>
      </c>
      <c r="F743" t="s">
        <v>77</v>
      </c>
      <c r="G743" t="s">
        <v>95</v>
      </c>
      <c r="H743" t="s">
        <v>32</v>
      </c>
      <c r="I743" t="s">
        <v>33</v>
      </c>
      <c r="J743" t="s">
        <v>34</v>
      </c>
      <c r="K743">
        <v>6</v>
      </c>
      <c r="L743" s="4">
        <v>7800</v>
      </c>
      <c r="M743">
        <v>20</v>
      </c>
      <c r="N743" s="4">
        <v>37440</v>
      </c>
      <c r="O743" t="s">
        <v>85</v>
      </c>
      <c r="P743">
        <v>2</v>
      </c>
      <c r="Q743" t="s">
        <v>74</v>
      </c>
      <c r="R743">
        <v>0</v>
      </c>
    </row>
    <row r="744" spans="1:18" x14ac:dyDescent="0.3">
      <c r="A744" t="s">
        <v>1823</v>
      </c>
      <c r="B744" s="1">
        <v>46103</v>
      </c>
      <c r="C744" t="s">
        <v>71</v>
      </c>
      <c r="D744" t="s">
        <v>39</v>
      </c>
      <c r="E744">
        <v>43</v>
      </c>
      <c r="F744" t="s">
        <v>30</v>
      </c>
      <c r="G744" t="s">
        <v>31</v>
      </c>
      <c r="H744" t="s">
        <v>22</v>
      </c>
      <c r="I744" t="s">
        <v>84</v>
      </c>
      <c r="J744" t="s">
        <v>34</v>
      </c>
      <c r="K744">
        <v>4</v>
      </c>
      <c r="L744" s="4">
        <v>43400</v>
      </c>
      <c r="M744">
        <v>20</v>
      </c>
      <c r="N744" s="4">
        <v>138880</v>
      </c>
      <c r="O744" t="s">
        <v>85</v>
      </c>
      <c r="P744">
        <v>4</v>
      </c>
      <c r="Q744" t="s">
        <v>65</v>
      </c>
      <c r="R744">
        <v>0</v>
      </c>
    </row>
    <row r="745" spans="1:18" x14ac:dyDescent="0.3">
      <c r="A745" t="s">
        <v>1824</v>
      </c>
      <c r="B745" s="1">
        <v>45687</v>
      </c>
      <c r="C745" t="s">
        <v>88</v>
      </c>
      <c r="D745" t="s">
        <v>20</v>
      </c>
      <c r="E745">
        <v>60</v>
      </c>
      <c r="F745" t="s">
        <v>21</v>
      </c>
      <c r="G745" t="s">
        <v>21</v>
      </c>
      <c r="H745" t="s">
        <v>62</v>
      </c>
      <c r="I745" t="s">
        <v>63</v>
      </c>
      <c r="J745" t="s">
        <v>72</v>
      </c>
      <c r="K745">
        <v>7</v>
      </c>
      <c r="L745" s="4">
        <v>40100</v>
      </c>
      <c r="M745">
        <v>25</v>
      </c>
      <c r="N745" s="4">
        <v>210525</v>
      </c>
      <c r="O745" t="s">
        <v>25</v>
      </c>
      <c r="P745">
        <v>1</v>
      </c>
      <c r="Q745" t="s">
        <v>74</v>
      </c>
      <c r="R745">
        <v>0</v>
      </c>
    </row>
    <row r="746" spans="1:18" x14ac:dyDescent="0.3">
      <c r="A746" t="s">
        <v>1827</v>
      </c>
      <c r="B746" s="1">
        <v>45809</v>
      </c>
      <c r="C746" t="s">
        <v>60</v>
      </c>
      <c r="D746" t="s">
        <v>20</v>
      </c>
      <c r="E746">
        <v>61</v>
      </c>
      <c r="F746" t="s">
        <v>77</v>
      </c>
      <c r="G746" t="s">
        <v>78</v>
      </c>
      <c r="H746" t="s">
        <v>32</v>
      </c>
      <c r="I746" t="s">
        <v>33</v>
      </c>
      <c r="J746" t="s">
        <v>80</v>
      </c>
      <c r="K746">
        <v>3</v>
      </c>
      <c r="L746" s="4">
        <v>49300</v>
      </c>
      <c r="M746">
        <v>0</v>
      </c>
      <c r="N746" s="4">
        <v>147900</v>
      </c>
      <c r="O746" t="s">
        <v>25</v>
      </c>
      <c r="Q746" t="s">
        <v>65</v>
      </c>
      <c r="R746">
        <v>0</v>
      </c>
    </row>
    <row r="747" spans="1:18" x14ac:dyDescent="0.3">
      <c r="A747" t="s">
        <v>1829</v>
      </c>
      <c r="B747" s="1">
        <v>45713</v>
      </c>
      <c r="C747" t="s">
        <v>94</v>
      </c>
      <c r="D747" t="s">
        <v>3292</v>
      </c>
      <c r="E747">
        <v>46</v>
      </c>
      <c r="F747" t="s">
        <v>61</v>
      </c>
      <c r="G747" t="s">
        <v>61</v>
      </c>
      <c r="H747" t="s">
        <v>46</v>
      </c>
      <c r="I747" t="s">
        <v>47</v>
      </c>
      <c r="J747" t="s">
        <v>34</v>
      </c>
      <c r="K747">
        <v>3</v>
      </c>
      <c r="L747" s="4">
        <v>48100</v>
      </c>
      <c r="M747">
        <v>0</v>
      </c>
      <c r="N747" s="4">
        <v>144300</v>
      </c>
      <c r="O747" t="s">
        <v>85</v>
      </c>
      <c r="P747">
        <v>2</v>
      </c>
      <c r="Q747" t="s">
        <v>26</v>
      </c>
      <c r="R747">
        <v>0</v>
      </c>
    </row>
    <row r="748" spans="1:18" x14ac:dyDescent="0.3">
      <c r="A748" t="s">
        <v>1830</v>
      </c>
      <c r="B748" s="1">
        <v>45803</v>
      </c>
      <c r="C748" t="s">
        <v>29</v>
      </c>
      <c r="D748" t="s">
        <v>20</v>
      </c>
      <c r="E748">
        <v>22</v>
      </c>
      <c r="F748" t="s">
        <v>51</v>
      </c>
      <c r="G748" t="s">
        <v>104</v>
      </c>
      <c r="H748" t="s">
        <v>62</v>
      </c>
      <c r="I748" t="s">
        <v>63</v>
      </c>
      <c r="J748" t="s">
        <v>89</v>
      </c>
      <c r="K748">
        <v>8</v>
      </c>
      <c r="L748" s="4">
        <v>38400</v>
      </c>
      <c r="M748">
        <v>0</v>
      </c>
      <c r="N748" s="4">
        <v>307200</v>
      </c>
      <c r="O748" t="s">
        <v>25</v>
      </c>
      <c r="Q748" t="s">
        <v>74</v>
      </c>
      <c r="R748">
        <v>0</v>
      </c>
    </row>
    <row r="749" spans="1:18" x14ac:dyDescent="0.3">
      <c r="A749" t="s">
        <v>1832</v>
      </c>
      <c r="B749" s="1">
        <v>45719</v>
      </c>
      <c r="C749" t="s">
        <v>60</v>
      </c>
      <c r="D749" t="s">
        <v>20</v>
      </c>
      <c r="E749">
        <v>60</v>
      </c>
      <c r="F749" t="s">
        <v>30</v>
      </c>
      <c r="G749" t="s">
        <v>31</v>
      </c>
      <c r="H749" t="s">
        <v>62</v>
      </c>
      <c r="I749" t="s">
        <v>140</v>
      </c>
      <c r="J749" t="s">
        <v>34</v>
      </c>
      <c r="K749">
        <v>10</v>
      </c>
      <c r="L749" s="4">
        <v>31400</v>
      </c>
      <c r="M749">
        <v>10</v>
      </c>
      <c r="N749" s="4">
        <v>282600</v>
      </c>
      <c r="O749" t="s">
        <v>25</v>
      </c>
      <c r="P749">
        <v>5</v>
      </c>
      <c r="Q749" t="s">
        <v>41</v>
      </c>
      <c r="R749">
        <v>1</v>
      </c>
    </row>
    <row r="750" spans="1:18" x14ac:dyDescent="0.3">
      <c r="A750" t="s">
        <v>1834</v>
      </c>
      <c r="B750" s="1">
        <v>45826</v>
      </c>
      <c r="C750" t="s">
        <v>71</v>
      </c>
      <c r="D750" t="s">
        <v>39</v>
      </c>
      <c r="E750">
        <v>21</v>
      </c>
      <c r="F750" t="s">
        <v>21</v>
      </c>
      <c r="G750" t="s">
        <v>21</v>
      </c>
      <c r="H750" t="s">
        <v>46</v>
      </c>
      <c r="I750" t="s">
        <v>79</v>
      </c>
      <c r="J750" t="s">
        <v>64</v>
      </c>
      <c r="K750">
        <v>1</v>
      </c>
      <c r="L750" s="4">
        <v>38800</v>
      </c>
      <c r="M750">
        <v>25</v>
      </c>
      <c r="N750" s="4">
        <v>29100</v>
      </c>
      <c r="O750" t="s">
        <v>85</v>
      </c>
      <c r="P750">
        <v>4</v>
      </c>
      <c r="Q750" t="s">
        <v>26</v>
      </c>
      <c r="R750">
        <v>0</v>
      </c>
    </row>
    <row r="751" spans="1:18" x14ac:dyDescent="0.3">
      <c r="A751" t="s">
        <v>1835</v>
      </c>
      <c r="B751" s="1">
        <v>45844</v>
      </c>
      <c r="C751" t="s">
        <v>38</v>
      </c>
      <c r="D751" t="s">
        <v>20</v>
      </c>
      <c r="E751">
        <v>55</v>
      </c>
      <c r="F751" t="s">
        <v>61</v>
      </c>
      <c r="G751" t="s">
        <v>61</v>
      </c>
      <c r="H751" t="s">
        <v>46</v>
      </c>
      <c r="I751" t="s">
        <v>79</v>
      </c>
      <c r="J751" t="s">
        <v>64</v>
      </c>
      <c r="K751">
        <v>10</v>
      </c>
      <c r="L751" s="4">
        <v>22700</v>
      </c>
      <c r="M751">
        <v>5</v>
      </c>
      <c r="N751" s="4">
        <v>215650</v>
      </c>
      <c r="O751" t="s">
        <v>85</v>
      </c>
      <c r="Q751" t="s">
        <v>41</v>
      </c>
      <c r="R751">
        <v>1</v>
      </c>
    </row>
    <row r="752" spans="1:18" x14ac:dyDescent="0.3">
      <c r="A752" t="s">
        <v>1837</v>
      </c>
      <c r="B752" s="1">
        <v>45731</v>
      </c>
      <c r="C752" t="s">
        <v>60</v>
      </c>
      <c r="D752" t="s">
        <v>39</v>
      </c>
      <c r="E752">
        <v>19</v>
      </c>
      <c r="F752" t="s">
        <v>44</v>
      </c>
      <c r="G752" t="s">
        <v>45</v>
      </c>
      <c r="H752" t="s">
        <v>32</v>
      </c>
      <c r="I752" t="s">
        <v>53</v>
      </c>
      <c r="J752" t="s">
        <v>34</v>
      </c>
      <c r="K752">
        <v>7</v>
      </c>
      <c r="L752" s="4">
        <v>16600</v>
      </c>
      <c r="M752">
        <v>0</v>
      </c>
      <c r="N752" s="4">
        <v>116200</v>
      </c>
      <c r="O752" t="s">
        <v>85</v>
      </c>
      <c r="P752">
        <v>2</v>
      </c>
      <c r="Q752" t="s">
        <v>65</v>
      </c>
      <c r="R752">
        <v>0</v>
      </c>
    </row>
    <row r="753" spans="1:18" x14ac:dyDescent="0.3">
      <c r="A753" t="s">
        <v>1842</v>
      </c>
      <c r="B753" s="1">
        <v>45883</v>
      </c>
      <c r="C753" t="s">
        <v>71</v>
      </c>
      <c r="D753" t="s">
        <v>39</v>
      </c>
      <c r="E753">
        <v>42</v>
      </c>
      <c r="F753" t="s">
        <v>51</v>
      </c>
      <c r="G753" t="s">
        <v>52</v>
      </c>
      <c r="H753" t="s">
        <v>46</v>
      </c>
      <c r="I753" t="s">
        <v>47</v>
      </c>
      <c r="J753" t="s">
        <v>89</v>
      </c>
      <c r="K753">
        <v>3</v>
      </c>
      <c r="L753" s="4">
        <v>34900</v>
      </c>
      <c r="M753">
        <v>20</v>
      </c>
      <c r="N753" s="4">
        <v>83760</v>
      </c>
      <c r="O753" t="s">
        <v>85</v>
      </c>
      <c r="P753">
        <v>2</v>
      </c>
      <c r="Q753" t="s">
        <v>74</v>
      </c>
      <c r="R753">
        <v>0</v>
      </c>
    </row>
    <row r="754" spans="1:18" x14ac:dyDescent="0.3">
      <c r="A754" t="s">
        <v>1844</v>
      </c>
      <c r="B754" s="1">
        <v>46151</v>
      </c>
      <c r="C754" t="s">
        <v>113</v>
      </c>
      <c r="D754" t="s">
        <v>3292</v>
      </c>
      <c r="E754">
        <v>33</v>
      </c>
      <c r="F754" t="s">
        <v>77</v>
      </c>
      <c r="G754" t="s">
        <v>78</v>
      </c>
      <c r="H754" t="s">
        <v>62</v>
      </c>
      <c r="I754" t="s">
        <v>63</v>
      </c>
      <c r="J754" t="s">
        <v>80</v>
      </c>
      <c r="K754">
        <v>5</v>
      </c>
      <c r="L754" s="4">
        <v>45400</v>
      </c>
      <c r="M754">
        <v>20</v>
      </c>
      <c r="N754" s="4">
        <v>181600</v>
      </c>
      <c r="O754" t="s">
        <v>85</v>
      </c>
      <c r="P754">
        <v>2</v>
      </c>
      <c r="Q754" t="s">
        <v>65</v>
      </c>
      <c r="R754">
        <v>0</v>
      </c>
    </row>
    <row r="755" spans="1:18" x14ac:dyDescent="0.3">
      <c r="A755" t="s">
        <v>1845</v>
      </c>
      <c r="B755" s="1">
        <v>45842</v>
      </c>
      <c r="C755" t="s">
        <v>29</v>
      </c>
      <c r="D755" t="s">
        <v>39</v>
      </c>
      <c r="E755">
        <v>41</v>
      </c>
      <c r="F755" t="s">
        <v>44</v>
      </c>
      <c r="G755" t="s">
        <v>45</v>
      </c>
      <c r="H755" t="s">
        <v>22</v>
      </c>
      <c r="I755" t="s">
        <v>84</v>
      </c>
      <c r="J755" t="s">
        <v>80</v>
      </c>
      <c r="K755">
        <v>7</v>
      </c>
      <c r="L755" s="4">
        <v>46000</v>
      </c>
      <c r="M755">
        <v>0</v>
      </c>
      <c r="N755" s="4">
        <v>322000</v>
      </c>
      <c r="O755" t="s">
        <v>73</v>
      </c>
      <c r="P755">
        <v>2</v>
      </c>
      <c r="Q755" t="s">
        <v>26</v>
      </c>
      <c r="R755">
        <v>0</v>
      </c>
    </row>
    <row r="756" spans="1:18" x14ac:dyDescent="0.3">
      <c r="A756" t="s">
        <v>1847</v>
      </c>
      <c r="B756" s="1">
        <v>45908</v>
      </c>
      <c r="C756" t="s">
        <v>94</v>
      </c>
      <c r="D756" t="s">
        <v>39</v>
      </c>
      <c r="E756">
        <v>40</v>
      </c>
      <c r="F756" t="s">
        <v>77</v>
      </c>
      <c r="G756" t="s">
        <v>95</v>
      </c>
      <c r="H756" t="s">
        <v>62</v>
      </c>
      <c r="I756" t="s">
        <v>140</v>
      </c>
      <c r="J756" t="s">
        <v>80</v>
      </c>
      <c r="K756">
        <v>1</v>
      </c>
      <c r="L756" s="4">
        <v>13900</v>
      </c>
      <c r="M756">
        <v>5</v>
      </c>
      <c r="N756" s="4">
        <v>13205</v>
      </c>
      <c r="O756" t="s">
        <v>25</v>
      </c>
      <c r="Q756" t="s">
        <v>74</v>
      </c>
      <c r="R756">
        <v>0</v>
      </c>
    </row>
    <row r="757" spans="1:18" x14ac:dyDescent="0.3">
      <c r="A757" t="s">
        <v>1849</v>
      </c>
      <c r="B757" s="1">
        <v>45940</v>
      </c>
      <c r="C757" t="s">
        <v>71</v>
      </c>
      <c r="D757" t="s">
        <v>39</v>
      </c>
      <c r="E757">
        <v>49</v>
      </c>
      <c r="F757" t="s">
        <v>61</v>
      </c>
      <c r="G757" t="s">
        <v>61</v>
      </c>
      <c r="H757" t="s">
        <v>46</v>
      </c>
      <c r="I757" t="s">
        <v>79</v>
      </c>
      <c r="J757" t="s">
        <v>64</v>
      </c>
      <c r="K757">
        <v>7</v>
      </c>
      <c r="L757" s="4">
        <v>21600</v>
      </c>
      <c r="M757">
        <v>20</v>
      </c>
      <c r="N757" s="4">
        <v>120960</v>
      </c>
      <c r="O757" t="s">
        <v>85</v>
      </c>
      <c r="P757">
        <v>3</v>
      </c>
      <c r="Q757" t="s">
        <v>74</v>
      </c>
      <c r="R757">
        <v>0</v>
      </c>
    </row>
    <row r="758" spans="1:18" x14ac:dyDescent="0.3">
      <c r="A758" t="s">
        <v>1850</v>
      </c>
      <c r="B758" s="1">
        <v>46052</v>
      </c>
      <c r="C758" t="s">
        <v>38</v>
      </c>
      <c r="D758" t="s">
        <v>39</v>
      </c>
      <c r="E758">
        <v>37</v>
      </c>
      <c r="F758" t="s">
        <v>21</v>
      </c>
      <c r="G758" t="s">
        <v>21</v>
      </c>
      <c r="H758" t="s">
        <v>22</v>
      </c>
      <c r="I758" t="s">
        <v>23</v>
      </c>
      <c r="J758" t="s">
        <v>80</v>
      </c>
      <c r="K758">
        <v>10</v>
      </c>
      <c r="L758" s="4">
        <v>37900</v>
      </c>
      <c r="M758">
        <v>15</v>
      </c>
      <c r="N758" s="4">
        <v>322150</v>
      </c>
      <c r="O758" t="s">
        <v>85</v>
      </c>
      <c r="P758">
        <v>1</v>
      </c>
      <c r="Q758" t="s">
        <v>74</v>
      </c>
      <c r="R758">
        <v>0</v>
      </c>
    </row>
    <row r="759" spans="1:18" x14ac:dyDescent="0.3">
      <c r="A759" t="s">
        <v>1854</v>
      </c>
      <c r="B759" s="1">
        <v>45969</v>
      </c>
      <c r="C759" t="s">
        <v>113</v>
      </c>
      <c r="D759" t="s">
        <v>20</v>
      </c>
      <c r="E759">
        <v>35</v>
      </c>
      <c r="F759" t="s">
        <v>44</v>
      </c>
      <c r="G759" t="s">
        <v>45</v>
      </c>
      <c r="H759" t="s">
        <v>32</v>
      </c>
      <c r="I759" t="s">
        <v>53</v>
      </c>
      <c r="J759" t="s">
        <v>80</v>
      </c>
      <c r="K759">
        <v>10</v>
      </c>
      <c r="L759" s="4">
        <v>34100</v>
      </c>
      <c r="M759">
        <v>15</v>
      </c>
      <c r="N759" s="4">
        <v>289850</v>
      </c>
      <c r="O759" t="s">
        <v>25</v>
      </c>
      <c r="P759">
        <v>3</v>
      </c>
      <c r="Q759" t="s">
        <v>74</v>
      </c>
      <c r="R759">
        <v>0</v>
      </c>
    </row>
    <row r="760" spans="1:18" x14ac:dyDescent="0.3">
      <c r="A760" t="s">
        <v>1856</v>
      </c>
      <c r="B760" s="1">
        <v>45660</v>
      </c>
      <c r="C760" t="s">
        <v>88</v>
      </c>
      <c r="D760" t="s">
        <v>20</v>
      </c>
      <c r="E760">
        <v>41</v>
      </c>
      <c r="F760" t="s">
        <v>44</v>
      </c>
      <c r="G760" t="s">
        <v>100</v>
      </c>
      <c r="H760" t="s">
        <v>32</v>
      </c>
      <c r="I760" t="s">
        <v>53</v>
      </c>
      <c r="J760" t="s">
        <v>64</v>
      </c>
      <c r="K760">
        <v>1</v>
      </c>
      <c r="L760" s="4">
        <v>2900</v>
      </c>
      <c r="M760">
        <v>0</v>
      </c>
      <c r="N760" s="4">
        <v>2900</v>
      </c>
      <c r="O760" t="s">
        <v>73</v>
      </c>
      <c r="Q760" t="s">
        <v>74</v>
      </c>
      <c r="R760">
        <v>0</v>
      </c>
    </row>
    <row r="761" spans="1:18" x14ac:dyDescent="0.3">
      <c r="A761" t="s">
        <v>1859</v>
      </c>
      <c r="B761" s="1">
        <v>45756</v>
      </c>
      <c r="C761" t="s">
        <v>19</v>
      </c>
      <c r="D761" t="s">
        <v>20</v>
      </c>
      <c r="E761">
        <v>59</v>
      </c>
      <c r="F761" t="s">
        <v>77</v>
      </c>
      <c r="G761" t="s">
        <v>78</v>
      </c>
      <c r="H761" t="s">
        <v>46</v>
      </c>
      <c r="I761" t="s">
        <v>79</v>
      </c>
      <c r="J761" t="s">
        <v>34</v>
      </c>
      <c r="K761">
        <v>4</v>
      </c>
      <c r="L761" s="4">
        <v>49400</v>
      </c>
      <c r="M761">
        <v>25</v>
      </c>
      <c r="N761" s="4">
        <v>148200</v>
      </c>
      <c r="O761" t="s">
        <v>85</v>
      </c>
      <c r="Q761" t="s">
        <v>26</v>
      </c>
      <c r="R761">
        <v>0</v>
      </c>
    </row>
    <row r="762" spans="1:18" x14ac:dyDescent="0.3">
      <c r="A762" t="s">
        <v>1861</v>
      </c>
      <c r="B762" s="1">
        <v>45705</v>
      </c>
      <c r="C762" t="s">
        <v>94</v>
      </c>
      <c r="D762" t="s">
        <v>20</v>
      </c>
      <c r="E762">
        <v>30</v>
      </c>
      <c r="F762" t="s">
        <v>61</v>
      </c>
      <c r="G762" t="s">
        <v>61</v>
      </c>
      <c r="H762" t="s">
        <v>32</v>
      </c>
      <c r="I762" t="s">
        <v>53</v>
      </c>
      <c r="J762" t="s">
        <v>34</v>
      </c>
      <c r="K762">
        <v>9</v>
      </c>
      <c r="L762" s="4">
        <v>13700</v>
      </c>
      <c r="M762">
        <v>15</v>
      </c>
      <c r="N762" s="4">
        <v>104805</v>
      </c>
      <c r="O762" t="s">
        <v>73</v>
      </c>
      <c r="Q762" t="s">
        <v>74</v>
      </c>
      <c r="R762">
        <v>0</v>
      </c>
    </row>
    <row r="763" spans="1:18" x14ac:dyDescent="0.3">
      <c r="A763" t="s">
        <v>1867</v>
      </c>
      <c r="B763" s="1">
        <v>45872</v>
      </c>
      <c r="C763" t="s">
        <v>68</v>
      </c>
      <c r="D763" t="s">
        <v>39</v>
      </c>
      <c r="E763">
        <v>22</v>
      </c>
      <c r="F763" t="s">
        <v>21</v>
      </c>
      <c r="G763" t="s">
        <v>21</v>
      </c>
      <c r="H763" t="s">
        <v>46</v>
      </c>
      <c r="I763" t="s">
        <v>47</v>
      </c>
      <c r="J763" t="s">
        <v>34</v>
      </c>
      <c r="K763">
        <v>2</v>
      </c>
      <c r="L763" s="4">
        <v>43800</v>
      </c>
      <c r="M763">
        <v>0</v>
      </c>
      <c r="N763" s="4">
        <v>87600</v>
      </c>
      <c r="O763" t="s">
        <v>85</v>
      </c>
      <c r="P763">
        <v>5</v>
      </c>
      <c r="Q763" t="s">
        <v>41</v>
      </c>
      <c r="R763">
        <v>1</v>
      </c>
    </row>
    <row r="764" spans="1:18" x14ac:dyDescent="0.3">
      <c r="A764" t="s">
        <v>1869</v>
      </c>
      <c r="B764" s="1">
        <v>45812</v>
      </c>
      <c r="C764" t="s">
        <v>71</v>
      </c>
      <c r="D764" t="s">
        <v>39</v>
      </c>
      <c r="E764">
        <v>61</v>
      </c>
      <c r="F764" t="s">
        <v>21</v>
      </c>
      <c r="G764" t="s">
        <v>21</v>
      </c>
      <c r="H764" t="s">
        <v>62</v>
      </c>
      <c r="I764" t="s">
        <v>140</v>
      </c>
      <c r="J764" t="s">
        <v>89</v>
      </c>
      <c r="K764">
        <v>3</v>
      </c>
      <c r="L764" s="4">
        <v>18100</v>
      </c>
      <c r="M764">
        <v>10</v>
      </c>
      <c r="N764" s="4">
        <v>48870</v>
      </c>
      <c r="O764" t="s">
        <v>85</v>
      </c>
      <c r="P764">
        <v>5</v>
      </c>
      <c r="Q764" t="s">
        <v>41</v>
      </c>
      <c r="R764">
        <v>1</v>
      </c>
    </row>
    <row r="765" spans="1:18" x14ac:dyDescent="0.3">
      <c r="A765" t="s">
        <v>1872</v>
      </c>
      <c r="B765" s="1">
        <v>46181</v>
      </c>
      <c r="C765" t="s">
        <v>38</v>
      </c>
      <c r="D765" t="s">
        <v>20</v>
      </c>
      <c r="E765">
        <v>32</v>
      </c>
      <c r="F765" t="s">
        <v>51</v>
      </c>
      <c r="G765" t="s">
        <v>104</v>
      </c>
      <c r="H765" t="s">
        <v>22</v>
      </c>
      <c r="I765" t="s">
        <v>23</v>
      </c>
      <c r="J765" t="s">
        <v>24</v>
      </c>
      <c r="K765">
        <v>4</v>
      </c>
      <c r="L765" s="4">
        <v>27500</v>
      </c>
      <c r="M765">
        <v>15</v>
      </c>
      <c r="N765" s="4">
        <v>93500</v>
      </c>
      <c r="O765" t="s">
        <v>85</v>
      </c>
      <c r="Q765" t="s">
        <v>74</v>
      </c>
      <c r="R765">
        <v>0</v>
      </c>
    </row>
    <row r="766" spans="1:18" x14ac:dyDescent="0.3">
      <c r="A766" t="s">
        <v>1873</v>
      </c>
      <c r="B766" s="1">
        <v>45863</v>
      </c>
      <c r="C766" t="s">
        <v>68</v>
      </c>
      <c r="D766" t="s">
        <v>20</v>
      </c>
      <c r="E766">
        <v>52</v>
      </c>
      <c r="F766" t="s">
        <v>44</v>
      </c>
      <c r="G766" t="s">
        <v>100</v>
      </c>
      <c r="H766" t="s">
        <v>32</v>
      </c>
      <c r="I766" t="s">
        <v>53</v>
      </c>
      <c r="J766" t="s">
        <v>72</v>
      </c>
      <c r="K766">
        <v>1</v>
      </c>
      <c r="L766" s="4">
        <v>17800</v>
      </c>
      <c r="M766">
        <v>5</v>
      </c>
      <c r="N766" s="4">
        <v>16910</v>
      </c>
      <c r="O766" t="s">
        <v>85</v>
      </c>
      <c r="P766">
        <v>3</v>
      </c>
      <c r="Q766" t="s">
        <v>26</v>
      </c>
      <c r="R766">
        <v>0</v>
      </c>
    </row>
    <row r="767" spans="1:18" x14ac:dyDescent="0.3">
      <c r="A767" t="s">
        <v>1874</v>
      </c>
      <c r="B767" s="1">
        <v>45950</v>
      </c>
      <c r="C767" t="s">
        <v>94</v>
      </c>
      <c r="D767" t="s">
        <v>39</v>
      </c>
      <c r="E767">
        <v>23</v>
      </c>
      <c r="F767" t="s">
        <v>21</v>
      </c>
      <c r="G767" t="s">
        <v>21</v>
      </c>
      <c r="H767" t="s">
        <v>32</v>
      </c>
      <c r="I767" t="s">
        <v>53</v>
      </c>
      <c r="J767" t="s">
        <v>34</v>
      </c>
      <c r="K767">
        <v>4</v>
      </c>
      <c r="L767" s="4">
        <v>15000</v>
      </c>
      <c r="M767">
        <v>10</v>
      </c>
      <c r="N767" s="4">
        <v>54000</v>
      </c>
      <c r="O767" t="s">
        <v>85</v>
      </c>
      <c r="P767">
        <v>4</v>
      </c>
      <c r="Q767" t="s">
        <v>26</v>
      </c>
      <c r="R767">
        <v>0</v>
      </c>
    </row>
    <row r="768" spans="1:18" x14ac:dyDescent="0.3">
      <c r="A768" t="s">
        <v>1878</v>
      </c>
      <c r="B768" s="1">
        <v>45982</v>
      </c>
      <c r="C768" t="s">
        <v>60</v>
      </c>
      <c r="D768" t="s">
        <v>39</v>
      </c>
      <c r="E768">
        <v>47</v>
      </c>
      <c r="F768" t="s">
        <v>21</v>
      </c>
      <c r="G768" t="s">
        <v>21</v>
      </c>
      <c r="H768" t="s">
        <v>62</v>
      </c>
      <c r="I768" t="s">
        <v>63</v>
      </c>
      <c r="J768" t="s">
        <v>34</v>
      </c>
      <c r="K768">
        <v>3</v>
      </c>
      <c r="L768" s="4">
        <v>31400</v>
      </c>
      <c r="M768">
        <v>0</v>
      </c>
      <c r="N768" s="4">
        <v>94200</v>
      </c>
      <c r="O768" t="s">
        <v>85</v>
      </c>
      <c r="Q768" t="s">
        <v>74</v>
      </c>
      <c r="R768">
        <v>0</v>
      </c>
    </row>
    <row r="769" spans="1:18" x14ac:dyDescent="0.3">
      <c r="A769" t="s">
        <v>1880</v>
      </c>
      <c r="B769" s="1">
        <v>45694</v>
      </c>
      <c r="C769" t="s">
        <v>19</v>
      </c>
      <c r="D769" t="s">
        <v>20</v>
      </c>
      <c r="E769">
        <v>42</v>
      </c>
      <c r="F769" t="s">
        <v>44</v>
      </c>
      <c r="G769" t="s">
        <v>45</v>
      </c>
      <c r="H769" t="s">
        <v>32</v>
      </c>
      <c r="I769" t="s">
        <v>53</v>
      </c>
      <c r="J769" t="s">
        <v>64</v>
      </c>
      <c r="K769">
        <v>5</v>
      </c>
      <c r="L769" s="4">
        <v>25300</v>
      </c>
      <c r="M769">
        <v>10</v>
      </c>
      <c r="N769" s="4">
        <v>113850</v>
      </c>
      <c r="O769" t="s">
        <v>85</v>
      </c>
      <c r="P769">
        <v>3</v>
      </c>
      <c r="Q769" t="s">
        <v>26</v>
      </c>
      <c r="R769">
        <v>0</v>
      </c>
    </row>
    <row r="770" spans="1:18" x14ac:dyDescent="0.3">
      <c r="A770" t="s">
        <v>1881</v>
      </c>
      <c r="B770" s="1">
        <v>45971</v>
      </c>
      <c r="C770" t="s">
        <v>19</v>
      </c>
      <c r="D770" t="s">
        <v>39</v>
      </c>
      <c r="E770">
        <v>32</v>
      </c>
      <c r="F770" t="s">
        <v>77</v>
      </c>
      <c r="G770" t="s">
        <v>95</v>
      </c>
      <c r="H770" t="s">
        <v>32</v>
      </c>
      <c r="I770" t="s">
        <v>33</v>
      </c>
      <c r="J770" t="s">
        <v>34</v>
      </c>
      <c r="K770">
        <v>4</v>
      </c>
      <c r="L770" s="4">
        <v>12300</v>
      </c>
      <c r="M770">
        <v>5</v>
      </c>
      <c r="N770" s="4">
        <v>46740</v>
      </c>
      <c r="O770" t="s">
        <v>85</v>
      </c>
      <c r="Q770" t="s">
        <v>65</v>
      </c>
      <c r="R770">
        <v>0</v>
      </c>
    </row>
    <row r="771" spans="1:18" x14ac:dyDescent="0.3">
      <c r="A771" t="s">
        <v>1883</v>
      </c>
      <c r="B771" s="1">
        <v>45698</v>
      </c>
      <c r="C771" t="s">
        <v>113</v>
      </c>
      <c r="D771" t="s">
        <v>39</v>
      </c>
      <c r="E771">
        <v>24</v>
      </c>
      <c r="F771" t="s">
        <v>61</v>
      </c>
      <c r="G771" t="s">
        <v>61</v>
      </c>
      <c r="H771" t="s">
        <v>62</v>
      </c>
      <c r="I771" t="s">
        <v>140</v>
      </c>
      <c r="J771" t="s">
        <v>34</v>
      </c>
      <c r="K771">
        <v>2</v>
      </c>
      <c r="L771" s="4">
        <v>11200</v>
      </c>
      <c r="M771">
        <v>15</v>
      </c>
      <c r="N771" s="4">
        <v>19040</v>
      </c>
      <c r="O771" t="s">
        <v>25</v>
      </c>
      <c r="Q771" t="s">
        <v>26</v>
      </c>
      <c r="R771">
        <v>0</v>
      </c>
    </row>
    <row r="772" spans="1:18" x14ac:dyDescent="0.3">
      <c r="A772" t="s">
        <v>1886</v>
      </c>
      <c r="B772" s="1">
        <v>45701</v>
      </c>
      <c r="C772" t="s">
        <v>88</v>
      </c>
      <c r="D772" t="s">
        <v>39</v>
      </c>
      <c r="E772">
        <v>41</v>
      </c>
      <c r="F772" t="s">
        <v>30</v>
      </c>
      <c r="G772" t="s">
        <v>57</v>
      </c>
      <c r="H772" t="s">
        <v>62</v>
      </c>
      <c r="I772" t="s">
        <v>140</v>
      </c>
      <c r="J772" t="s">
        <v>24</v>
      </c>
      <c r="K772">
        <v>3</v>
      </c>
      <c r="L772" s="4">
        <v>24800</v>
      </c>
      <c r="M772">
        <v>25</v>
      </c>
      <c r="N772" s="4">
        <v>55800</v>
      </c>
      <c r="O772" t="s">
        <v>73</v>
      </c>
      <c r="Q772" t="s">
        <v>41</v>
      </c>
      <c r="R772">
        <v>1</v>
      </c>
    </row>
    <row r="773" spans="1:18" x14ac:dyDescent="0.3">
      <c r="A773" t="s">
        <v>1890</v>
      </c>
      <c r="B773" s="1">
        <v>45896</v>
      </c>
      <c r="C773" t="s">
        <v>60</v>
      </c>
      <c r="D773" t="s">
        <v>20</v>
      </c>
      <c r="E773">
        <v>57</v>
      </c>
      <c r="F773" t="s">
        <v>21</v>
      </c>
      <c r="G773" t="s">
        <v>21</v>
      </c>
      <c r="H773" t="s">
        <v>22</v>
      </c>
      <c r="I773" t="s">
        <v>84</v>
      </c>
      <c r="J773" t="s">
        <v>24</v>
      </c>
      <c r="K773">
        <v>4</v>
      </c>
      <c r="L773" s="4">
        <v>19900</v>
      </c>
      <c r="M773">
        <v>10</v>
      </c>
      <c r="N773" s="4">
        <v>71640</v>
      </c>
      <c r="O773" t="s">
        <v>25</v>
      </c>
      <c r="P773">
        <v>3</v>
      </c>
      <c r="Q773" t="s">
        <v>65</v>
      </c>
      <c r="R773">
        <v>0</v>
      </c>
    </row>
    <row r="774" spans="1:18" x14ac:dyDescent="0.3">
      <c r="A774" t="s">
        <v>1892</v>
      </c>
      <c r="B774" s="1">
        <v>45903</v>
      </c>
      <c r="C774" t="s">
        <v>88</v>
      </c>
      <c r="D774" t="s">
        <v>39</v>
      </c>
      <c r="E774">
        <v>63</v>
      </c>
      <c r="F774" t="s">
        <v>44</v>
      </c>
      <c r="G774" t="s">
        <v>45</v>
      </c>
      <c r="H774" t="s">
        <v>62</v>
      </c>
      <c r="I774" t="s">
        <v>63</v>
      </c>
      <c r="J774" t="s">
        <v>89</v>
      </c>
      <c r="K774">
        <v>1</v>
      </c>
      <c r="L774" s="4">
        <v>39200</v>
      </c>
      <c r="M774">
        <v>0</v>
      </c>
      <c r="N774" s="4">
        <v>39200</v>
      </c>
      <c r="O774" t="s">
        <v>25</v>
      </c>
      <c r="P774">
        <v>4</v>
      </c>
      <c r="Q774" t="s">
        <v>74</v>
      </c>
      <c r="R774">
        <v>0</v>
      </c>
    </row>
    <row r="775" spans="1:18" x14ac:dyDescent="0.3">
      <c r="A775" t="s">
        <v>1893</v>
      </c>
      <c r="B775" s="1">
        <v>46040</v>
      </c>
      <c r="C775" t="s">
        <v>60</v>
      </c>
      <c r="D775" t="s">
        <v>20</v>
      </c>
      <c r="E775">
        <v>36</v>
      </c>
      <c r="F775" t="s">
        <v>30</v>
      </c>
      <c r="G775" t="s">
        <v>57</v>
      </c>
      <c r="H775" t="s">
        <v>22</v>
      </c>
      <c r="I775" t="s">
        <v>84</v>
      </c>
      <c r="J775" t="s">
        <v>64</v>
      </c>
      <c r="K775">
        <v>7</v>
      </c>
      <c r="L775" s="4">
        <v>18000</v>
      </c>
      <c r="M775">
        <v>20</v>
      </c>
      <c r="N775" s="4">
        <v>100800</v>
      </c>
      <c r="O775" t="s">
        <v>73</v>
      </c>
      <c r="P775">
        <v>3</v>
      </c>
      <c r="Q775" t="s">
        <v>41</v>
      </c>
      <c r="R775">
        <v>1</v>
      </c>
    </row>
    <row r="776" spans="1:18" x14ac:dyDescent="0.3">
      <c r="A776" t="s">
        <v>1894</v>
      </c>
      <c r="B776" s="1">
        <v>45898</v>
      </c>
      <c r="C776" t="s">
        <v>29</v>
      </c>
      <c r="D776" t="s">
        <v>20</v>
      </c>
      <c r="E776">
        <v>20</v>
      </c>
      <c r="F776" t="s">
        <v>77</v>
      </c>
      <c r="G776" t="s">
        <v>95</v>
      </c>
      <c r="H776" t="s">
        <v>22</v>
      </c>
      <c r="I776" t="s">
        <v>84</v>
      </c>
      <c r="J776" t="s">
        <v>34</v>
      </c>
      <c r="K776">
        <v>8</v>
      </c>
      <c r="L776" s="4">
        <v>38300</v>
      </c>
      <c r="M776">
        <v>15</v>
      </c>
      <c r="N776" s="4">
        <v>260440</v>
      </c>
      <c r="O776" t="s">
        <v>85</v>
      </c>
      <c r="Q776" t="s">
        <v>26</v>
      </c>
      <c r="R776">
        <v>0</v>
      </c>
    </row>
    <row r="777" spans="1:18" x14ac:dyDescent="0.3">
      <c r="A777" t="s">
        <v>1896</v>
      </c>
      <c r="B777" s="1">
        <v>45942</v>
      </c>
      <c r="C777" t="s">
        <v>71</v>
      </c>
      <c r="D777" t="s">
        <v>20</v>
      </c>
      <c r="E777">
        <v>27</v>
      </c>
      <c r="F777" t="s">
        <v>61</v>
      </c>
      <c r="G777" t="s">
        <v>61</v>
      </c>
      <c r="H777" t="s">
        <v>32</v>
      </c>
      <c r="I777" t="s">
        <v>33</v>
      </c>
      <c r="J777" t="s">
        <v>64</v>
      </c>
      <c r="K777">
        <v>6</v>
      </c>
      <c r="L777" s="4">
        <v>21500</v>
      </c>
      <c r="M777">
        <v>10</v>
      </c>
      <c r="N777" s="4">
        <v>116100</v>
      </c>
      <c r="O777" t="s">
        <v>85</v>
      </c>
      <c r="P777">
        <v>2</v>
      </c>
      <c r="Q777" t="s">
        <v>26</v>
      </c>
      <c r="R777">
        <v>0</v>
      </c>
    </row>
    <row r="778" spans="1:18" x14ac:dyDescent="0.3">
      <c r="A778" t="s">
        <v>1898</v>
      </c>
      <c r="B778" s="1">
        <v>46197</v>
      </c>
      <c r="C778" t="s">
        <v>29</v>
      </c>
      <c r="D778" t="s">
        <v>20</v>
      </c>
      <c r="E778">
        <v>22</v>
      </c>
      <c r="F778" t="s">
        <v>61</v>
      </c>
      <c r="G778" t="s">
        <v>61</v>
      </c>
      <c r="H778" t="s">
        <v>62</v>
      </c>
      <c r="I778" t="s">
        <v>63</v>
      </c>
      <c r="J778" t="s">
        <v>80</v>
      </c>
      <c r="K778">
        <v>1</v>
      </c>
      <c r="L778" s="4">
        <v>23500</v>
      </c>
      <c r="M778">
        <v>15</v>
      </c>
      <c r="N778" s="4">
        <v>19975</v>
      </c>
      <c r="O778" t="s">
        <v>25</v>
      </c>
      <c r="Q778" t="s">
        <v>74</v>
      </c>
      <c r="R778">
        <v>0</v>
      </c>
    </row>
    <row r="779" spans="1:18" x14ac:dyDescent="0.3">
      <c r="A779" t="s">
        <v>1900</v>
      </c>
      <c r="B779" s="1">
        <v>45779</v>
      </c>
      <c r="C779" t="s">
        <v>38</v>
      </c>
      <c r="D779" t="s">
        <v>3292</v>
      </c>
      <c r="E779">
        <v>46</v>
      </c>
      <c r="F779" t="s">
        <v>77</v>
      </c>
      <c r="G779" t="s">
        <v>95</v>
      </c>
      <c r="H779" t="s">
        <v>46</v>
      </c>
      <c r="I779" t="s">
        <v>47</v>
      </c>
      <c r="J779" t="s">
        <v>80</v>
      </c>
      <c r="K779">
        <v>7</v>
      </c>
      <c r="L779" s="4">
        <v>11500</v>
      </c>
      <c r="M779">
        <v>10</v>
      </c>
      <c r="N779" s="4">
        <v>72450</v>
      </c>
      <c r="O779" t="s">
        <v>25</v>
      </c>
      <c r="Q779" t="s">
        <v>74</v>
      </c>
      <c r="R779">
        <v>0</v>
      </c>
    </row>
    <row r="780" spans="1:18" x14ac:dyDescent="0.3">
      <c r="A780" t="s">
        <v>1902</v>
      </c>
      <c r="B780" s="1">
        <v>45712</v>
      </c>
      <c r="C780" t="s">
        <v>94</v>
      </c>
      <c r="D780" t="s">
        <v>39</v>
      </c>
      <c r="E780">
        <v>54</v>
      </c>
      <c r="F780" t="s">
        <v>21</v>
      </c>
      <c r="G780" t="s">
        <v>21</v>
      </c>
      <c r="H780" t="s">
        <v>46</v>
      </c>
      <c r="I780" t="s">
        <v>47</v>
      </c>
      <c r="J780" t="s">
        <v>24</v>
      </c>
      <c r="K780">
        <v>6</v>
      </c>
      <c r="L780" s="4">
        <v>21100</v>
      </c>
      <c r="M780">
        <v>15</v>
      </c>
      <c r="N780" s="4">
        <v>107610</v>
      </c>
      <c r="O780" t="s">
        <v>73</v>
      </c>
      <c r="P780">
        <v>3</v>
      </c>
      <c r="Q780" t="s">
        <v>26</v>
      </c>
      <c r="R780">
        <v>0</v>
      </c>
    </row>
    <row r="781" spans="1:18" x14ac:dyDescent="0.3">
      <c r="A781" t="s">
        <v>1903</v>
      </c>
      <c r="B781" s="1">
        <v>45997</v>
      </c>
      <c r="C781" t="s">
        <v>71</v>
      </c>
      <c r="D781" t="s">
        <v>39</v>
      </c>
      <c r="E781">
        <v>61</v>
      </c>
      <c r="F781" t="s">
        <v>44</v>
      </c>
      <c r="G781" t="s">
        <v>100</v>
      </c>
      <c r="H781" t="s">
        <v>22</v>
      </c>
      <c r="I781" t="s">
        <v>84</v>
      </c>
      <c r="J781" t="s">
        <v>89</v>
      </c>
      <c r="K781">
        <v>4</v>
      </c>
      <c r="L781" s="4">
        <v>27900</v>
      </c>
      <c r="M781">
        <v>5</v>
      </c>
      <c r="N781" s="4">
        <v>106020</v>
      </c>
      <c r="O781" t="s">
        <v>25</v>
      </c>
      <c r="P781">
        <v>4</v>
      </c>
      <c r="Q781" t="s">
        <v>74</v>
      </c>
      <c r="R781">
        <v>0</v>
      </c>
    </row>
    <row r="782" spans="1:18" x14ac:dyDescent="0.3">
      <c r="A782" t="s">
        <v>1904</v>
      </c>
      <c r="B782" s="1">
        <v>45735</v>
      </c>
      <c r="C782" t="s">
        <v>68</v>
      </c>
      <c r="D782" t="s">
        <v>3292</v>
      </c>
      <c r="E782">
        <v>23</v>
      </c>
      <c r="F782" t="s">
        <v>30</v>
      </c>
      <c r="G782" t="s">
        <v>31</v>
      </c>
      <c r="H782" t="s">
        <v>22</v>
      </c>
      <c r="I782" t="s">
        <v>84</v>
      </c>
      <c r="J782" t="s">
        <v>72</v>
      </c>
      <c r="K782">
        <v>5</v>
      </c>
      <c r="L782" s="4">
        <v>47000</v>
      </c>
      <c r="M782">
        <v>5</v>
      </c>
      <c r="N782" s="4">
        <v>223250</v>
      </c>
      <c r="O782" t="s">
        <v>85</v>
      </c>
      <c r="Q782" t="s">
        <v>65</v>
      </c>
      <c r="R782">
        <v>0</v>
      </c>
    </row>
    <row r="783" spans="1:18" x14ac:dyDescent="0.3">
      <c r="A783" t="s">
        <v>1905</v>
      </c>
      <c r="B783" s="1">
        <v>46160</v>
      </c>
      <c r="C783" t="s">
        <v>88</v>
      </c>
      <c r="D783" t="s">
        <v>20</v>
      </c>
      <c r="E783">
        <v>21</v>
      </c>
      <c r="F783" t="s">
        <v>77</v>
      </c>
      <c r="G783" t="s">
        <v>95</v>
      </c>
      <c r="H783" t="s">
        <v>62</v>
      </c>
      <c r="I783" t="s">
        <v>140</v>
      </c>
      <c r="J783" t="s">
        <v>80</v>
      </c>
      <c r="K783">
        <v>7</v>
      </c>
      <c r="L783" s="4">
        <v>23800</v>
      </c>
      <c r="M783">
        <v>5</v>
      </c>
      <c r="N783" s="4">
        <v>158270</v>
      </c>
      <c r="O783" t="s">
        <v>85</v>
      </c>
      <c r="Q783" t="s">
        <v>26</v>
      </c>
      <c r="R783">
        <v>0</v>
      </c>
    </row>
    <row r="784" spans="1:18" x14ac:dyDescent="0.3">
      <c r="A784" t="s">
        <v>1907</v>
      </c>
      <c r="B784" s="1">
        <v>45857</v>
      </c>
      <c r="C784" t="s">
        <v>88</v>
      </c>
      <c r="D784" t="s">
        <v>3292</v>
      </c>
      <c r="E784">
        <v>46</v>
      </c>
      <c r="F784" t="s">
        <v>51</v>
      </c>
      <c r="G784" t="s">
        <v>52</v>
      </c>
      <c r="H784" t="s">
        <v>46</v>
      </c>
      <c r="I784" t="s">
        <v>47</v>
      </c>
      <c r="J784" t="s">
        <v>64</v>
      </c>
      <c r="K784">
        <v>8</v>
      </c>
      <c r="L784" s="4">
        <v>6800</v>
      </c>
      <c r="M784">
        <v>0</v>
      </c>
      <c r="N784" s="4">
        <v>54400</v>
      </c>
      <c r="O784" t="s">
        <v>25</v>
      </c>
      <c r="P784">
        <v>2</v>
      </c>
      <c r="Q784" t="s">
        <v>65</v>
      </c>
      <c r="R784">
        <v>0</v>
      </c>
    </row>
    <row r="785" spans="1:18" x14ac:dyDescent="0.3">
      <c r="A785" t="s">
        <v>1909</v>
      </c>
      <c r="B785" s="1">
        <v>45690</v>
      </c>
      <c r="C785" t="s">
        <v>19</v>
      </c>
      <c r="D785" t="s">
        <v>39</v>
      </c>
      <c r="E785">
        <v>35</v>
      </c>
      <c r="F785" t="s">
        <v>44</v>
      </c>
      <c r="G785" t="s">
        <v>100</v>
      </c>
      <c r="H785" t="s">
        <v>46</v>
      </c>
      <c r="I785" t="s">
        <v>79</v>
      </c>
      <c r="J785" t="s">
        <v>89</v>
      </c>
      <c r="K785">
        <v>4</v>
      </c>
      <c r="L785" s="4">
        <v>15000</v>
      </c>
      <c r="M785">
        <v>15</v>
      </c>
      <c r="N785" s="4">
        <v>51000</v>
      </c>
      <c r="O785" t="s">
        <v>85</v>
      </c>
      <c r="P785">
        <v>1</v>
      </c>
      <c r="Q785" t="s">
        <v>41</v>
      </c>
      <c r="R785">
        <v>1</v>
      </c>
    </row>
    <row r="786" spans="1:18" x14ac:dyDescent="0.3">
      <c r="A786" t="s">
        <v>1911</v>
      </c>
      <c r="B786" s="1">
        <v>45779</v>
      </c>
      <c r="C786" t="s">
        <v>113</v>
      </c>
      <c r="D786" t="s">
        <v>39</v>
      </c>
      <c r="E786">
        <v>59</v>
      </c>
      <c r="F786" t="s">
        <v>51</v>
      </c>
      <c r="G786" t="s">
        <v>52</v>
      </c>
      <c r="H786" t="s">
        <v>22</v>
      </c>
      <c r="I786" t="s">
        <v>23</v>
      </c>
      <c r="J786" t="s">
        <v>89</v>
      </c>
      <c r="K786">
        <v>9</v>
      </c>
      <c r="L786" s="4">
        <v>4300</v>
      </c>
      <c r="M786">
        <v>25</v>
      </c>
      <c r="N786" s="4">
        <v>29025</v>
      </c>
      <c r="O786" t="s">
        <v>25</v>
      </c>
      <c r="Q786" t="s">
        <v>65</v>
      </c>
      <c r="R786">
        <v>0</v>
      </c>
    </row>
    <row r="787" spans="1:18" x14ac:dyDescent="0.3">
      <c r="A787" t="s">
        <v>1914</v>
      </c>
      <c r="B787" s="1">
        <v>45912</v>
      </c>
      <c r="C787" t="s">
        <v>94</v>
      </c>
      <c r="D787" t="s">
        <v>3292</v>
      </c>
      <c r="E787">
        <v>58</v>
      </c>
      <c r="F787" t="s">
        <v>61</v>
      </c>
      <c r="G787" t="s">
        <v>61</v>
      </c>
      <c r="H787" t="s">
        <v>32</v>
      </c>
      <c r="I787" t="s">
        <v>33</v>
      </c>
      <c r="J787" t="s">
        <v>64</v>
      </c>
      <c r="K787">
        <v>4</v>
      </c>
      <c r="L787" s="4">
        <v>11500</v>
      </c>
      <c r="M787">
        <v>0</v>
      </c>
      <c r="N787" s="4">
        <v>46000</v>
      </c>
      <c r="O787" t="s">
        <v>25</v>
      </c>
      <c r="Q787" t="s">
        <v>26</v>
      </c>
      <c r="R787">
        <v>0</v>
      </c>
    </row>
    <row r="788" spans="1:18" x14ac:dyDescent="0.3">
      <c r="A788" t="s">
        <v>1919</v>
      </c>
      <c r="B788" s="1">
        <v>45669</v>
      </c>
      <c r="C788" t="s">
        <v>19</v>
      </c>
      <c r="D788" t="s">
        <v>3292</v>
      </c>
      <c r="E788">
        <v>47</v>
      </c>
      <c r="F788" t="s">
        <v>61</v>
      </c>
      <c r="G788" t="s">
        <v>61</v>
      </c>
      <c r="H788" t="s">
        <v>62</v>
      </c>
      <c r="I788" t="s">
        <v>63</v>
      </c>
      <c r="J788" t="s">
        <v>24</v>
      </c>
      <c r="K788">
        <v>2</v>
      </c>
      <c r="L788" s="4">
        <v>8500</v>
      </c>
      <c r="M788">
        <v>20</v>
      </c>
      <c r="N788" s="4">
        <v>13600</v>
      </c>
      <c r="O788" t="s">
        <v>25</v>
      </c>
      <c r="Q788" t="s">
        <v>26</v>
      </c>
      <c r="R788">
        <v>0</v>
      </c>
    </row>
    <row r="789" spans="1:18" x14ac:dyDescent="0.3">
      <c r="A789" t="s">
        <v>1921</v>
      </c>
      <c r="B789" s="1">
        <v>46194</v>
      </c>
      <c r="C789" t="s">
        <v>19</v>
      </c>
      <c r="D789" t="s">
        <v>39</v>
      </c>
      <c r="E789">
        <v>49</v>
      </c>
      <c r="F789" t="s">
        <v>30</v>
      </c>
      <c r="G789" t="s">
        <v>31</v>
      </c>
      <c r="H789" t="s">
        <v>46</v>
      </c>
      <c r="I789" t="s">
        <v>79</v>
      </c>
      <c r="J789" t="s">
        <v>64</v>
      </c>
      <c r="K789">
        <v>7</v>
      </c>
      <c r="L789" s="4">
        <v>45100</v>
      </c>
      <c r="M789">
        <v>20</v>
      </c>
      <c r="N789" s="4">
        <v>252560</v>
      </c>
      <c r="O789" t="s">
        <v>85</v>
      </c>
      <c r="P789">
        <v>3</v>
      </c>
      <c r="Q789" t="s">
        <v>26</v>
      </c>
      <c r="R789">
        <v>0</v>
      </c>
    </row>
    <row r="790" spans="1:18" x14ac:dyDescent="0.3">
      <c r="A790" t="s">
        <v>1922</v>
      </c>
      <c r="B790" s="1">
        <v>46179</v>
      </c>
      <c r="C790" t="s">
        <v>38</v>
      </c>
      <c r="D790" t="s">
        <v>3292</v>
      </c>
      <c r="E790">
        <v>55</v>
      </c>
      <c r="F790" t="s">
        <v>77</v>
      </c>
      <c r="G790" t="s">
        <v>95</v>
      </c>
      <c r="H790" t="s">
        <v>22</v>
      </c>
      <c r="I790" t="s">
        <v>23</v>
      </c>
      <c r="J790" t="s">
        <v>80</v>
      </c>
      <c r="K790">
        <v>3</v>
      </c>
      <c r="L790" s="4">
        <v>4600</v>
      </c>
      <c r="M790">
        <v>20</v>
      </c>
      <c r="N790" s="4">
        <v>11040</v>
      </c>
      <c r="O790" t="s">
        <v>73</v>
      </c>
      <c r="P790">
        <v>2</v>
      </c>
      <c r="Q790" t="s">
        <v>41</v>
      </c>
      <c r="R790">
        <v>1</v>
      </c>
    </row>
    <row r="791" spans="1:18" x14ac:dyDescent="0.3">
      <c r="A791" t="s">
        <v>1924</v>
      </c>
      <c r="B791" s="1">
        <v>45927</v>
      </c>
      <c r="C791" t="s">
        <v>19</v>
      </c>
      <c r="D791" t="s">
        <v>20</v>
      </c>
      <c r="E791">
        <v>39</v>
      </c>
      <c r="F791" t="s">
        <v>51</v>
      </c>
      <c r="G791" t="s">
        <v>104</v>
      </c>
      <c r="H791" t="s">
        <v>22</v>
      </c>
      <c r="I791" t="s">
        <v>84</v>
      </c>
      <c r="J791" t="s">
        <v>34</v>
      </c>
      <c r="K791">
        <v>1</v>
      </c>
      <c r="L791" s="4">
        <v>17400</v>
      </c>
      <c r="M791">
        <v>5</v>
      </c>
      <c r="N791" s="4">
        <v>16530</v>
      </c>
      <c r="O791" t="s">
        <v>85</v>
      </c>
      <c r="P791">
        <v>1</v>
      </c>
      <c r="Q791" t="s">
        <v>65</v>
      </c>
      <c r="R791">
        <v>0</v>
      </c>
    </row>
    <row r="792" spans="1:18" x14ac:dyDescent="0.3">
      <c r="A792" t="s">
        <v>1925</v>
      </c>
      <c r="B792" s="1">
        <v>46162</v>
      </c>
      <c r="C792" t="s">
        <v>94</v>
      </c>
      <c r="D792" t="s">
        <v>20</v>
      </c>
      <c r="E792">
        <v>27</v>
      </c>
      <c r="F792" t="s">
        <v>77</v>
      </c>
      <c r="G792" t="s">
        <v>95</v>
      </c>
      <c r="H792" t="s">
        <v>46</v>
      </c>
      <c r="I792" t="s">
        <v>47</v>
      </c>
      <c r="J792" t="s">
        <v>72</v>
      </c>
      <c r="K792">
        <v>5</v>
      </c>
      <c r="L792" s="4">
        <v>43000</v>
      </c>
      <c r="M792">
        <v>5</v>
      </c>
      <c r="N792" s="4">
        <v>204250</v>
      </c>
      <c r="O792" t="s">
        <v>85</v>
      </c>
      <c r="Q792" t="s">
        <v>26</v>
      </c>
      <c r="R792">
        <v>0</v>
      </c>
    </row>
    <row r="793" spans="1:18" x14ac:dyDescent="0.3">
      <c r="A793" t="s">
        <v>1926</v>
      </c>
      <c r="B793" s="1">
        <v>45667</v>
      </c>
      <c r="C793" t="s">
        <v>121</v>
      </c>
      <c r="D793" t="s">
        <v>20</v>
      </c>
      <c r="E793">
        <v>61</v>
      </c>
      <c r="F793" t="s">
        <v>77</v>
      </c>
      <c r="G793" t="s">
        <v>78</v>
      </c>
      <c r="H793" t="s">
        <v>46</v>
      </c>
      <c r="I793" t="s">
        <v>79</v>
      </c>
      <c r="J793" t="s">
        <v>72</v>
      </c>
      <c r="K793">
        <v>10</v>
      </c>
      <c r="L793" s="4">
        <v>26900</v>
      </c>
      <c r="M793">
        <v>5</v>
      </c>
      <c r="N793" s="4">
        <v>255550</v>
      </c>
      <c r="O793" t="s">
        <v>85</v>
      </c>
      <c r="P793">
        <v>4</v>
      </c>
      <c r="Q793" t="s">
        <v>41</v>
      </c>
      <c r="R793">
        <v>1</v>
      </c>
    </row>
    <row r="794" spans="1:18" x14ac:dyDescent="0.3">
      <c r="A794" t="s">
        <v>1928</v>
      </c>
      <c r="B794" s="1">
        <v>45947</v>
      </c>
      <c r="C794" t="s">
        <v>113</v>
      </c>
      <c r="D794" t="s">
        <v>20</v>
      </c>
      <c r="E794">
        <v>21</v>
      </c>
      <c r="F794" t="s">
        <v>21</v>
      </c>
      <c r="G794" t="s">
        <v>21</v>
      </c>
      <c r="H794" t="s">
        <v>32</v>
      </c>
      <c r="I794" t="s">
        <v>53</v>
      </c>
      <c r="J794" t="s">
        <v>72</v>
      </c>
      <c r="K794">
        <v>8</v>
      </c>
      <c r="L794" s="4">
        <v>16200</v>
      </c>
      <c r="M794">
        <v>5</v>
      </c>
      <c r="N794" s="4">
        <v>123120</v>
      </c>
      <c r="O794" t="s">
        <v>85</v>
      </c>
      <c r="Q794" t="s">
        <v>41</v>
      </c>
      <c r="R794">
        <v>1</v>
      </c>
    </row>
    <row r="795" spans="1:18" x14ac:dyDescent="0.3">
      <c r="A795" t="s">
        <v>1930</v>
      </c>
      <c r="B795" s="1">
        <v>45805</v>
      </c>
      <c r="C795" t="s">
        <v>94</v>
      </c>
      <c r="D795" t="s">
        <v>39</v>
      </c>
      <c r="E795">
        <v>43</v>
      </c>
      <c r="F795" t="s">
        <v>77</v>
      </c>
      <c r="G795" t="s">
        <v>95</v>
      </c>
      <c r="H795" t="s">
        <v>22</v>
      </c>
      <c r="I795" t="s">
        <v>84</v>
      </c>
      <c r="J795" t="s">
        <v>24</v>
      </c>
      <c r="K795">
        <v>7</v>
      </c>
      <c r="L795" s="4">
        <v>41500</v>
      </c>
      <c r="M795">
        <v>15</v>
      </c>
      <c r="N795" s="4">
        <v>246925</v>
      </c>
      <c r="O795" t="s">
        <v>85</v>
      </c>
      <c r="P795">
        <v>3</v>
      </c>
      <c r="Q795" t="s">
        <v>41</v>
      </c>
      <c r="R795">
        <v>1</v>
      </c>
    </row>
    <row r="796" spans="1:18" x14ac:dyDescent="0.3">
      <c r="A796" t="s">
        <v>1932</v>
      </c>
      <c r="B796" s="1">
        <v>46173</v>
      </c>
      <c r="C796" t="s">
        <v>29</v>
      </c>
      <c r="D796" t="s">
        <v>20</v>
      </c>
      <c r="E796">
        <v>22</v>
      </c>
      <c r="F796" t="s">
        <v>77</v>
      </c>
      <c r="G796" t="s">
        <v>95</v>
      </c>
      <c r="H796" t="s">
        <v>22</v>
      </c>
      <c r="I796" t="s">
        <v>23</v>
      </c>
      <c r="J796" t="s">
        <v>72</v>
      </c>
      <c r="K796">
        <v>1</v>
      </c>
      <c r="L796" s="4">
        <v>29700</v>
      </c>
      <c r="M796">
        <v>5</v>
      </c>
      <c r="N796" s="4">
        <v>28215</v>
      </c>
      <c r="O796" t="s">
        <v>85</v>
      </c>
      <c r="P796">
        <v>3</v>
      </c>
      <c r="Q796" t="s">
        <v>65</v>
      </c>
      <c r="R796">
        <v>0</v>
      </c>
    </row>
    <row r="797" spans="1:18" x14ac:dyDescent="0.3">
      <c r="A797" t="s">
        <v>1933</v>
      </c>
      <c r="B797" s="1">
        <v>45767</v>
      </c>
      <c r="C797" t="s">
        <v>60</v>
      </c>
      <c r="D797" t="s">
        <v>20</v>
      </c>
      <c r="E797">
        <v>52</v>
      </c>
      <c r="F797" t="s">
        <v>44</v>
      </c>
      <c r="G797" t="s">
        <v>45</v>
      </c>
      <c r="H797" t="s">
        <v>22</v>
      </c>
      <c r="I797" t="s">
        <v>23</v>
      </c>
      <c r="J797" t="s">
        <v>34</v>
      </c>
      <c r="K797">
        <v>6</v>
      </c>
      <c r="L797" s="4">
        <v>28300</v>
      </c>
      <c r="M797">
        <v>20</v>
      </c>
      <c r="N797" s="4">
        <v>135840</v>
      </c>
      <c r="O797" t="s">
        <v>73</v>
      </c>
      <c r="P797">
        <v>5</v>
      </c>
      <c r="Q797" t="s">
        <v>41</v>
      </c>
      <c r="R797">
        <v>1</v>
      </c>
    </row>
    <row r="798" spans="1:18" x14ac:dyDescent="0.3">
      <c r="A798" t="s">
        <v>1934</v>
      </c>
      <c r="B798" s="1">
        <v>45802</v>
      </c>
      <c r="C798" t="s">
        <v>68</v>
      </c>
      <c r="D798" t="s">
        <v>39</v>
      </c>
      <c r="E798">
        <v>20</v>
      </c>
      <c r="F798" t="s">
        <v>21</v>
      </c>
      <c r="G798" t="s">
        <v>21</v>
      </c>
      <c r="H798" t="s">
        <v>32</v>
      </c>
      <c r="I798" t="s">
        <v>33</v>
      </c>
      <c r="J798" t="s">
        <v>24</v>
      </c>
      <c r="K798">
        <v>9</v>
      </c>
      <c r="L798" s="4">
        <v>8900</v>
      </c>
      <c r="M798">
        <v>0</v>
      </c>
      <c r="N798" s="4">
        <v>80100</v>
      </c>
      <c r="O798" t="s">
        <v>85</v>
      </c>
      <c r="P798">
        <v>1</v>
      </c>
      <c r="Q798" t="s">
        <v>65</v>
      </c>
      <c r="R798">
        <v>0</v>
      </c>
    </row>
    <row r="799" spans="1:18" x14ac:dyDescent="0.3">
      <c r="A799" t="s">
        <v>1936</v>
      </c>
      <c r="B799" s="1">
        <v>46154</v>
      </c>
      <c r="C799" t="s">
        <v>113</v>
      </c>
      <c r="D799" t="s">
        <v>3292</v>
      </c>
      <c r="E799">
        <v>49</v>
      </c>
      <c r="F799" t="s">
        <v>61</v>
      </c>
      <c r="G799" t="s">
        <v>61</v>
      </c>
      <c r="H799" t="s">
        <v>22</v>
      </c>
      <c r="I799" t="s">
        <v>23</v>
      </c>
      <c r="J799" t="s">
        <v>72</v>
      </c>
      <c r="K799">
        <v>5</v>
      </c>
      <c r="L799" s="4">
        <v>25900</v>
      </c>
      <c r="M799">
        <v>5</v>
      </c>
      <c r="N799" s="4">
        <v>123025</v>
      </c>
      <c r="O799" t="s">
        <v>25</v>
      </c>
      <c r="P799">
        <v>2</v>
      </c>
      <c r="Q799" t="s">
        <v>41</v>
      </c>
      <c r="R799">
        <v>1</v>
      </c>
    </row>
    <row r="800" spans="1:18" x14ac:dyDescent="0.3">
      <c r="A800" t="s">
        <v>1940</v>
      </c>
      <c r="B800" s="1">
        <v>45785</v>
      </c>
      <c r="C800" t="s">
        <v>38</v>
      </c>
      <c r="D800" t="s">
        <v>39</v>
      </c>
      <c r="E800">
        <v>25</v>
      </c>
      <c r="F800" t="s">
        <v>61</v>
      </c>
      <c r="G800" t="s">
        <v>61</v>
      </c>
      <c r="H800" t="s">
        <v>22</v>
      </c>
      <c r="I800" t="s">
        <v>23</v>
      </c>
      <c r="J800" t="s">
        <v>89</v>
      </c>
      <c r="K800">
        <v>8</v>
      </c>
      <c r="L800" s="4">
        <v>13700</v>
      </c>
      <c r="M800">
        <v>20</v>
      </c>
      <c r="N800" s="4">
        <v>87680</v>
      </c>
      <c r="O800" t="s">
        <v>85</v>
      </c>
      <c r="P800">
        <v>1</v>
      </c>
      <c r="Q800" t="s">
        <v>74</v>
      </c>
      <c r="R800">
        <v>0</v>
      </c>
    </row>
    <row r="801" spans="1:18" x14ac:dyDescent="0.3">
      <c r="A801" t="s">
        <v>1941</v>
      </c>
      <c r="B801" s="1">
        <v>46049</v>
      </c>
      <c r="C801" t="s">
        <v>113</v>
      </c>
      <c r="D801" t="s">
        <v>3292</v>
      </c>
      <c r="E801">
        <v>19</v>
      </c>
      <c r="F801" t="s">
        <v>77</v>
      </c>
      <c r="G801" t="s">
        <v>95</v>
      </c>
      <c r="H801" t="s">
        <v>62</v>
      </c>
      <c r="I801" t="s">
        <v>140</v>
      </c>
      <c r="J801" t="s">
        <v>72</v>
      </c>
      <c r="K801">
        <v>10</v>
      </c>
      <c r="L801" s="4">
        <v>40600</v>
      </c>
      <c r="M801">
        <v>10</v>
      </c>
      <c r="N801" s="4">
        <v>365400</v>
      </c>
      <c r="O801" t="s">
        <v>73</v>
      </c>
      <c r="P801">
        <v>3</v>
      </c>
      <c r="Q801" t="s">
        <v>41</v>
      </c>
      <c r="R801">
        <v>1</v>
      </c>
    </row>
    <row r="802" spans="1:18" x14ac:dyDescent="0.3">
      <c r="A802" t="s">
        <v>1942</v>
      </c>
      <c r="B802" s="1">
        <v>45820</v>
      </c>
      <c r="C802" t="s">
        <v>60</v>
      </c>
      <c r="D802" t="s">
        <v>20</v>
      </c>
      <c r="E802">
        <v>23</v>
      </c>
      <c r="F802" t="s">
        <v>61</v>
      </c>
      <c r="G802" t="s">
        <v>61</v>
      </c>
      <c r="H802" t="s">
        <v>62</v>
      </c>
      <c r="I802" t="s">
        <v>63</v>
      </c>
      <c r="J802" t="s">
        <v>72</v>
      </c>
      <c r="K802">
        <v>1</v>
      </c>
      <c r="L802" s="4">
        <v>28500</v>
      </c>
      <c r="M802">
        <v>0</v>
      </c>
      <c r="N802" s="4">
        <v>28500</v>
      </c>
      <c r="O802" t="s">
        <v>85</v>
      </c>
      <c r="P802">
        <v>4</v>
      </c>
      <c r="Q802" t="s">
        <v>26</v>
      </c>
      <c r="R802">
        <v>0</v>
      </c>
    </row>
    <row r="803" spans="1:18" x14ac:dyDescent="0.3">
      <c r="A803" t="s">
        <v>1946</v>
      </c>
      <c r="B803" s="1">
        <v>46117</v>
      </c>
      <c r="C803" t="s">
        <v>68</v>
      </c>
      <c r="D803" t="s">
        <v>20</v>
      </c>
      <c r="E803">
        <v>39</v>
      </c>
      <c r="F803" t="s">
        <v>21</v>
      </c>
      <c r="G803" t="s">
        <v>21</v>
      </c>
      <c r="H803" t="s">
        <v>62</v>
      </c>
      <c r="I803" t="s">
        <v>63</v>
      </c>
      <c r="J803" t="s">
        <v>24</v>
      </c>
      <c r="K803">
        <v>3</v>
      </c>
      <c r="L803" s="4">
        <v>32500</v>
      </c>
      <c r="M803">
        <v>10</v>
      </c>
      <c r="N803" s="4">
        <v>87750</v>
      </c>
      <c r="O803" t="s">
        <v>85</v>
      </c>
      <c r="P803">
        <v>4</v>
      </c>
      <c r="Q803" t="s">
        <v>41</v>
      </c>
      <c r="R803">
        <v>1</v>
      </c>
    </row>
    <row r="804" spans="1:18" x14ac:dyDescent="0.3">
      <c r="A804" t="s">
        <v>1950</v>
      </c>
      <c r="B804" s="1">
        <v>46112</v>
      </c>
      <c r="C804" t="s">
        <v>60</v>
      </c>
      <c r="D804" t="s">
        <v>39</v>
      </c>
      <c r="E804">
        <v>22</v>
      </c>
      <c r="F804" t="s">
        <v>21</v>
      </c>
      <c r="G804" t="s">
        <v>21</v>
      </c>
      <c r="H804" t="s">
        <v>62</v>
      </c>
      <c r="I804" t="s">
        <v>63</v>
      </c>
      <c r="J804" t="s">
        <v>80</v>
      </c>
      <c r="K804">
        <v>8</v>
      </c>
      <c r="L804" s="4">
        <v>6900</v>
      </c>
      <c r="M804">
        <v>15</v>
      </c>
      <c r="N804" s="4">
        <v>46920</v>
      </c>
      <c r="O804" t="s">
        <v>85</v>
      </c>
      <c r="P804">
        <v>1</v>
      </c>
      <c r="Q804" t="s">
        <v>41</v>
      </c>
      <c r="R804">
        <v>1</v>
      </c>
    </row>
    <row r="805" spans="1:18" x14ac:dyDescent="0.3">
      <c r="A805" t="s">
        <v>1951</v>
      </c>
      <c r="B805" s="1">
        <v>45689</v>
      </c>
      <c r="C805" t="s">
        <v>60</v>
      </c>
      <c r="D805" t="s">
        <v>20</v>
      </c>
      <c r="E805">
        <v>62</v>
      </c>
      <c r="F805" t="s">
        <v>61</v>
      </c>
      <c r="G805" t="s">
        <v>61</v>
      </c>
      <c r="H805" t="s">
        <v>22</v>
      </c>
      <c r="I805" t="s">
        <v>84</v>
      </c>
      <c r="J805" t="s">
        <v>89</v>
      </c>
      <c r="K805">
        <v>7</v>
      </c>
      <c r="L805" s="4">
        <v>16000</v>
      </c>
      <c r="M805">
        <v>0</v>
      </c>
      <c r="N805" s="4">
        <v>112000</v>
      </c>
      <c r="O805" t="s">
        <v>25</v>
      </c>
      <c r="P805">
        <v>1</v>
      </c>
      <c r="Q805" t="s">
        <v>74</v>
      </c>
      <c r="R805">
        <v>0</v>
      </c>
    </row>
    <row r="806" spans="1:18" x14ac:dyDescent="0.3">
      <c r="A806" t="s">
        <v>1955</v>
      </c>
      <c r="B806" s="1">
        <v>46062</v>
      </c>
      <c r="C806" t="s">
        <v>88</v>
      </c>
      <c r="D806" t="s">
        <v>3292</v>
      </c>
      <c r="E806">
        <v>53</v>
      </c>
      <c r="F806" t="s">
        <v>51</v>
      </c>
      <c r="G806" t="s">
        <v>52</v>
      </c>
      <c r="H806" t="s">
        <v>46</v>
      </c>
      <c r="I806" t="s">
        <v>79</v>
      </c>
      <c r="J806" t="s">
        <v>64</v>
      </c>
      <c r="K806">
        <v>1</v>
      </c>
      <c r="L806" s="4">
        <v>34100</v>
      </c>
      <c r="M806">
        <v>5</v>
      </c>
      <c r="N806" s="4">
        <v>32395</v>
      </c>
      <c r="O806" t="s">
        <v>73</v>
      </c>
      <c r="Q806" t="s">
        <v>65</v>
      </c>
      <c r="R806">
        <v>0</v>
      </c>
    </row>
    <row r="807" spans="1:18" x14ac:dyDescent="0.3">
      <c r="A807" t="s">
        <v>1958</v>
      </c>
      <c r="B807" s="1">
        <v>46055</v>
      </c>
      <c r="C807" t="s">
        <v>113</v>
      </c>
      <c r="D807" t="s">
        <v>39</v>
      </c>
      <c r="E807">
        <v>20</v>
      </c>
      <c r="F807" t="s">
        <v>21</v>
      </c>
      <c r="G807" t="s">
        <v>21</v>
      </c>
      <c r="H807" t="s">
        <v>32</v>
      </c>
      <c r="I807" t="s">
        <v>53</v>
      </c>
      <c r="J807" t="s">
        <v>80</v>
      </c>
      <c r="K807">
        <v>3</v>
      </c>
      <c r="L807" s="4">
        <v>8000</v>
      </c>
      <c r="M807">
        <v>15</v>
      </c>
      <c r="N807" s="4">
        <v>20400</v>
      </c>
      <c r="O807" t="s">
        <v>73</v>
      </c>
      <c r="Q807" t="s">
        <v>26</v>
      </c>
      <c r="R807">
        <v>0</v>
      </c>
    </row>
    <row r="808" spans="1:18" x14ac:dyDescent="0.3">
      <c r="A808" t="s">
        <v>1960</v>
      </c>
      <c r="B808" s="1">
        <v>45970</v>
      </c>
      <c r="C808" t="s">
        <v>38</v>
      </c>
      <c r="D808" t="s">
        <v>20</v>
      </c>
      <c r="E808">
        <v>20</v>
      </c>
      <c r="F808" t="s">
        <v>77</v>
      </c>
      <c r="G808" t="s">
        <v>78</v>
      </c>
      <c r="H808" t="s">
        <v>46</v>
      </c>
      <c r="I808" t="s">
        <v>47</v>
      </c>
      <c r="J808" t="s">
        <v>72</v>
      </c>
      <c r="K808">
        <v>6</v>
      </c>
      <c r="L808" s="4">
        <v>22400</v>
      </c>
      <c r="M808">
        <v>20</v>
      </c>
      <c r="N808" s="4">
        <v>107520</v>
      </c>
      <c r="O808" t="s">
        <v>25</v>
      </c>
      <c r="P808">
        <v>4</v>
      </c>
      <c r="Q808" t="s">
        <v>65</v>
      </c>
      <c r="R808">
        <v>0</v>
      </c>
    </row>
    <row r="809" spans="1:18" x14ac:dyDescent="0.3">
      <c r="A809" t="s">
        <v>1964</v>
      </c>
      <c r="B809" s="1">
        <v>45934</v>
      </c>
      <c r="C809" t="s">
        <v>60</v>
      </c>
      <c r="D809" t="s">
        <v>39</v>
      </c>
      <c r="E809">
        <v>30</v>
      </c>
      <c r="F809" t="s">
        <v>61</v>
      </c>
      <c r="G809" t="s">
        <v>61</v>
      </c>
      <c r="H809" t="s">
        <v>32</v>
      </c>
      <c r="I809" t="s">
        <v>33</v>
      </c>
      <c r="J809" t="s">
        <v>64</v>
      </c>
      <c r="K809">
        <v>2</v>
      </c>
      <c r="L809" s="4">
        <v>34100</v>
      </c>
      <c r="M809">
        <v>10</v>
      </c>
      <c r="N809" s="4">
        <v>61380</v>
      </c>
      <c r="O809" t="s">
        <v>85</v>
      </c>
      <c r="Q809" t="s">
        <v>41</v>
      </c>
      <c r="R809">
        <v>1</v>
      </c>
    </row>
    <row r="810" spans="1:18" x14ac:dyDescent="0.3">
      <c r="A810" t="s">
        <v>1965</v>
      </c>
      <c r="B810" s="1">
        <v>45756</v>
      </c>
      <c r="C810" t="s">
        <v>94</v>
      </c>
      <c r="D810" t="s">
        <v>39</v>
      </c>
      <c r="E810">
        <v>65</v>
      </c>
      <c r="F810" t="s">
        <v>77</v>
      </c>
      <c r="G810" t="s">
        <v>95</v>
      </c>
      <c r="H810" t="s">
        <v>62</v>
      </c>
      <c r="I810" t="s">
        <v>63</v>
      </c>
      <c r="J810" t="s">
        <v>64</v>
      </c>
      <c r="K810">
        <v>4</v>
      </c>
      <c r="L810" s="4">
        <v>15900</v>
      </c>
      <c r="M810">
        <v>10</v>
      </c>
      <c r="N810" s="4">
        <v>57240</v>
      </c>
      <c r="O810" t="s">
        <v>85</v>
      </c>
      <c r="P810">
        <v>1</v>
      </c>
      <c r="Q810" t="s">
        <v>74</v>
      </c>
      <c r="R810">
        <v>0</v>
      </c>
    </row>
    <row r="811" spans="1:18" x14ac:dyDescent="0.3">
      <c r="A811" t="s">
        <v>1967</v>
      </c>
      <c r="B811" s="1">
        <v>45994</v>
      </c>
      <c r="C811" t="s">
        <v>71</v>
      </c>
      <c r="D811" t="s">
        <v>39</v>
      </c>
      <c r="E811">
        <v>50</v>
      </c>
      <c r="F811" t="s">
        <v>51</v>
      </c>
      <c r="G811" t="s">
        <v>104</v>
      </c>
      <c r="H811" t="s">
        <v>46</v>
      </c>
      <c r="I811" t="s">
        <v>47</v>
      </c>
      <c r="J811" t="s">
        <v>64</v>
      </c>
      <c r="K811">
        <v>2</v>
      </c>
      <c r="L811" s="4">
        <v>34900</v>
      </c>
      <c r="M811">
        <v>20</v>
      </c>
      <c r="N811" s="4">
        <v>55840</v>
      </c>
      <c r="O811" t="s">
        <v>25</v>
      </c>
      <c r="Q811" t="s">
        <v>65</v>
      </c>
      <c r="R811">
        <v>0</v>
      </c>
    </row>
    <row r="812" spans="1:18" x14ac:dyDescent="0.3">
      <c r="A812" t="s">
        <v>1968</v>
      </c>
      <c r="B812" s="1">
        <v>46120</v>
      </c>
      <c r="C812" t="s">
        <v>113</v>
      </c>
      <c r="D812" t="s">
        <v>20</v>
      </c>
      <c r="E812">
        <v>33</v>
      </c>
      <c r="F812" t="s">
        <v>44</v>
      </c>
      <c r="G812" t="s">
        <v>100</v>
      </c>
      <c r="H812" t="s">
        <v>62</v>
      </c>
      <c r="I812" t="s">
        <v>63</v>
      </c>
      <c r="J812" t="s">
        <v>34</v>
      </c>
      <c r="K812">
        <v>7</v>
      </c>
      <c r="L812" s="4">
        <v>28500</v>
      </c>
      <c r="M812">
        <v>5</v>
      </c>
      <c r="N812" s="4">
        <v>189525</v>
      </c>
      <c r="O812" t="s">
        <v>25</v>
      </c>
      <c r="P812">
        <v>1</v>
      </c>
      <c r="Q812" t="s">
        <v>41</v>
      </c>
      <c r="R812">
        <v>1</v>
      </c>
    </row>
    <row r="813" spans="1:18" x14ac:dyDescent="0.3">
      <c r="A813" t="s">
        <v>1969</v>
      </c>
      <c r="B813" s="1">
        <v>45916</v>
      </c>
      <c r="C813" t="s">
        <v>94</v>
      </c>
      <c r="D813" t="s">
        <v>20</v>
      </c>
      <c r="E813">
        <v>58</v>
      </c>
      <c r="F813" t="s">
        <v>30</v>
      </c>
      <c r="G813" t="s">
        <v>31</v>
      </c>
      <c r="H813" t="s">
        <v>46</v>
      </c>
      <c r="I813" t="s">
        <v>47</v>
      </c>
      <c r="J813" t="s">
        <v>34</v>
      </c>
      <c r="K813">
        <v>5</v>
      </c>
      <c r="L813" s="4">
        <v>16300</v>
      </c>
      <c r="M813">
        <v>5</v>
      </c>
      <c r="N813" s="4">
        <v>77425</v>
      </c>
      <c r="O813" t="s">
        <v>85</v>
      </c>
      <c r="P813">
        <v>3</v>
      </c>
      <c r="Q813" t="s">
        <v>41</v>
      </c>
      <c r="R813">
        <v>1</v>
      </c>
    </row>
    <row r="814" spans="1:18" x14ac:dyDescent="0.3">
      <c r="A814" t="s">
        <v>1970</v>
      </c>
      <c r="B814" s="1">
        <v>46077</v>
      </c>
      <c r="C814" t="s">
        <v>88</v>
      </c>
      <c r="D814" t="s">
        <v>20</v>
      </c>
      <c r="E814">
        <v>25</v>
      </c>
      <c r="F814" t="s">
        <v>51</v>
      </c>
      <c r="G814" t="s">
        <v>104</v>
      </c>
      <c r="H814" t="s">
        <v>62</v>
      </c>
      <c r="I814" t="s">
        <v>63</v>
      </c>
      <c r="J814" t="s">
        <v>89</v>
      </c>
      <c r="K814">
        <v>5</v>
      </c>
      <c r="L814" s="4">
        <v>12900</v>
      </c>
      <c r="M814">
        <v>15</v>
      </c>
      <c r="N814" s="4">
        <v>54825</v>
      </c>
      <c r="O814" t="s">
        <v>25</v>
      </c>
      <c r="P814">
        <v>2</v>
      </c>
      <c r="Q814" t="s">
        <v>26</v>
      </c>
      <c r="R814">
        <v>0</v>
      </c>
    </row>
    <row r="815" spans="1:18" x14ac:dyDescent="0.3">
      <c r="A815" t="s">
        <v>1973</v>
      </c>
      <c r="B815" s="1">
        <v>46165</v>
      </c>
      <c r="C815" t="s">
        <v>71</v>
      </c>
      <c r="D815" t="s">
        <v>3292</v>
      </c>
      <c r="E815">
        <v>21</v>
      </c>
      <c r="F815" t="s">
        <v>61</v>
      </c>
      <c r="G815" t="s">
        <v>61</v>
      </c>
      <c r="H815" t="s">
        <v>46</v>
      </c>
      <c r="I815" t="s">
        <v>79</v>
      </c>
      <c r="J815" t="s">
        <v>80</v>
      </c>
      <c r="K815">
        <v>9</v>
      </c>
      <c r="L815" s="4">
        <v>4100</v>
      </c>
      <c r="M815">
        <v>0</v>
      </c>
      <c r="N815" s="4">
        <v>36900</v>
      </c>
      <c r="O815" t="s">
        <v>25</v>
      </c>
      <c r="Q815" t="s">
        <v>65</v>
      </c>
      <c r="R815">
        <v>0</v>
      </c>
    </row>
    <row r="816" spans="1:18" x14ac:dyDescent="0.3">
      <c r="A816" t="s">
        <v>1975</v>
      </c>
      <c r="B816" s="1">
        <v>45849</v>
      </c>
      <c r="C816" t="s">
        <v>88</v>
      </c>
      <c r="D816" t="s">
        <v>20</v>
      </c>
      <c r="E816">
        <v>42</v>
      </c>
      <c r="F816" t="s">
        <v>61</v>
      </c>
      <c r="G816" t="s">
        <v>61</v>
      </c>
      <c r="H816" t="s">
        <v>62</v>
      </c>
      <c r="I816" t="s">
        <v>140</v>
      </c>
      <c r="J816" t="s">
        <v>72</v>
      </c>
      <c r="K816">
        <v>8</v>
      </c>
      <c r="L816" s="4">
        <v>45800</v>
      </c>
      <c r="M816">
        <v>25</v>
      </c>
      <c r="N816" s="4">
        <v>274800</v>
      </c>
      <c r="O816" t="s">
        <v>85</v>
      </c>
      <c r="Q816" t="s">
        <v>41</v>
      </c>
      <c r="R816">
        <v>1</v>
      </c>
    </row>
    <row r="817" spans="1:18" x14ac:dyDescent="0.3">
      <c r="A817" t="s">
        <v>1978</v>
      </c>
      <c r="B817" s="1">
        <v>46048</v>
      </c>
      <c r="C817" t="s">
        <v>19</v>
      </c>
      <c r="D817" t="s">
        <v>20</v>
      </c>
      <c r="E817">
        <v>61</v>
      </c>
      <c r="F817" t="s">
        <v>30</v>
      </c>
      <c r="G817" t="s">
        <v>31</v>
      </c>
      <c r="H817" t="s">
        <v>62</v>
      </c>
      <c r="I817" t="s">
        <v>140</v>
      </c>
      <c r="J817" t="s">
        <v>34</v>
      </c>
      <c r="K817">
        <v>10</v>
      </c>
      <c r="L817" s="4">
        <v>2400</v>
      </c>
      <c r="M817">
        <v>20</v>
      </c>
      <c r="N817" s="4">
        <v>19200</v>
      </c>
      <c r="O817" t="s">
        <v>25</v>
      </c>
      <c r="P817">
        <v>1</v>
      </c>
      <c r="Q817" t="s">
        <v>26</v>
      </c>
      <c r="R817">
        <v>0</v>
      </c>
    </row>
    <row r="818" spans="1:18" x14ac:dyDescent="0.3">
      <c r="A818" t="s">
        <v>1979</v>
      </c>
      <c r="B818" s="1">
        <v>46114</v>
      </c>
      <c r="C818" t="s">
        <v>113</v>
      </c>
      <c r="D818" t="s">
        <v>20</v>
      </c>
      <c r="E818">
        <v>59</v>
      </c>
      <c r="F818" t="s">
        <v>77</v>
      </c>
      <c r="G818" t="s">
        <v>95</v>
      </c>
      <c r="H818" t="s">
        <v>32</v>
      </c>
      <c r="I818" t="s">
        <v>33</v>
      </c>
      <c r="J818" t="s">
        <v>89</v>
      </c>
      <c r="K818">
        <v>4</v>
      </c>
      <c r="L818" s="4">
        <v>39300</v>
      </c>
      <c r="M818">
        <v>10</v>
      </c>
      <c r="N818" s="4">
        <v>141480</v>
      </c>
      <c r="O818" t="s">
        <v>25</v>
      </c>
      <c r="P818">
        <v>4</v>
      </c>
      <c r="Q818" t="s">
        <v>41</v>
      </c>
      <c r="R818">
        <v>1</v>
      </c>
    </row>
    <row r="819" spans="1:18" x14ac:dyDescent="0.3">
      <c r="A819" t="s">
        <v>1981</v>
      </c>
      <c r="B819" s="1">
        <v>45769</v>
      </c>
      <c r="C819" t="s">
        <v>88</v>
      </c>
      <c r="D819" t="s">
        <v>20</v>
      </c>
      <c r="E819">
        <v>63</v>
      </c>
      <c r="F819" t="s">
        <v>51</v>
      </c>
      <c r="G819" t="s">
        <v>52</v>
      </c>
      <c r="H819" t="s">
        <v>46</v>
      </c>
      <c r="I819" t="s">
        <v>79</v>
      </c>
      <c r="J819" t="s">
        <v>64</v>
      </c>
      <c r="K819">
        <v>3</v>
      </c>
      <c r="L819" s="4">
        <v>33800</v>
      </c>
      <c r="M819">
        <v>20</v>
      </c>
      <c r="N819" s="4">
        <v>81120</v>
      </c>
      <c r="O819" t="s">
        <v>85</v>
      </c>
      <c r="Q819" t="s">
        <v>26</v>
      </c>
      <c r="R819">
        <v>0</v>
      </c>
    </row>
    <row r="820" spans="1:18" x14ac:dyDescent="0.3">
      <c r="A820" t="s">
        <v>1983</v>
      </c>
      <c r="B820" s="1">
        <v>45873</v>
      </c>
      <c r="C820" t="s">
        <v>29</v>
      </c>
      <c r="D820" t="s">
        <v>20</v>
      </c>
      <c r="E820">
        <v>28</v>
      </c>
      <c r="F820" t="s">
        <v>77</v>
      </c>
      <c r="G820" t="s">
        <v>78</v>
      </c>
      <c r="H820" t="s">
        <v>22</v>
      </c>
      <c r="I820" t="s">
        <v>23</v>
      </c>
      <c r="J820" t="s">
        <v>80</v>
      </c>
      <c r="K820">
        <v>7</v>
      </c>
      <c r="L820" s="4">
        <v>40800</v>
      </c>
      <c r="M820">
        <v>0</v>
      </c>
      <c r="N820" s="4">
        <v>285600</v>
      </c>
      <c r="O820" t="s">
        <v>85</v>
      </c>
      <c r="P820">
        <v>5</v>
      </c>
      <c r="Q820" t="s">
        <v>41</v>
      </c>
      <c r="R820">
        <v>1</v>
      </c>
    </row>
    <row r="821" spans="1:18" x14ac:dyDescent="0.3">
      <c r="A821" t="s">
        <v>1986</v>
      </c>
      <c r="B821" s="1">
        <v>45845</v>
      </c>
      <c r="C821" t="s">
        <v>94</v>
      </c>
      <c r="D821" t="s">
        <v>20</v>
      </c>
      <c r="E821">
        <v>59</v>
      </c>
      <c r="F821" t="s">
        <v>44</v>
      </c>
      <c r="G821" t="s">
        <v>45</v>
      </c>
      <c r="H821" t="s">
        <v>22</v>
      </c>
      <c r="I821" t="s">
        <v>23</v>
      </c>
      <c r="J821" t="s">
        <v>24</v>
      </c>
      <c r="K821">
        <v>6</v>
      </c>
      <c r="L821" s="4">
        <v>28900</v>
      </c>
      <c r="M821">
        <v>15</v>
      </c>
      <c r="N821" s="4">
        <v>147390</v>
      </c>
      <c r="O821" t="s">
        <v>85</v>
      </c>
      <c r="P821">
        <v>5</v>
      </c>
      <c r="Q821" t="s">
        <v>26</v>
      </c>
      <c r="R821">
        <v>0</v>
      </c>
    </row>
    <row r="822" spans="1:18" x14ac:dyDescent="0.3">
      <c r="A822" t="s">
        <v>1988</v>
      </c>
      <c r="B822" s="1">
        <v>45981</v>
      </c>
      <c r="C822" t="s">
        <v>29</v>
      </c>
      <c r="D822" t="s">
        <v>39</v>
      </c>
      <c r="E822">
        <v>64</v>
      </c>
      <c r="F822" t="s">
        <v>30</v>
      </c>
      <c r="G822" t="s">
        <v>57</v>
      </c>
      <c r="H822" t="s">
        <v>32</v>
      </c>
      <c r="I822" t="s">
        <v>33</v>
      </c>
      <c r="J822" t="s">
        <v>80</v>
      </c>
      <c r="K822">
        <v>4</v>
      </c>
      <c r="L822" s="4">
        <v>11400</v>
      </c>
      <c r="M822">
        <v>15</v>
      </c>
      <c r="N822" s="4">
        <v>38760</v>
      </c>
      <c r="O822" t="s">
        <v>3293</v>
      </c>
      <c r="P822">
        <v>1</v>
      </c>
      <c r="Q822" t="s">
        <v>74</v>
      </c>
      <c r="R822">
        <v>0</v>
      </c>
    </row>
    <row r="823" spans="1:18" x14ac:dyDescent="0.3">
      <c r="A823" t="s">
        <v>1990</v>
      </c>
      <c r="B823" s="1">
        <v>45919</v>
      </c>
      <c r="C823" t="s">
        <v>38</v>
      </c>
      <c r="D823" t="s">
        <v>3292</v>
      </c>
      <c r="E823">
        <v>19</v>
      </c>
      <c r="F823" t="s">
        <v>77</v>
      </c>
      <c r="G823" t="s">
        <v>78</v>
      </c>
      <c r="H823" t="s">
        <v>32</v>
      </c>
      <c r="I823" t="s">
        <v>33</v>
      </c>
      <c r="J823" t="s">
        <v>24</v>
      </c>
      <c r="K823">
        <v>4</v>
      </c>
      <c r="L823" s="4">
        <v>4000</v>
      </c>
      <c r="M823">
        <v>20</v>
      </c>
      <c r="N823" s="4">
        <v>12800</v>
      </c>
      <c r="O823" t="s">
        <v>85</v>
      </c>
      <c r="P823">
        <v>2</v>
      </c>
      <c r="Q823" t="s">
        <v>41</v>
      </c>
      <c r="R823">
        <v>1</v>
      </c>
    </row>
    <row r="824" spans="1:18" x14ac:dyDescent="0.3">
      <c r="A824" t="s">
        <v>1992</v>
      </c>
      <c r="B824" s="1">
        <v>45898</v>
      </c>
      <c r="C824" t="s">
        <v>19</v>
      </c>
      <c r="D824" t="s">
        <v>20</v>
      </c>
      <c r="E824">
        <v>42</v>
      </c>
      <c r="F824" t="s">
        <v>44</v>
      </c>
      <c r="G824" t="s">
        <v>100</v>
      </c>
      <c r="H824" t="s">
        <v>22</v>
      </c>
      <c r="I824" t="s">
        <v>84</v>
      </c>
      <c r="J824" t="s">
        <v>34</v>
      </c>
      <c r="K824">
        <v>10</v>
      </c>
      <c r="L824" s="4">
        <v>41100</v>
      </c>
      <c r="M824">
        <v>10</v>
      </c>
      <c r="N824" s="4">
        <v>369900</v>
      </c>
      <c r="O824" t="s">
        <v>85</v>
      </c>
      <c r="Q824" t="s">
        <v>26</v>
      </c>
      <c r="R824">
        <v>0</v>
      </c>
    </row>
    <row r="825" spans="1:18" x14ac:dyDescent="0.3">
      <c r="A825" t="s">
        <v>1993</v>
      </c>
      <c r="B825" s="1">
        <v>45743</v>
      </c>
      <c r="C825" t="s">
        <v>68</v>
      </c>
      <c r="D825" t="s">
        <v>39</v>
      </c>
      <c r="E825">
        <v>22</v>
      </c>
      <c r="F825" t="s">
        <v>30</v>
      </c>
      <c r="G825" t="s">
        <v>31</v>
      </c>
      <c r="H825" t="s">
        <v>46</v>
      </c>
      <c r="I825" t="s">
        <v>79</v>
      </c>
      <c r="J825" t="s">
        <v>24</v>
      </c>
      <c r="K825">
        <v>2</v>
      </c>
      <c r="L825" s="4">
        <v>44400</v>
      </c>
      <c r="M825">
        <v>25</v>
      </c>
      <c r="N825" s="4">
        <v>66600</v>
      </c>
      <c r="O825" t="s">
        <v>73</v>
      </c>
      <c r="P825">
        <v>4</v>
      </c>
      <c r="Q825" t="s">
        <v>74</v>
      </c>
      <c r="R825">
        <v>0</v>
      </c>
    </row>
    <row r="826" spans="1:18" x14ac:dyDescent="0.3">
      <c r="A826" t="s">
        <v>1995</v>
      </c>
      <c r="B826" s="1">
        <v>46193</v>
      </c>
      <c r="C826" t="s">
        <v>88</v>
      </c>
      <c r="D826" t="s">
        <v>20</v>
      </c>
      <c r="E826">
        <v>23</v>
      </c>
      <c r="F826" t="s">
        <v>77</v>
      </c>
      <c r="G826" t="s">
        <v>95</v>
      </c>
      <c r="H826" t="s">
        <v>32</v>
      </c>
      <c r="I826" t="s">
        <v>53</v>
      </c>
      <c r="J826" t="s">
        <v>24</v>
      </c>
      <c r="K826">
        <v>7</v>
      </c>
      <c r="L826" s="4">
        <v>33200</v>
      </c>
      <c r="M826">
        <v>25</v>
      </c>
      <c r="N826" s="4">
        <v>174300</v>
      </c>
      <c r="O826" t="s">
        <v>3293</v>
      </c>
      <c r="P826">
        <v>5</v>
      </c>
      <c r="Q826" t="s">
        <v>65</v>
      </c>
      <c r="R826">
        <v>0</v>
      </c>
    </row>
    <row r="827" spans="1:18" x14ac:dyDescent="0.3">
      <c r="A827" t="s">
        <v>1997</v>
      </c>
      <c r="B827" s="1">
        <v>45887</v>
      </c>
      <c r="C827" t="s">
        <v>68</v>
      </c>
      <c r="D827" t="s">
        <v>39</v>
      </c>
      <c r="E827">
        <v>31</v>
      </c>
      <c r="F827" t="s">
        <v>51</v>
      </c>
      <c r="G827" t="s">
        <v>104</v>
      </c>
      <c r="H827" t="s">
        <v>32</v>
      </c>
      <c r="I827" t="s">
        <v>53</v>
      </c>
      <c r="J827" t="s">
        <v>24</v>
      </c>
      <c r="K827">
        <v>3</v>
      </c>
      <c r="L827" s="4">
        <v>31000</v>
      </c>
      <c r="M827">
        <v>15</v>
      </c>
      <c r="N827" s="4">
        <v>79050</v>
      </c>
      <c r="O827" t="s">
        <v>73</v>
      </c>
      <c r="Q827" t="s">
        <v>26</v>
      </c>
      <c r="R827">
        <v>0</v>
      </c>
    </row>
    <row r="828" spans="1:18" x14ac:dyDescent="0.3">
      <c r="A828" t="s">
        <v>1998</v>
      </c>
      <c r="B828" s="1">
        <v>46176</v>
      </c>
      <c r="C828" t="s">
        <v>94</v>
      </c>
      <c r="D828" t="s">
        <v>20</v>
      </c>
      <c r="E828">
        <v>40</v>
      </c>
      <c r="F828" t="s">
        <v>30</v>
      </c>
      <c r="G828" t="s">
        <v>57</v>
      </c>
      <c r="H828" t="s">
        <v>32</v>
      </c>
      <c r="I828" t="s">
        <v>53</v>
      </c>
      <c r="J828" t="s">
        <v>24</v>
      </c>
      <c r="K828">
        <v>6</v>
      </c>
      <c r="L828" s="4">
        <v>40600</v>
      </c>
      <c r="M828">
        <v>25</v>
      </c>
      <c r="N828" s="4">
        <v>182700</v>
      </c>
      <c r="O828" t="s">
        <v>85</v>
      </c>
      <c r="Q828" t="s">
        <v>41</v>
      </c>
      <c r="R828">
        <v>1</v>
      </c>
    </row>
    <row r="829" spans="1:18" x14ac:dyDescent="0.3">
      <c r="A829" t="s">
        <v>2000</v>
      </c>
      <c r="B829" s="1">
        <v>46120</v>
      </c>
      <c r="C829" t="s">
        <v>88</v>
      </c>
      <c r="D829" t="s">
        <v>3292</v>
      </c>
      <c r="E829">
        <v>43</v>
      </c>
      <c r="F829" t="s">
        <v>44</v>
      </c>
      <c r="G829" t="s">
        <v>100</v>
      </c>
      <c r="H829" t="s">
        <v>46</v>
      </c>
      <c r="I829" t="s">
        <v>79</v>
      </c>
      <c r="J829" t="s">
        <v>72</v>
      </c>
      <c r="K829">
        <v>6</v>
      </c>
      <c r="L829" s="4">
        <v>7400</v>
      </c>
      <c r="M829">
        <v>0</v>
      </c>
      <c r="N829" s="4">
        <v>44400</v>
      </c>
      <c r="O829" t="s">
        <v>73</v>
      </c>
      <c r="P829">
        <v>2</v>
      </c>
      <c r="Q829" t="s">
        <v>65</v>
      </c>
      <c r="R829">
        <v>0</v>
      </c>
    </row>
    <row r="830" spans="1:18" x14ac:dyDescent="0.3">
      <c r="A830" t="s">
        <v>2002</v>
      </c>
      <c r="B830" s="1">
        <v>45885</v>
      </c>
      <c r="C830" t="s">
        <v>38</v>
      </c>
      <c r="D830" t="s">
        <v>39</v>
      </c>
      <c r="E830">
        <v>43</v>
      </c>
      <c r="F830" t="s">
        <v>61</v>
      </c>
      <c r="G830" t="s">
        <v>61</v>
      </c>
      <c r="H830" t="s">
        <v>46</v>
      </c>
      <c r="I830" t="s">
        <v>79</v>
      </c>
      <c r="J830" t="s">
        <v>24</v>
      </c>
      <c r="K830">
        <v>2</v>
      </c>
      <c r="L830" s="4">
        <v>36000</v>
      </c>
      <c r="M830">
        <v>0</v>
      </c>
      <c r="N830" s="4">
        <v>72000</v>
      </c>
      <c r="O830" t="s">
        <v>73</v>
      </c>
      <c r="Q830" t="s">
        <v>26</v>
      </c>
      <c r="R830">
        <v>0</v>
      </c>
    </row>
    <row r="831" spans="1:18" x14ac:dyDescent="0.3">
      <c r="A831" t="s">
        <v>2004</v>
      </c>
      <c r="B831" s="1">
        <v>46095</v>
      </c>
      <c r="C831" t="s">
        <v>94</v>
      </c>
      <c r="D831" t="s">
        <v>39</v>
      </c>
      <c r="E831">
        <v>28</v>
      </c>
      <c r="F831" t="s">
        <v>21</v>
      </c>
      <c r="G831" t="s">
        <v>21</v>
      </c>
      <c r="H831" t="s">
        <v>32</v>
      </c>
      <c r="I831" t="s">
        <v>53</v>
      </c>
      <c r="J831" t="s">
        <v>72</v>
      </c>
      <c r="K831">
        <v>4</v>
      </c>
      <c r="L831" s="4">
        <v>19400</v>
      </c>
      <c r="M831">
        <v>10</v>
      </c>
      <c r="N831" s="4">
        <v>69840</v>
      </c>
      <c r="O831" t="s">
        <v>73</v>
      </c>
      <c r="P831">
        <v>2</v>
      </c>
      <c r="Q831" t="s">
        <v>65</v>
      </c>
      <c r="R831">
        <v>0</v>
      </c>
    </row>
    <row r="832" spans="1:18" x14ac:dyDescent="0.3">
      <c r="A832" t="s">
        <v>2006</v>
      </c>
      <c r="B832" s="1">
        <v>45676</v>
      </c>
      <c r="C832" t="s">
        <v>29</v>
      </c>
      <c r="D832" t="s">
        <v>20</v>
      </c>
      <c r="E832">
        <v>23</v>
      </c>
      <c r="F832" t="s">
        <v>44</v>
      </c>
      <c r="G832" t="s">
        <v>45</v>
      </c>
      <c r="H832" t="s">
        <v>62</v>
      </c>
      <c r="I832" t="s">
        <v>140</v>
      </c>
      <c r="J832" t="s">
        <v>64</v>
      </c>
      <c r="K832">
        <v>9</v>
      </c>
      <c r="L832" s="4">
        <v>14200</v>
      </c>
      <c r="M832">
        <v>25</v>
      </c>
      <c r="N832" s="4">
        <v>95850</v>
      </c>
      <c r="O832" t="s">
        <v>3293</v>
      </c>
      <c r="P832">
        <v>1</v>
      </c>
      <c r="Q832" t="s">
        <v>41</v>
      </c>
      <c r="R832">
        <v>1</v>
      </c>
    </row>
    <row r="833" spans="1:18" x14ac:dyDescent="0.3">
      <c r="A833" t="s">
        <v>2007</v>
      </c>
      <c r="B833" s="1">
        <v>45758</v>
      </c>
      <c r="C833" t="s">
        <v>121</v>
      </c>
      <c r="D833" t="s">
        <v>3292</v>
      </c>
      <c r="E833">
        <v>60</v>
      </c>
      <c r="F833" t="s">
        <v>21</v>
      </c>
      <c r="G833" t="s">
        <v>21</v>
      </c>
      <c r="H833" t="s">
        <v>62</v>
      </c>
      <c r="I833" t="s">
        <v>140</v>
      </c>
      <c r="J833" t="s">
        <v>64</v>
      </c>
      <c r="K833">
        <v>4</v>
      </c>
      <c r="L833" s="4">
        <v>13500</v>
      </c>
      <c r="M833">
        <v>0</v>
      </c>
      <c r="N833" s="4">
        <v>54000</v>
      </c>
      <c r="O833" t="s">
        <v>73</v>
      </c>
      <c r="P833">
        <v>1</v>
      </c>
      <c r="Q833" t="s">
        <v>41</v>
      </c>
      <c r="R833">
        <v>1</v>
      </c>
    </row>
    <row r="834" spans="1:18" x14ac:dyDescent="0.3">
      <c r="A834" t="s">
        <v>2008</v>
      </c>
      <c r="B834" s="1">
        <v>46115</v>
      </c>
      <c r="C834" t="s">
        <v>71</v>
      </c>
      <c r="D834" t="s">
        <v>39</v>
      </c>
      <c r="E834">
        <v>55</v>
      </c>
      <c r="F834" t="s">
        <v>77</v>
      </c>
      <c r="G834" t="s">
        <v>95</v>
      </c>
      <c r="H834" t="s">
        <v>32</v>
      </c>
      <c r="I834" t="s">
        <v>53</v>
      </c>
      <c r="J834" t="s">
        <v>64</v>
      </c>
      <c r="K834">
        <v>7</v>
      </c>
      <c r="L834" s="4">
        <v>39600</v>
      </c>
      <c r="M834">
        <v>5</v>
      </c>
      <c r="N834" s="4">
        <v>263340</v>
      </c>
      <c r="O834" t="s">
        <v>85</v>
      </c>
      <c r="P834">
        <v>4</v>
      </c>
      <c r="Q834" t="s">
        <v>41</v>
      </c>
      <c r="R834">
        <v>1</v>
      </c>
    </row>
    <row r="835" spans="1:18" x14ac:dyDescent="0.3">
      <c r="A835" t="s">
        <v>2010</v>
      </c>
      <c r="B835" s="1">
        <v>45863</v>
      </c>
      <c r="C835" t="s">
        <v>19</v>
      </c>
      <c r="D835" t="s">
        <v>20</v>
      </c>
      <c r="E835">
        <v>45</v>
      </c>
      <c r="F835" t="s">
        <v>51</v>
      </c>
      <c r="G835" t="s">
        <v>104</v>
      </c>
      <c r="H835" t="s">
        <v>22</v>
      </c>
      <c r="I835" t="s">
        <v>84</v>
      </c>
      <c r="J835" t="s">
        <v>34</v>
      </c>
      <c r="K835">
        <v>9</v>
      </c>
      <c r="L835" s="4">
        <v>35800</v>
      </c>
      <c r="M835">
        <v>20</v>
      </c>
      <c r="N835" s="4">
        <v>257760</v>
      </c>
      <c r="O835" t="s">
        <v>73</v>
      </c>
      <c r="Q835" t="s">
        <v>26</v>
      </c>
      <c r="R835">
        <v>0</v>
      </c>
    </row>
    <row r="836" spans="1:18" x14ac:dyDescent="0.3">
      <c r="A836" t="s">
        <v>2013</v>
      </c>
      <c r="B836" s="1">
        <v>46058</v>
      </c>
      <c r="C836" t="s">
        <v>19</v>
      </c>
      <c r="D836" t="s">
        <v>20</v>
      </c>
      <c r="E836">
        <v>38</v>
      </c>
      <c r="F836" t="s">
        <v>44</v>
      </c>
      <c r="G836" t="s">
        <v>100</v>
      </c>
      <c r="H836" t="s">
        <v>22</v>
      </c>
      <c r="I836" t="s">
        <v>84</v>
      </c>
      <c r="J836" t="s">
        <v>80</v>
      </c>
      <c r="K836">
        <v>4</v>
      </c>
      <c r="L836" s="4">
        <v>9200</v>
      </c>
      <c r="M836">
        <v>10</v>
      </c>
      <c r="N836" s="4">
        <v>33120</v>
      </c>
      <c r="O836" t="s">
        <v>73</v>
      </c>
      <c r="Q836" t="s">
        <v>74</v>
      </c>
      <c r="R836">
        <v>0</v>
      </c>
    </row>
    <row r="837" spans="1:18" x14ac:dyDescent="0.3">
      <c r="A837" t="s">
        <v>2014</v>
      </c>
      <c r="B837" s="1">
        <v>46174</v>
      </c>
      <c r="C837" t="s">
        <v>94</v>
      </c>
      <c r="D837" t="s">
        <v>20</v>
      </c>
      <c r="E837">
        <v>28</v>
      </c>
      <c r="F837" t="s">
        <v>30</v>
      </c>
      <c r="G837" t="s">
        <v>57</v>
      </c>
      <c r="H837" t="s">
        <v>62</v>
      </c>
      <c r="I837" t="s">
        <v>140</v>
      </c>
      <c r="J837" t="s">
        <v>34</v>
      </c>
      <c r="K837">
        <v>6</v>
      </c>
      <c r="L837" s="4">
        <v>24400</v>
      </c>
      <c r="M837">
        <v>5</v>
      </c>
      <c r="N837" s="4">
        <v>139080</v>
      </c>
      <c r="O837" t="s">
        <v>73</v>
      </c>
      <c r="Q837" t="s">
        <v>65</v>
      </c>
      <c r="R837">
        <v>0</v>
      </c>
    </row>
    <row r="838" spans="1:18" x14ac:dyDescent="0.3">
      <c r="A838" t="s">
        <v>2015</v>
      </c>
      <c r="B838" s="1">
        <v>46173</v>
      </c>
      <c r="C838" t="s">
        <v>60</v>
      </c>
      <c r="D838" t="s">
        <v>3292</v>
      </c>
      <c r="E838">
        <v>62</v>
      </c>
      <c r="F838" t="s">
        <v>51</v>
      </c>
      <c r="G838" t="s">
        <v>104</v>
      </c>
      <c r="H838" t="s">
        <v>32</v>
      </c>
      <c r="I838" t="s">
        <v>33</v>
      </c>
      <c r="J838" t="s">
        <v>72</v>
      </c>
      <c r="K838">
        <v>2</v>
      </c>
      <c r="L838" s="4">
        <v>28100</v>
      </c>
      <c r="M838">
        <v>20</v>
      </c>
      <c r="N838" s="4">
        <v>44960</v>
      </c>
      <c r="O838" t="s">
        <v>85</v>
      </c>
      <c r="P838">
        <v>4</v>
      </c>
      <c r="Q838" t="s">
        <v>41</v>
      </c>
      <c r="R838">
        <v>1</v>
      </c>
    </row>
    <row r="839" spans="1:18" x14ac:dyDescent="0.3">
      <c r="A839" t="s">
        <v>2016</v>
      </c>
      <c r="B839" s="1">
        <v>45968</v>
      </c>
      <c r="C839" t="s">
        <v>88</v>
      </c>
      <c r="D839" t="s">
        <v>39</v>
      </c>
      <c r="E839">
        <v>31</v>
      </c>
      <c r="F839" t="s">
        <v>61</v>
      </c>
      <c r="G839" t="s">
        <v>61</v>
      </c>
      <c r="H839" t="s">
        <v>46</v>
      </c>
      <c r="I839" t="s">
        <v>47</v>
      </c>
      <c r="J839" t="s">
        <v>80</v>
      </c>
      <c r="K839">
        <v>2</v>
      </c>
      <c r="L839" s="4">
        <v>10400</v>
      </c>
      <c r="M839">
        <v>5</v>
      </c>
      <c r="N839" s="4">
        <v>19760</v>
      </c>
      <c r="O839" t="s">
        <v>25</v>
      </c>
      <c r="P839">
        <v>2</v>
      </c>
      <c r="Q839" t="s">
        <v>26</v>
      </c>
      <c r="R839">
        <v>0</v>
      </c>
    </row>
    <row r="840" spans="1:18" x14ac:dyDescent="0.3">
      <c r="A840" t="s">
        <v>2017</v>
      </c>
      <c r="B840" s="1">
        <v>46186</v>
      </c>
      <c r="C840" t="s">
        <v>29</v>
      </c>
      <c r="D840" t="s">
        <v>39</v>
      </c>
      <c r="E840">
        <v>22</v>
      </c>
      <c r="F840" t="s">
        <v>44</v>
      </c>
      <c r="G840" t="s">
        <v>100</v>
      </c>
      <c r="H840" t="s">
        <v>22</v>
      </c>
      <c r="I840" t="s">
        <v>23</v>
      </c>
      <c r="J840" t="s">
        <v>34</v>
      </c>
      <c r="K840">
        <v>6</v>
      </c>
      <c r="L840" s="4">
        <v>42600</v>
      </c>
      <c r="M840">
        <v>10</v>
      </c>
      <c r="N840" s="4">
        <v>230040</v>
      </c>
      <c r="O840" t="s">
        <v>73</v>
      </c>
      <c r="P840">
        <v>3</v>
      </c>
      <c r="Q840" t="s">
        <v>41</v>
      </c>
      <c r="R840">
        <v>1</v>
      </c>
    </row>
    <row r="841" spans="1:18" x14ac:dyDescent="0.3">
      <c r="A841" t="s">
        <v>2018</v>
      </c>
      <c r="B841" s="1">
        <v>46271</v>
      </c>
      <c r="C841" t="s">
        <v>88</v>
      </c>
      <c r="D841" t="s">
        <v>20</v>
      </c>
      <c r="E841">
        <v>23</v>
      </c>
      <c r="F841" t="s">
        <v>30</v>
      </c>
      <c r="G841" t="s">
        <v>57</v>
      </c>
      <c r="H841" t="s">
        <v>46</v>
      </c>
      <c r="I841" t="s">
        <v>79</v>
      </c>
      <c r="J841" t="s">
        <v>80</v>
      </c>
      <c r="K841">
        <v>10</v>
      </c>
      <c r="L841" s="4">
        <v>21600</v>
      </c>
      <c r="M841">
        <v>25</v>
      </c>
      <c r="N841" s="4">
        <v>162000</v>
      </c>
      <c r="O841" t="s">
        <v>85</v>
      </c>
      <c r="P841">
        <v>2</v>
      </c>
      <c r="Q841" t="s">
        <v>74</v>
      </c>
      <c r="R841">
        <v>0</v>
      </c>
    </row>
    <row r="842" spans="1:18" x14ac:dyDescent="0.3">
      <c r="A842" t="s">
        <v>2020</v>
      </c>
      <c r="B842" s="1">
        <v>45720</v>
      </c>
      <c r="C842" t="s">
        <v>19</v>
      </c>
      <c r="D842" t="s">
        <v>39</v>
      </c>
      <c r="E842">
        <v>20</v>
      </c>
      <c r="F842" t="s">
        <v>61</v>
      </c>
      <c r="G842" t="s">
        <v>61</v>
      </c>
      <c r="H842" t="s">
        <v>22</v>
      </c>
      <c r="I842" t="s">
        <v>84</v>
      </c>
      <c r="J842" t="s">
        <v>80</v>
      </c>
      <c r="K842">
        <v>7</v>
      </c>
      <c r="L842" s="4">
        <v>23600</v>
      </c>
      <c r="M842">
        <v>0</v>
      </c>
      <c r="N842" s="4">
        <v>165200</v>
      </c>
      <c r="O842" t="s">
        <v>85</v>
      </c>
      <c r="P842">
        <v>5</v>
      </c>
      <c r="Q842" t="s">
        <v>74</v>
      </c>
      <c r="R842">
        <v>0</v>
      </c>
    </row>
    <row r="843" spans="1:18" x14ac:dyDescent="0.3">
      <c r="A843" t="s">
        <v>2021</v>
      </c>
      <c r="B843" s="1">
        <v>46090</v>
      </c>
      <c r="C843" t="s">
        <v>60</v>
      </c>
      <c r="D843" t="s">
        <v>39</v>
      </c>
      <c r="E843">
        <v>51</v>
      </c>
      <c r="F843" t="s">
        <v>21</v>
      </c>
      <c r="G843" t="s">
        <v>21</v>
      </c>
      <c r="H843" t="s">
        <v>46</v>
      </c>
      <c r="I843" t="s">
        <v>79</v>
      </c>
      <c r="J843" t="s">
        <v>72</v>
      </c>
      <c r="K843">
        <v>3</v>
      </c>
      <c r="L843" s="4">
        <v>17500</v>
      </c>
      <c r="M843">
        <v>15</v>
      </c>
      <c r="N843" s="4">
        <v>44625</v>
      </c>
      <c r="O843" t="s">
        <v>85</v>
      </c>
      <c r="Q843" t="s">
        <v>41</v>
      </c>
      <c r="R843">
        <v>1</v>
      </c>
    </row>
    <row r="844" spans="1:18" x14ac:dyDescent="0.3">
      <c r="A844" t="s">
        <v>2023</v>
      </c>
      <c r="B844" s="1">
        <v>46051</v>
      </c>
      <c r="C844" t="s">
        <v>60</v>
      </c>
      <c r="D844" t="s">
        <v>3292</v>
      </c>
      <c r="E844">
        <v>46</v>
      </c>
      <c r="F844" t="s">
        <v>44</v>
      </c>
      <c r="G844" t="s">
        <v>45</v>
      </c>
      <c r="H844" t="s">
        <v>62</v>
      </c>
      <c r="I844" t="s">
        <v>63</v>
      </c>
      <c r="J844" t="s">
        <v>89</v>
      </c>
      <c r="K844">
        <v>8</v>
      </c>
      <c r="L844" s="4">
        <v>35300</v>
      </c>
      <c r="M844">
        <v>5</v>
      </c>
      <c r="N844" s="4">
        <v>268280</v>
      </c>
      <c r="O844" t="s">
        <v>73</v>
      </c>
      <c r="P844">
        <v>5</v>
      </c>
      <c r="Q844" t="s">
        <v>41</v>
      </c>
      <c r="R844">
        <v>1</v>
      </c>
    </row>
    <row r="845" spans="1:18" x14ac:dyDescent="0.3">
      <c r="A845" t="s">
        <v>2024</v>
      </c>
      <c r="B845" s="1">
        <v>46046</v>
      </c>
      <c r="C845" t="s">
        <v>29</v>
      </c>
      <c r="D845" t="s">
        <v>39</v>
      </c>
      <c r="E845">
        <v>38</v>
      </c>
      <c r="F845" t="s">
        <v>51</v>
      </c>
      <c r="G845" t="s">
        <v>52</v>
      </c>
      <c r="H845" t="s">
        <v>32</v>
      </c>
      <c r="I845" t="s">
        <v>53</v>
      </c>
      <c r="J845" t="s">
        <v>80</v>
      </c>
      <c r="K845">
        <v>2</v>
      </c>
      <c r="L845" s="4">
        <v>12600</v>
      </c>
      <c r="M845">
        <v>0</v>
      </c>
      <c r="N845" s="4">
        <v>25200</v>
      </c>
      <c r="O845" t="s">
        <v>85</v>
      </c>
      <c r="Q845" t="s">
        <v>65</v>
      </c>
      <c r="R845">
        <v>0</v>
      </c>
    </row>
    <row r="846" spans="1:18" x14ac:dyDescent="0.3">
      <c r="A846" t="s">
        <v>2025</v>
      </c>
      <c r="B846" s="1">
        <v>46029</v>
      </c>
      <c r="C846" t="s">
        <v>68</v>
      </c>
      <c r="D846" t="s">
        <v>39</v>
      </c>
      <c r="E846">
        <v>24</v>
      </c>
      <c r="F846" t="s">
        <v>77</v>
      </c>
      <c r="G846" t="s">
        <v>95</v>
      </c>
      <c r="H846" t="s">
        <v>32</v>
      </c>
      <c r="I846" t="s">
        <v>33</v>
      </c>
      <c r="J846" t="s">
        <v>80</v>
      </c>
      <c r="K846">
        <v>5</v>
      </c>
      <c r="L846" s="4">
        <v>27300</v>
      </c>
      <c r="M846">
        <v>5</v>
      </c>
      <c r="N846" s="4">
        <v>129675</v>
      </c>
      <c r="O846" t="s">
        <v>25</v>
      </c>
      <c r="P846">
        <v>5</v>
      </c>
      <c r="Q846" t="s">
        <v>74</v>
      </c>
      <c r="R846">
        <v>0</v>
      </c>
    </row>
    <row r="847" spans="1:18" x14ac:dyDescent="0.3">
      <c r="A847" t="s">
        <v>2029</v>
      </c>
      <c r="B847" s="1">
        <v>46156</v>
      </c>
      <c r="C847" t="s">
        <v>68</v>
      </c>
      <c r="D847" t="s">
        <v>3292</v>
      </c>
      <c r="E847">
        <v>38</v>
      </c>
      <c r="F847" t="s">
        <v>51</v>
      </c>
      <c r="G847" t="s">
        <v>104</v>
      </c>
      <c r="H847" t="s">
        <v>46</v>
      </c>
      <c r="I847" t="s">
        <v>47</v>
      </c>
      <c r="J847" t="s">
        <v>72</v>
      </c>
      <c r="K847">
        <v>10</v>
      </c>
      <c r="L847" s="4">
        <v>31100</v>
      </c>
      <c r="M847">
        <v>5</v>
      </c>
      <c r="N847" s="4">
        <v>295450</v>
      </c>
      <c r="O847" t="s">
        <v>73</v>
      </c>
      <c r="P847">
        <v>3</v>
      </c>
      <c r="Q847" t="s">
        <v>74</v>
      </c>
      <c r="R847">
        <v>0</v>
      </c>
    </row>
    <row r="848" spans="1:18" x14ac:dyDescent="0.3">
      <c r="A848" t="s">
        <v>2030</v>
      </c>
      <c r="B848" s="1">
        <v>45794</v>
      </c>
      <c r="C848" t="s">
        <v>94</v>
      </c>
      <c r="D848" t="s">
        <v>20</v>
      </c>
      <c r="E848">
        <v>54</v>
      </c>
      <c r="F848" t="s">
        <v>21</v>
      </c>
      <c r="G848" t="s">
        <v>21</v>
      </c>
      <c r="H848" t="s">
        <v>32</v>
      </c>
      <c r="I848" t="s">
        <v>53</v>
      </c>
      <c r="J848" t="s">
        <v>80</v>
      </c>
      <c r="K848">
        <v>9</v>
      </c>
      <c r="L848" s="4">
        <v>48400</v>
      </c>
      <c r="M848">
        <v>20</v>
      </c>
      <c r="N848" s="4">
        <v>348480</v>
      </c>
      <c r="O848" t="s">
        <v>73</v>
      </c>
      <c r="P848">
        <v>3</v>
      </c>
      <c r="Q848" t="s">
        <v>26</v>
      </c>
      <c r="R848">
        <v>0</v>
      </c>
    </row>
    <row r="849" spans="1:18" x14ac:dyDescent="0.3">
      <c r="A849" t="s">
        <v>2032</v>
      </c>
      <c r="B849" s="1">
        <v>45853</v>
      </c>
      <c r="C849" t="s">
        <v>19</v>
      </c>
      <c r="D849" t="s">
        <v>20</v>
      </c>
      <c r="E849">
        <v>22</v>
      </c>
      <c r="F849" t="s">
        <v>21</v>
      </c>
      <c r="G849" t="s">
        <v>21</v>
      </c>
      <c r="H849" t="s">
        <v>62</v>
      </c>
      <c r="I849" t="s">
        <v>63</v>
      </c>
      <c r="J849" t="s">
        <v>72</v>
      </c>
      <c r="K849">
        <v>7</v>
      </c>
      <c r="L849" s="4">
        <v>47300</v>
      </c>
      <c r="M849">
        <v>25</v>
      </c>
      <c r="N849" s="4">
        <v>248325</v>
      </c>
      <c r="O849" t="s">
        <v>73</v>
      </c>
      <c r="P849">
        <v>3</v>
      </c>
      <c r="Q849" t="s">
        <v>65</v>
      </c>
      <c r="R849">
        <v>0</v>
      </c>
    </row>
    <row r="850" spans="1:18" x14ac:dyDescent="0.3">
      <c r="A850" t="s">
        <v>2034</v>
      </c>
      <c r="B850" s="1">
        <v>45766</v>
      </c>
      <c r="C850" t="s">
        <v>94</v>
      </c>
      <c r="D850" t="s">
        <v>3292</v>
      </c>
      <c r="E850">
        <v>56</v>
      </c>
      <c r="F850" t="s">
        <v>51</v>
      </c>
      <c r="G850" t="s">
        <v>52</v>
      </c>
      <c r="H850" t="s">
        <v>62</v>
      </c>
      <c r="I850" t="s">
        <v>140</v>
      </c>
      <c r="J850" t="s">
        <v>64</v>
      </c>
      <c r="K850">
        <v>8</v>
      </c>
      <c r="L850" s="4">
        <v>36400</v>
      </c>
      <c r="M850">
        <v>5</v>
      </c>
      <c r="N850" s="4">
        <v>276640</v>
      </c>
      <c r="O850" t="s">
        <v>85</v>
      </c>
      <c r="P850">
        <v>1</v>
      </c>
      <c r="Q850" t="s">
        <v>41</v>
      </c>
      <c r="R850">
        <v>1</v>
      </c>
    </row>
    <row r="851" spans="1:18" x14ac:dyDescent="0.3">
      <c r="A851" t="s">
        <v>2035</v>
      </c>
      <c r="B851" s="1">
        <v>45875</v>
      </c>
      <c r="C851" t="s">
        <v>60</v>
      </c>
      <c r="D851" t="s">
        <v>39</v>
      </c>
      <c r="E851">
        <v>150</v>
      </c>
      <c r="F851" t="s">
        <v>77</v>
      </c>
      <c r="G851" t="s">
        <v>78</v>
      </c>
      <c r="H851" t="s">
        <v>22</v>
      </c>
      <c r="I851" t="s">
        <v>84</v>
      </c>
      <c r="J851" t="s">
        <v>64</v>
      </c>
      <c r="K851">
        <v>4</v>
      </c>
      <c r="L851" s="4">
        <v>6300</v>
      </c>
      <c r="M851">
        <v>0</v>
      </c>
      <c r="N851" s="4">
        <v>25200</v>
      </c>
      <c r="O851" t="s">
        <v>73</v>
      </c>
      <c r="Q851" t="s">
        <v>74</v>
      </c>
      <c r="R851">
        <v>0</v>
      </c>
    </row>
    <row r="852" spans="1:18" x14ac:dyDescent="0.3">
      <c r="A852" t="s">
        <v>2036</v>
      </c>
      <c r="B852" s="1">
        <v>45880</v>
      </c>
      <c r="C852" t="s">
        <v>71</v>
      </c>
      <c r="D852" t="s">
        <v>3292</v>
      </c>
      <c r="E852">
        <v>30</v>
      </c>
      <c r="F852" t="s">
        <v>51</v>
      </c>
      <c r="G852" t="s">
        <v>52</v>
      </c>
      <c r="H852" t="s">
        <v>32</v>
      </c>
      <c r="I852" t="s">
        <v>33</v>
      </c>
      <c r="J852" t="s">
        <v>34</v>
      </c>
      <c r="K852">
        <v>10</v>
      </c>
      <c r="L852" s="4">
        <v>49800</v>
      </c>
      <c r="M852">
        <v>25</v>
      </c>
      <c r="N852" s="4">
        <v>373500</v>
      </c>
      <c r="O852" t="s">
        <v>85</v>
      </c>
      <c r="P852">
        <v>5</v>
      </c>
      <c r="Q852" t="s">
        <v>74</v>
      </c>
      <c r="R852">
        <v>0</v>
      </c>
    </row>
    <row r="853" spans="1:18" x14ac:dyDescent="0.3">
      <c r="A853" t="s">
        <v>2038</v>
      </c>
      <c r="B853" s="1">
        <v>46096</v>
      </c>
      <c r="C853" t="s">
        <v>29</v>
      </c>
      <c r="D853" t="s">
        <v>20</v>
      </c>
      <c r="E853">
        <v>25</v>
      </c>
      <c r="F853" t="s">
        <v>77</v>
      </c>
      <c r="G853" t="s">
        <v>95</v>
      </c>
      <c r="H853" t="s">
        <v>62</v>
      </c>
      <c r="I853" t="s">
        <v>140</v>
      </c>
      <c r="J853" t="s">
        <v>64</v>
      </c>
      <c r="K853">
        <v>10</v>
      </c>
      <c r="L853" s="4">
        <v>24000</v>
      </c>
      <c r="M853">
        <v>20</v>
      </c>
      <c r="N853" s="4">
        <v>192000</v>
      </c>
      <c r="O853" t="s">
        <v>25</v>
      </c>
      <c r="P853">
        <v>5</v>
      </c>
      <c r="Q853" t="s">
        <v>74</v>
      </c>
      <c r="R853">
        <v>0</v>
      </c>
    </row>
    <row r="854" spans="1:18" x14ac:dyDescent="0.3">
      <c r="A854" t="s">
        <v>2040</v>
      </c>
      <c r="B854" s="1">
        <v>45778</v>
      </c>
      <c r="C854" t="s">
        <v>60</v>
      </c>
      <c r="D854" t="s">
        <v>20</v>
      </c>
      <c r="E854">
        <v>36</v>
      </c>
      <c r="F854" t="s">
        <v>51</v>
      </c>
      <c r="G854" t="s">
        <v>52</v>
      </c>
      <c r="H854" t="s">
        <v>22</v>
      </c>
      <c r="I854" t="s">
        <v>23</v>
      </c>
      <c r="J854" t="s">
        <v>72</v>
      </c>
      <c r="K854">
        <v>6</v>
      </c>
      <c r="L854" s="4">
        <v>45600</v>
      </c>
      <c r="M854">
        <v>5</v>
      </c>
      <c r="N854" s="4">
        <v>259920</v>
      </c>
      <c r="O854" t="s">
        <v>73</v>
      </c>
      <c r="Q854" t="s">
        <v>65</v>
      </c>
      <c r="R854">
        <v>0</v>
      </c>
    </row>
    <row r="855" spans="1:18" x14ac:dyDescent="0.3">
      <c r="A855" t="s">
        <v>2047</v>
      </c>
      <c r="B855" s="1">
        <v>46185</v>
      </c>
      <c r="C855" t="s">
        <v>94</v>
      </c>
      <c r="D855" t="s">
        <v>20</v>
      </c>
      <c r="E855">
        <v>46</v>
      </c>
      <c r="F855" t="s">
        <v>44</v>
      </c>
      <c r="G855" t="s">
        <v>100</v>
      </c>
      <c r="H855" t="s">
        <v>46</v>
      </c>
      <c r="I855" t="s">
        <v>47</v>
      </c>
      <c r="J855" t="s">
        <v>80</v>
      </c>
      <c r="K855">
        <v>6</v>
      </c>
      <c r="L855" s="4">
        <v>4700</v>
      </c>
      <c r="M855">
        <v>5</v>
      </c>
      <c r="N855" s="4">
        <v>26790</v>
      </c>
      <c r="O855" t="s">
        <v>73</v>
      </c>
      <c r="P855">
        <v>2</v>
      </c>
      <c r="Q855" t="s">
        <v>65</v>
      </c>
      <c r="R855">
        <v>0</v>
      </c>
    </row>
    <row r="856" spans="1:18" x14ac:dyDescent="0.3">
      <c r="A856" t="s">
        <v>2049</v>
      </c>
      <c r="B856" s="1">
        <v>46002</v>
      </c>
      <c r="C856" t="s">
        <v>60</v>
      </c>
      <c r="D856" t="s">
        <v>20</v>
      </c>
      <c r="E856">
        <v>20</v>
      </c>
      <c r="F856" t="s">
        <v>44</v>
      </c>
      <c r="G856" t="s">
        <v>100</v>
      </c>
      <c r="H856" t="s">
        <v>46</v>
      </c>
      <c r="I856" t="s">
        <v>47</v>
      </c>
      <c r="J856" t="s">
        <v>64</v>
      </c>
      <c r="K856">
        <v>6</v>
      </c>
      <c r="L856" s="4">
        <v>26100</v>
      </c>
      <c r="M856">
        <v>0</v>
      </c>
      <c r="N856" s="4">
        <v>156600</v>
      </c>
      <c r="O856" t="s">
        <v>25</v>
      </c>
      <c r="Q856" t="s">
        <v>41</v>
      </c>
      <c r="R856">
        <v>1</v>
      </c>
    </row>
    <row r="857" spans="1:18" x14ac:dyDescent="0.3">
      <c r="A857" t="s">
        <v>2052</v>
      </c>
      <c r="B857" s="1">
        <v>45826</v>
      </c>
      <c r="C857" t="s">
        <v>71</v>
      </c>
      <c r="D857" t="s">
        <v>20</v>
      </c>
      <c r="E857">
        <v>30</v>
      </c>
      <c r="F857" t="s">
        <v>30</v>
      </c>
      <c r="G857" t="s">
        <v>57</v>
      </c>
      <c r="H857" t="s">
        <v>62</v>
      </c>
      <c r="I857" t="s">
        <v>63</v>
      </c>
      <c r="J857" t="s">
        <v>72</v>
      </c>
      <c r="K857">
        <v>5</v>
      </c>
      <c r="L857" s="4">
        <v>49000</v>
      </c>
      <c r="M857">
        <v>10</v>
      </c>
      <c r="N857" s="4">
        <v>220500</v>
      </c>
      <c r="O857" t="s">
        <v>25</v>
      </c>
      <c r="P857">
        <v>5</v>
      </c>
      <c r="Q857" t="s">
        <v>65</v>
      </c>
      <c r="R857">
        <v>0</v>
      </c>
    </row>
    <row r="858" spans="1:18" x14ac:dyDescent="0.3">
      <c r="A858" t="s">
        <v>2055</v>
      </c>
      <c r="B858" s="1">
        <v>45672</v>
      </c>
      <c r="C858" t="s">
        <v>38</v>
      </c>
      <c r="D858" t="s">
        <v>3292</v>
      </c>
      <c r="E858">
        <v>55</v>
      </c>
      <c r="F858" t="s">
        <v>61</v>
      </c>
      <c r="G858" t="s">
        <v>61</v>
      </c>
      <c r="H858" t="s">
        <v>62</v>
      </c>
      <c r="I858" t="s">
        <v>140</v>
      </c>
      <c r="J858" t="s">
        <v>89</v>
      </c>
      <c r="K858">
        <v>1</v>
      </c>
      <c r="L858" s="4">
        <v>38700</v>
      </c>
      <c r="M858">
        <v>5</v>
      </c>
      <c r="N858" s="4">
        <v>36765</v>
      </c>
      <c r="O858" t="s">
        <v>25</v>
      </c>
      <c r="P858">
        <v>4</v>
      </c>
      <c r="Q858" t="s">
        <v>41</v>
      </c>
      <c r="R858">
        <v>1</v>
      </c>
    </row>
    <row r="859" spans="1:18" x14ac:dyDescent="0.3">
      <c r="A859" t="s">
        <v>2058</v>
      </c>
      <c r="B859" s="1">
        <v>45763</v>
      </c>
      <c r="C859" t="s">
        <v>88</v>
      </c>
      <c r="D859" t="s">
        <v>3292</v>
      </c>
      <c r="E859">
        <v>64</v>
      </c>
      <c r="F859" t="s">
        <v>61</v>
      </c>
      <c r="G859" t="s">
        <v>61</v>
      </c>
      <c r="H859" t="s">
        <v>46</v>
      </c>
      <c r="I859" t="s">
        <v>79</v>
      </c>
      <c r="J859" t="s">
        <v>80</v>
      </c>
      <c r="K859">
        <v>10</v>
      </c>
      <c r="L859" s="4">
        <v>9700</v>
      </c>
      <c r="M859">
        <v>0</v>
      </c>
      <c r="N859" s="4">
        <v>97000</v>
      </c>
      <c r="O859" t="s">
        <v>85</v>
      </c>
      <c r="Q859" t="s">
        <v>65</v>
      </c>
      <c r="R859">
        <v>0</v>
      </c>
    </row>
    <row r="860" spans="1:18" x14ac:dyDescent="0.3">
      <c r="A860" t="s">
        <v>2059</v>
      </c>
      <c r="B860" s="1">
        <v>45737</v>
      </c>
      <c r="C860" t="s">
        <v>60</v>
      </c>
      <c r="D860" t="s">
        <v>39</v>
      </c>
      <c r="E860">
        <v>49</v>
      </c>
      <c r="F860" t="s">
        <v>44</v>
      </c>
      <c r="G860" t="s">
        <v>100</v>
      </c>
      <c r="H860" t="s">
        <v>22</v>
      </c>
      <c r="I860" t="s">
        <v>84</v>
      </c>
      <c r="J860" t="s">
        <v>24</v>
      </c>
      <c r="K860">
        <v>1</v>
      </c>
      <c r="L860" s="4">
        <v>45500</v>
      </c>
      <c r="M860">
        <v>20</v>
      </c>
      <c r="N860" s="4">
        <v>36400</v>
      </c>
      <c r="O860" t="s">
        <v>73</v>
      </c>
      <c r="P860">
        <v>5</v>
      </c>
      <c r="Q860" t="s">
        <v>74</v>
      </c>
      <c r="R860">
        <v>0</v>
      </c>
    </row>
    <row r="861" spans="1:18" x14ac:dyDescent="0.3">
      <c r="A861" t="s">
        <v>2061</v>
      </c>
      <c r="B861" s="1">
        <v>45937</v>
      </c>
      <c r="C861" t="s">
        <v>38</v>
      </c>
      <c r="D861" t="s">
        <v>20</v>
      </c>
      <c r="E861">
        <v>44</v>
      </c>
      <c r="F861" t="s">
        <v>77</v>
      </c>
      <c r="G861" t="s">
        <v>95</v>
      </c>
      <c r="H861" t="s">
        <v>46</v>
      </c>
      <c r="I861" t="s">
        <v>47</v>
      </c>
      <c r="J861" t="s">
        <v>34</v>
      </c>
      <c r="K861">
        <v>8</v>
      </c>
      <c r="L861" s="4">
        <v>13300</v>
      </c>
      <c r="M861">
        <v>5</v>
      </c>
      <c r="N861" s="4">
        <v>101080</v>
      </c>
      <c r="O861" t="s">
        <v>73</v>
      </c>
      <c r="P861">
        <v>5</v>
      </c>
      <c r="Q861" t="s">
        <v>74</v>
      </c>
      <c r="R861">
        <v>0</v>
      </c>
    </row>
    <row r="862" spans="1:18" x14ac:dyDescent="0.3">
      <c r="A862" t="s">
        <v>2065</v>
      </c>
      <c r="B862" s="1">
        <v>45660</v>
      </c>
      <c r="C862" t="s">
        <v>29</v>
      </c>
      <c r="D862" t="s">
        <v>20</v>
      </c>
      <c r="E862">
        <v>59</v>
      </c>
      <c r="F862" t="s">
        <v>51</v>
      </c>
      <c r="G862" t="s">
        <v>52</v>
      </c>
      <c r="H862" t="s">
        <v>62</v>
      </c>
      <c r="I862" t="s">
        <v>63</v>
      </c>
      <c r="J862" t="s">
        <v>24</v>
      </c>
      <c r="K862">
        <v>5</v>
      </c>
      <c r="L862" s="4">
        <v>25800</v>
      </c>
      <c r="M862">
        <v>5</v>
      </c>
      <c r="N862" s="4">
        <v>122550</v>
      </c>
      <c r="O862" t="s">
        <v>25</v>
      </c>
      <c r="P862">
        <v>4</v>
      </c>
      <c r="Q862" t="s">
        <v>65</v>
      </c>
      <c r="R862">
        <v>0</v>
      </c>
    </row>
    <row r="863" spans="1:18" x14ac:dyDescent="0.3">
      <c r="A863" t="s">
        <v>2066</v>
      </c>
      <c r="B863" s="1">
        <v>45691</v>
      </c>
      <c r="C863" t="s">
        <v>29</v>
      </c>
      <c r="D863" t="s">
        <v>3292</v>
      </c>
      <c r="E863">
        <v>61</v>
      </c>
      <c r="F863" t="s">
        <v>51</v>
      </c>
      <c r="G863" t="s">
        <v>52</v>
      </c>
      <c r="H863" t="s">
        <v>46</v>
      </c>
      <c r="I863" t="s">
        <v>79</v>
      </c>
      <c r="J863" t="s">
        <v>34</v>
      </c>
      <c r="K863">
        <v>9</v>
      </c>
      <c r="L863" s="4">
        <v>13200</v>
      </c>
      <c r="M863">
        <v>0</v>
      </c>
      <c r="N863" s="4">
        <v>118800</v>
      </c>
      <c r="O863" t="s">
        <v>85</v>
      </c>
      <c r="Q863" t="s">
        <v>74</v>
      </c>
      <c r="R863">
        <v>0</v>
      </c>
    </row>
    <row r="864" spans="1:18" x14ac:dyDescent="0.3">
      <c r="A864" t="s">
        <v>2068</v>
      </c>
      <c r="B864" s="1">
        <v>45774</v>
      </c>
      <c r="C864" t="s">
        <v>121</v>
      </c>
      <c r="D864" t="s">
        <v>39</v>
      </c>
      <c r="E864">
        <v>62</v>
      </c>
      <c r="F864" t="s">
        <v>77</v>
      </c>
      <c r="G864" t="s">
        <v>78</v>
      </c>
      <c r="H864" t="s">
        <v>46</v>
      </c>
      <c r="I864" t="s">
        <v>79</v>
      </c>
      <c r="J864" t="s">
        <v>89</v>
      </c>
      <c r="K864">
        <v>6</v>
      </c>
      <c r="L864" s="4">
        <v>9300</v>
      </c>
      <c r="M864">
        <v>5</v>
      </c>
      <c r="N864" s="4">
        <v>53010</v>
      </c>
      <c r="O864" t="s">
        <v>25</v>
      </c>
      <c r="P864">
        <v>2</v>
      </c>
      <c r="Q864" t="s">
        <v>74</v>
      </c>
      <c r="R864">
        <v>0</v>
      </c>
    </row>
    <row r="865" spans="1:18" x14ac:dyDescent="0.3">
      <c r="A865" t="s">
        <v>2069</v>
      </c>
      <c r="B865" s="1">
        <v>45777</v>
      </c>
      <c r="C865" t="s">
        <v>113</v>
      </c>
      <c r="D865" t="s">
        <v>20</v>
      </c>
      <c r="E865">
        <v>32</v>
      </c>
      <c r="F865" t="s">
        <v>51</v>
      </c>
      <c r="G865" t="s">
        <v>52</v>
      </c>
      <c r="H865" t="s">
        <v>62</v>
      </c>
      <c r="I865" t="s">
        <v>63</v>
      </c>
      <c r="J865" t="s">
        <v>72</v>
      </c>
      <c r="K865">
        <v>6</v>
      </c>
      <c r="L865" s="4">
        <v>31400</v>
      </c>
      <c r="M865">
        <v>0</v>
      </c>
      <c r="N865" s="4">
        <v>188400</v>
      </c>
      <c r="O865" t="s">
        <v>25</v>
      </c>
      <c r="P865">
        <v>4</v>
      </c>
      <c r="Q865" t="s">
        <v>26</v>
      </c>
      <c r="R865">
        <v>0</v>
      </c>
    </row>
    <row r="866" spans="1:18" x14ac:dyDescent="0.3">
      <c r="A866" t="s">
        <v>2070</v>
      </c>
      <c r="B866" s="1">
        <v>46051</v>
      </c>
      <c r="C866" t="s">
        <v>71</v>
      </c>
      <c r="D866" t="s">
        <v>20</v>
      </c>
      <c r="E866">
        <v>58</v>
      </c>
      <c r="F866" t="s">
        <v>51</v>
      </c>
      <c r="G866" t="s">
        <v>52</v>
      </c>
      <c r="H866" t="s">
        <v>32</v>
      </c>
      <c r="I866" t="s">
        <v>33</v>
      </c>
      <c r="J866" t="s">
        <v>64</v>
      </c>
      <c r="K866">
        <v>2</v>
      </c>
      <c r="L866" s="4">
        <v>15600</v>
      </c>
      <c r="M866">
        <v>5</v>
      </c>
      <c r="N866" s="4">
        <v>29640</v>
      </c>
      <c r="O866" t="s">
        <v>73</v>
      </c>
      <c r="P866">
        <v>1</v>
      </c>
      <c r="Q866" t="s">
        <v>41</v>
      </c>
      <c r="R866">
        <v>1</v>
      </c>
    </row>
    <row r="867" spans="1:18" x14ac:dyDescent="0.3">
      <c r="A867" t="s">
        <v>2072</v>
      </c>
      <c r="B867" s="1">
        <v>45755</v>
      </c>
      <c r="C867" t="s">
        <v>121</v>
      </c>
      <c r="D867" t="s">
        <v>39</v>
      </c>
      <c r="E867">
        <v>18</v>
      </c>
      <c r="F867" t="s">
        <v>51</v>
      </c>
      <c r="G867" t="s">
        <v>104</v>
      </c>
      <c r="H867" t="s">
        <v>62</v>
      </c>
      <c r="I867" t="s">
        <v>140</v>
      </c>
      <c r="J867" t="s">
        <v>89</v>
      </c>
      <c r="K867">
        <v>4</v>
      </c>
      <c r="L867" s="4">
        <v>7800</v>
      </c>
      <c r="M867">
        <v>0</v>
      </c>
      <c r="N867" s="4">
        <v>31200</v>
      </c>
      <c r="O867" t="s">
        <v>3293</v>
      </c>
      <c r="P867">
        <v>2</v>
      </c>
      <c r="Q867" t="s">
        <v>26</v>
      </c>
      <c r="R867">
        <v>0</v>
      </c>
    </row>
    <row r="868" spans="1:18" x14ac:dyDescent="0.3">
      <c r="A868" t="s">
        <v>2074</v>
      </c>
      <c r="B868" s="1">
        <v>45739</v>
      </c>
      <c r="C868" t="s">
        <v>60</v>
      </c>
      <c r="D868" t="s">
        <v>20</v>
      </c>
      <c r="E868">
        <v>53</v>
      </c>
      <c r="F868" t="s">
        <v>44</v>
      </c>
      <c r="G868" t="s">
        <v>100</v>
      </c>
      <c r="H868" t="s">
        <v>62</v>
      </c>
      <c r="I868" t="s">
        <v>140</v>
      </c>
      <c r="J868" t="s">
        <v>80</v>
      </c>
      <c r="K868">
        <v>1</v>
      </c>
      <c r="L868" s="4">
        <v>14300</v>
      </c>
      <c r="M868">
        <v>10</v>
      </c>
      <c r="N868" s="4">
        <v>12870</v>
      </c>
      <c r="O868" t="s">
        <v>73</v>
      </c>
      <c r="P868">
        <v>3</v>
      </c>
      <c r="Q868" t="s">
        <v>74</v>
      </c>
      <c r="R868">
        <v>0</v>
      </c>
    </row>
    <row r="869" spans="1:18" x14ac:dyDescent="0.3">
      <c r="A869" t="s">
        <v>2076</v>
      </c>
      <c r="B869" s="1">
        <v>45872</v>
      </c>
      <c r="C869" t="s">
        <v>60</v>
      </c>
      <c r="D869" t="s">
        <v>20</v>
      </c>
      <c r="E869">
        <v>40</v>
      </c>
      <c r="F869" t="s">
        <v>30</v>
      </c>
      <c r="G869" t="s">
        <v>31</v>
      </c>
      <c r="H869" t="s">
        <v>22</v>
      </c>
      <c r="I869" t="s">
        <v>23</v>
      </c>
      <c r="J869" t="s">
        <v>24</v>
      </c>
      <c r="K869">
        <v>8</v>
      </c>
      <c r="L869" s="4">
        <v>44500</v>
      </c>
      <c r="M869">
        <v>25</v>
      </c>
      <c r="N869" s="4">
        <v>267000</v>
      </c>
      <c r="O869" t="s">
        <v>85</v>
      </c>
      <c r="P869">
        <v>3</v>
      </c>
      <c r="Q869" t="s">
        <v>65</v>
      </c>
      <c r="R869">
        <v>0</v>
      </c>
    </row>
    <row r="870" spans="1:18" x14ac:dyDescent="0.3">
      <c r="A870" t="s">
        <v>2077</v>
      </c>
      <c r="B870" s="1">
        <v>46078</v>
      </c>
      <c r="C870" t="s">
        <v>113</v>
      </c>
      <c r="D870" t="s">
        <v>3292</v>
      </c>
      <c r="E870">
        <v>32</v>
      </c>
      <c r="F870" t="s">
        <v>51</v>
      </c>
      <c r="G870" t="s">
        <v>104</v>
      </c>
      <c r="H870" t="s">
        <v>32</v>
      </c>
      <c r="I870" t="s">
        <v>53</v>
      </c>
      <c r="J870" t="s">
        <v>89</v>
      </c>
      <c r="K870">
        <v>5</v>
      </c>
      <c r="L870" s="4">
        <v>18400</v>
      </c>
      <c r="M870">
        <v>5</v>
      </c>
      <c r="N870" s="4">
        <v>87400</v>
      </c>
      <c r="O870" t="s">
        <v>85</v>
      </c>
      <c r="P870">
        <v>3</v>
      </c>
      <c r="Q870" t="s">
        <v>65</v>
      </c>
      <c r="R870">
        <v>0</v>
      </c>
    </row>
    <row r="871" spans="1:18" x14ac:dyDescent="0.3">
      <c r="A871" t="s">
        <v>2078</v>
      </c>
      <c r="B871" s="1">
        <v>45846</v>
      </c>
      <c r="C871" t="s">
        <v>68</v>
      </c>
      <c r="D871" t="s">
        <v>39</v>
      </c>
      <c r="E871">
        <v>43</v>
      </c>
      <c r="F871" t="s">
        <v>44</v>
      </c>
      <c r="G871" t="s">
        <v>45</v>
      </c>
      <c r="H871" t="s">
        <v>32</v>
      </c>
      <c r="I871" t="s">
        <v>33</v>
      </c>
      <c r="J871" t="s">
        <v>24</v>
      </c>
      <c r="K871">
        <v>3</v>
      </c>
      <c r="L871" s="4">
        <v>38800</v>
      </c>
      <c r="M871">
        <v>20</v>
      </c>
      <c r="N871" s="4">
        <v>93120</v>
      </c>
      <c r="O871" t="s">
        <v>25</v>
      </c>
      <c r="P871">
        <v>3</v>
      </c>
      <c r="Q871" t="s">
        <v>26</v>
      </c>
      <c r="R871">
        <v>0</v>
      </c>
    </row>
    <row r="872" spans="1:18" x14ac:dyDescent="0.3">
      <c r="A872" t="s">
        <v>2080</v>
      </c>
      <c r="B872" s="1">
        <v>45883</v>
      </c>
      <c r="C872" t="s">
        <v>94</v>
      </c>
      <c r="D872" t="s">
        <v>39</v>
      </c>
      <c r="E872">
        <v>51</v>
      </c>
      <c r="F872" t="s">
        <v>44</v>
      </c>
      <c r="G872" t="s">
        <v>45</v>
      </c>
      <c r="H872" t="s">
        <v>32</v>
      </c>
      <c r="I872" t="s">
        <v>33</v>
      </c>
      <c r="J872" t="s">
        <v>72</v>
      </c>
      <c r="K872">
        <v>7</v>
      </c>
      <c r="L872" s="4">
        <v>49500</v>
      </c>
      <c r="M872">
        <v>15</v>
      </c>
      <c r="N872" s="4">
        <v>294525</v>
      </c>
      <c r="O872" t="s">
        <v>25</v>
      </c>
      <c r="P872">
        <v>4</v>
      </c>
      <c r="Q872" t="s">
        <v>41</v>
      </c>
      <c r="R872">
        <v>1</v>
      </c>
    </row>
    <row r="873" spans="1:18" x14ac:dyDescent="0.3">
      <c r="A873" t="s">
        <v>2081</v>
      </c>
      <c r="B873" s="1">
        <v>45713</v>
      </c>
      <c r="C873" t="s">
        <v>38</v>
      </c>
      <c r="D873" t="s">
        <v>39</v>
      </c>
      <c r="E873">
        <v>54</v>
      </c>
      <c r="F873" t="s">
        <v>77</v>
      </c>
      <c r="G873" t="s">
        <v>95</v>
      </c>
      <c r="H873" t="s">
        <v>62</v>
      </c>
      <c r="I873" t="s">
        <v>63</v>
      </c>
      <c r="J873" t="s">
        <v>89</v>
      </c>
      <c r="K873">
        <v>1</v>
      </c>
      <c r="L873" s="4">
        <v>28300</v>
      </c>
      <c r="M873">
        <v>10</v>
      </c>
      <c r="N873" s="4">
        <v>25470</v>
      </c>
      <c r="O873" t="s">
        <v>85</v>
      </c>
      <c r="P873">
        <v>4</v>
      </c>
      <c r="Q873" t="s">
        <v>65</v>
      </c>
      <c r="R873">
        <v>0</v>
      </c>
    </row>
    <row r="874" spans="1:18" x14ac:dyDescent="0.3">
      <c r="A874" t="s">
        <v>2082</v>
      </c>
      <c r="B874" s="1">
        <v>45936</v>
      </c>
      <c r="C874" t="s">
        <v>88</v>
      </c>
      <c r="D874" t="s">
        <v>3292</v>
      </c>
      <c r="E874">
        <v>150</v>
      </c>
      <c r="F874" t="s">
        <v>51</v>
      </c>
      <c r="G874" t="s">
        <v>52</v>
      </c>
      <c r="H874" t="s">
        <v>32</v>
      </c>
      <c r="I874" t="s">
        <v>33</v>
      </c>
      <c r="J874" t="s">
        <v>64</v>
      </c>
      <c r="K874">
        <v>4</v>
      </c>
      <c r="L874" s="4">
        <v>8900</v>
      </c>
      <c r="M874">
        <v>10</v>
      </c>
      <c r="N874" s="4">
        <v>32040</v>
      </c>
      <c r="O874" t="s">
        <v>25</v>
      </c>
      <c r="P874">
        <v>1</v>
      </c>
      <c r="Q874" t="s">
        <v>74</v>
      </c>
      <c r="R874">
        <v>0</v>
      </c>
    </row>
    <row r="875" spans="1:18" x14ac:dyDescent="0.3">
      <c r="A875" t="s">
        <v>2084</v>
      </c>
      <c r="B875" s="1">
        <v>46013</v>
      </c>
      <c r="C875" t="s">
        <v>68</v>
      </c>
      <c r="D875" t="s">
        <v>20</v>
      </c>
      <c r="E875">
        <v>62</v>
      </c>
      <c r="F875" t="s">
        <v>61</v>
      </c>
      <c r="G875" t="s">
        <v>61</v>
      </c>
      <c r="H875" t="s">
        <v>62</v>
      </c>
      <c r="I875" t="s">
        <v>140</v>
      </c>
      <c r="J875" t="s">
        <v>80</v>
      </c>
      <c r="K875">
        <v>4</v>
      </c>
      <c r="L875" s="4">
        <v>49600</v>
      </c>
      <c r="M875">
        <v>20</v>
      </c>
      <c r="N875" s="4">
        <v>158720</v>
      </c>
      <c r="O875" t="s">
        <v>25</v>
      </c>
      <c r="Q875" t="s">
        <v>65</v>
      </c>
      <c r="R875">
        <v>0</v>
      </c>
    </row>
    <row r="876" spans="1:18" x14ac:dyDescent="0.3">
      <c r="A876" t="s">
        <v>2085</v>
      </c>
      <c r="B876" s="1">
        <v>46113</v>
      </c>
      <c r="C876" t="s">
        <v>94</v>
      </c>
      <c r="D876" t="s">
        <v>3292</v>
      </c>
      <c r="E876">
        <v>33</v>
      </c>
      <c r="F876" t="s">
        <v>30</v>
      </c>
      <c r="G876" t="s">
        <v>57</v>
      </c>
      <c r="H876" t="s">
        <v>62</v>
      </c>
      <c r="I876" t="s">
        <v>63</v>
      </c>
      <c r="J876" t="s">
        <v>64</v>
      </c>
      <c r="K876">
        <v>5</v>
      </c>
      <c r="L876" s="4">
        <v>11400</v>
      </c>
      <c r="M876">
        <v>25</v>
      </c>
      <c r="N876" s="4">
        <v>42750</v>
      </c>
      <c r="O876" t="s">
        <v>73</v>
      </c>
      <c r="Q876" t="s">
        <v>41</v>
      </c>
      <c r="R876">
        <v>1</v>
      </c>
    </row>
    <row r="877" spans="1:18" x14ac:dyDescent="0.3">
      <c r="A877" t="s">
        <v>2086</v>
      </c>
      <c r="B877" s="1">
        <v>45986</v>
      </c>
      <c r="C877" t="s">
        <v>29</v>
      </c>
      <c r="D877" t="s">
        <v>39</v>
      </c>
      <c r="E877">
        <v>22</v>
      </c>
      <c r="F877" t="s">
        <v>51</v>
      </c>
      <c r="G877" t="s">
        <v>104</v>
      </c>
      <c r="H877" t="s">
        <v>22</v>
      </c>
      <c r="I877" t="s">
        <v>23</v>
      </c>
      <c r="J877" t="s">
        <v>72</v>
      </c>
      <c r="K877">
        <v>10</v>
      </c>
      <c r="L877" s="4">
        <v>49400</v>
      </c>
      <c r="M877">
        <v>10</v>
      </c>
      <c r="N877" s="4">
        <v>444600</v>
      </c>
      <c r="O877" t="s">
        <v>85</v>
      </c>
      <c r="P877">
        <v>4</v>
      </c>
      <c r="Q877" t="s">
        <v>26</v>
      </c>
      <c r="R877">
        <v>0</v>
      </c>
    </row>
    <row r="878" spans="1:18" x14ac:dyDescent="0.3">
      <c r="A878" t="s">
        <v>2088</v>
      </c>
      <c r="B878" s="1">
        <v>45798</v>
      </c>
      <c r="C878" t="s">
        <v>19</v>
      </c>
      <c r="D878" t="s">
        <v>39</v>
      </c>
      <c r="E878">
        <v>30</v>
      </c>
      <c r="F878" t="s">
        <v>77</v>
      </c>
      <c r="G878" t="s">
        <v>95</v>
      </c>
      <c r="H878" t="s">
        <v>46</v>
      </c>
      <c r="I878" t="s">
        <v>79</v>
      </c>
      <c r="J878" t="s">
        <v>34</v>
      </c>
      <c r="K878">
        <v>3</v>
      </c>
      <c r="L878" s="4">
        <v>2000</v>
      </c>
      <c r="M878">
        <v>25</v>
      </c>
      <c r="N878" s="4">
        <v>4500</v>
      </c>
      <c r="O878" t="s">
        <v>85</v>
      </c>
      <c r="P878">
        <v>1</v>
      </c>
      <c r="Q878" t="s">
        <v>41</v>
      </c>
      <c r="R878">
        <v>1</v>
      </c>
    </row>
    <row r="879" spans="1:18" x14ac:dyDescent="0.3">
      <c r="A879" t="s">
        <v>2090</v>
      </c>
      <c r="B879" s="1">
        <v>45684</v>
      </c>
      <c r="C879" t="s">
        <v>71</v>
      </c>
      <c r="D879" t="s">
        <v>20</v>
      </c>
      <c r="E879">
        <v>56</v>
      </c>
      <c r="F879" t="s">
        <v>51</v>
      </c>
      <c r="G879" t="s">
        <v>52</v>
      </c>
      <c r="H879" t="s">
        <v>32</v>
      </c>
      <c r="I879" t="s">
        <v>33</v>
      </c>
      <c r="J879" t="s">
        <v>80</v>
      </c>
      <c r="K879">
        <v>5</v>
      </c>
      <c r="L879" s="4">
        <v>44900</v>
      </c>
      <c r="M879">
        <v>25</v>
      </c>
      <c r="N879" s="4">
        <v>168375</v>
      </c>
      <c r="O879" t="s">
        <v>73</v>
      </c>
      <c r="P879">
        <v>4</v>
      </c>
      <c r="Q879" t="s">
        <v>74</v>
      </c>
      <c r="R879">
        <v>0</v>
      </c>
    </row>
    <row r="880" spans="1:18" x14ac:dyDescent="0.3">
      <c r="A880" t="s">
        <v>2093</v>
      </c>
      <c r="B880" s="1">
        <v>46191</v>
      </c>
      <c r="C880" t="s">
        <v>71</v>
      </c>
      <c r="D880" t="s">
        <v>20</v>
      </c>
      <c r="E880">
        <v>39</v>
      </c>
      <c r="F880" t="s">
        <v>77</v>
      </c>
      <c r="G880" t="s">
        <v>95</v>
      </c>
      <c r="H880" t="s">
        <v>32</v>
      </c>
      <c r="I880" t="s">
        <v>53</v>
      </c>
      <c r="J880" t="s">
        <v>72</v>
      </c>
      <c r="K880">
        <v>10</v>
      </c>
      <c r="L880" s="4">
        <v>41600</v>
      </c>
      <c r="M880">
        <v>15</v>
      </c>
      <c r="N880" s="4">
        <v>353600</v>
      </c>
      <c r="O880" t="s">
        <v>25</v>
      </c>
      <c r="Q880" t="s">
        <v>74</v>
      </c>
      <c r="R880">
        <v>0</v>
      </c>
    </row>
    <row r="881" spans="1:18" x14ac:dyDescent="0.3">
      <c r="A881" t="s">
        <v>2094</v>
      </c>
      <c r="B881" s="1">
        <v>45749</v>
      </c>
      <c r="C881" t="s">
        <v>38</v>
      </c>
      <c r="D881" t="s">
        <v>20</v>
      </c>
      <c r="E881">
        <v>20</v>
      </c>
      <c r="F881" t="s">
        <v>44</v>
      </c>
      <c r="G881" t="s">
        <v>45</v>
      </c>
      <c r="H881" t="s">
        <v>62</v>
      </c>
      <c r="I881" t="s">
        <v>63</v>
      </c>
      <c r="J881" t="s">
        <v>64</v>
      </c>
      <c r="K881">
        <v>3</v>
      </c>
      <c r="L881" s="4">
        <v>11200</v>
      </c>
      <c r="M881">
        <v>5</v>
      </c>
      <c r="N881" s="4">
        <v>31920</v>
      </c>
      <c r="O881" t="s">
        <v>85</v>
      </c>
      <c r="P881">
        <v>5</v>
      </c>
      <c r="Q881" t="s">
        <v>26</v>
      </c>
      <c r="R881">
        <v>0</v>
      </c>
    </row>
    <row r="882" spans="1:18" x14ac:dyDescent="0.3">
      <c r="A882" t="s">
        <v>2095</v>
      </c>
      <c r="B882" s="1">
        <v>45672</v>
      </c>
      <c r="C882" t="s">
        <v>121</v>
      </c>
      <c r="D882" t="s">
        <v>3292</v>
      </c>
      <c r="E882">
        <v>36</v>
      </c>
      <c r="F882" t="s">
        <v>21</v>
      </c>
      <c r="G882" t="s">
        <v>21</v>
      </c>
      <c r="H882" t="s">
        <v>22</v>
      </c>
      <c r="I882" t="s">
        <v>23</v>
      </c>
      <c r="J882" t="s">
        <v>64</v>
      </c>
      <c r="K882">
        <v>1</v>
      </c>
      <c r="L882" s="4">
        <v>7500</v>
      </c>
      <c r="M882">
        <v>15</v>
      </c>
      <c r="N882" s="4">
        <v>6375</v>
      </c>
      <c r="O882" t="s">
        <v>85</v>
      </c>
      <c r="Q882" t="s">
        <v>41</v>
      </c>
      <c r="R882">
        <v>1</v>
      </c>
    </row>
    <row r="883" spans="1:18" x14ac:dyDescent="0.3">
      <c r="A883" t="s">
        <v>2097</v>
      </c>
      <c r="B883" s="1">
        <v>45771</v>
      </c>
      <c r="C883" t="s">
        <v>38</v>
      </c>
      <c r="D883" t="s">
        <v>3292</v>
      </c>
      <c r="E883">
        <v>61</v>
      </c>
      <c r="F883" t="s">
        <v>77</v>
      </c>
      <c r="G883" t="s">
        <v>78</v>
      </c>
      <c r="H883" t="s">
        <v>62</v>
      </c>
      <c r="I883" t="s">
        <v>63</v>
      </c>
      <c r="J883" t="s">
        <v>89</v>
      </c>
      <c r="K883">
        <v>1</v>
      </c>
      <c r="L883" s="4">
        <v>13000</v>
      </c>
      <c r="M883">
        <v>25</v>
      </c>
      <c r="N883" s="4">
        <v>9750</v>
      </c>
      <c r="O883" t="s">
        <v>85</v>
      </c>
      <c r="Q883" t="s">
        <v>65</v>
      </c>
      <c r="R883">
        <v>0</v>
      </c>
    </row>
    <row r="884" spans="1:18" x14ac:dyDescent="0.3">
      <c r="A884" t="s">
        <v>2098</v>
      </c>
      <c r="B884" s="1">
        <v>45658</v>
      </c>
      <c r="C884" t="s">
        <v>38</v>
      </c>
      <c r="D884" t="s">
        <v>39</v>
      </c>
      <c r="E884">
        <v>55</v>
      </c>
      <c r="F884" t="s">
        <v>77</v>
      </c>
      <c r="G884" t="s">
        <v>95</v>
      </c>
      <c r="H884" t="s">
        <v>22</v>
      </c>
      <c r="I884" t="s">
        <v>84</v>
      </c>
      <c r="J884" t="s">
        <v>89</v>
      </c>
      <c r="K884">
        <v>2</v>
      </c>
      <c r="L884" s="4">
        <v>34800</v>
      </c>
      <c r="M884">
        <v>10</v>
      </c>
      <c r="N884" s="4">
        <v>62640</v>
      </c>
      <c r="O884" t="s">
        <v>25</v>
      </c>
      <c r="Q884" t="s">
        <v>65</v>
      </c>
      <c r="R884">
        <v>0</v>
      </c>
    </row>
    <row r="885" spans="1:18" x14ac:dyDescent="0.3">
      <c r="A885" t="s">
        <v>2100</v>
      </c>
      <c r="B885" s="1">
        <v>46085</v>
      </c>
      <c r="C885" t="s">
        <v>94</v>
      </c>
      <c r="D885" t="s">
        <v>39</v>
      </c>
      <c r="E885">
        <v>47</v>
      </c>
      <c r="F885" t="s">
        <v>21</v>
      </c>
      <c r="G885" t="s">
        <v>21</v>
      </c>
      <c r="H885" t="s">
        <v>22</v>
      </c>
      <c r="I885" t="s">
        <v>84</v>
      </c>
      <c r="J885" t="s">
        <v>72</v>
      </c>
      <c r="K885">
        <v>3</v>
      </c>
      <c r="L885" s="4">
        <v>11500</v>
      </c>
      <c r="M885">
        <v>0</v>
      </c>
      <c r="N885" s="4">
        <v>34500</v>
      </c>
      <c r="O885" t="s">
        <v>25</v>
      </c>
      <c r="P885">
        <v>4</v>
      </c>
      <c r="Q885" t="s">
        <v>74</v>
      </c>
      <c r="R885">
        <v>0</v>
      </c>
    </row>
    <row r="886" spans="1:18" x14ac:dyDescent="0.3">
      <c r="A886" t="s">
        <v>2102</v>
      </c>
      <c r="B886" s="1">
        <v>46190</v>
      </c>
      <c r="C886" t="s">
        <v>113</v>
      </c>
      <c r="D886" t="s">
        <v>39</v>
      </c>
      <c r="E886">
        <v>36</v>
      </c>
      <c r="F886" t="s">
        <v>77</v>
      </c>
      <c r="G886" t="s">
        <v>95</v>
      </c>
      <c r="H886" t="s">
        <v>22</v>
      </c>
      <c r="I886" t="s">
        <v>23</v>
      </c>
      <c r="J886" t="s">
        <v>72</v>
      </c>
      <c r="K886">
        <v>2</v>
      </c>
      <c r="L886" s="4">
        <v>39500</v>
      </c>
      <c r="M886">
        <v>5</v>
      </c>
      <c r="N886" s="4">
        <v>75050</v>
      </c>
      <c r="O886" t="s">
        <v>25</v>
      </c>
      <c r="P886">
        <v>2</v>
      </c>
      <c r="Q886" t="s">
        <v>26</v>
      </c>
      <c r="R886">
        <v>0</v>
      </c>
    </row>
    <row r="887" spans="1:18" x14ac:dyDescent="0.3">
      <c r="A887" t="s">
        <v>2104</v>
      </c>
      <c r="B887" s="1">
        <v>45845</v>
      </c>
      <c r="C887" t="s">
        <v>29</v>
      </c>
      <c r="D887" t="s">
        <v>3292</v>
      </c>
      <c r="E887">
        <v>22</v>
      </c>
      <c r="F887" t="s">
        <v>51</v>
      </c>
      <c r="G887" t="s">
        <v>104</v>
      </c>
      <c r="H887" t="s">
        <v>22</v>
      </c>
      <c r="I887" t="s">
        <v>23</v>
      </c>
      <c r="J887" t="s">
        <v>72</v>
      </c>
      <c r="K887">
        <v>9</v>
      </c>
      <c r="L887" s="4">
        <v>48700</v>
      </c>
      <c r="M887">
        <v>25</v>
      </c>
      <c r="N887" s="4">
        <v>328725</v>
      </c>
      <c r="O887" t="s">
        <v>85</v>
      </c>
      <c r="Q887" t="s">
        <v>74</v>
      </c>
      <c r="R887">
        <v>0</v>
      </c>
    </row>
    <row r="888" spans="1:18" x14ac:dyDescent="0.3">
      <c r="A888" t="s">
        <v>2105</v>
      </c>
      <c r="B888" s="1">
        <v>46184</v>
      </c>
      <c r="C888" t="s">
        <v>68</v>
      </c>
      <c r="D888" t="s">
        <v>39</v>
      </c>
      <c r="E888">
        <v>21</v>
      </c>
      <c r="F888" t="s">
        <v>44</v>
      </c>
      <c r="G888" t="s">
        <v>45</v>
      </c>
      <c r="H888" t="s">
        <v>62</v>
      </c>
      <c r="I888" t="s">
        <v>63</v>
      </c>
      <c r="J888" t="s">
        <v>89</v>
      </c>
      <c r="K888">
        <v>4</v>
      </c>
      <c r="L888" s="4">
        <v>21600</v>
      </c>
      <c r="M888">
        <v>0</v>
      </c>
      <c r="N888" s="4">
        <v>86400</v>
      </c>
      <c r="O888" t="s">
        <v>25</v>
      </c>
      <c r="Q888" t="s">
        <v>74</v>
      </c>
      <c r="R888">
        <v>0</v>
      </c>
    </row>
    <row r="889" spans="1:18" x14ac:dyDescent="0.3">
      <c r="A889" t="s">
        <v>2106</v>
      </c>
      <c r="B889" s="1">
        <v>46142</v>
      </c>
      <c r="C889" t="s">
        <v>19</v>
      </c>
      <c r="D889" t="s">
        <v>20</v>
      </c>
      <c r="E889">
        <v>40</v>
      </c>
      <c r="F889" t="s">
        <v>51</v>
      </c>
      <c r="G889" t="s">
        <v>52</v>
      </c>
      <c r="H889" t="s">
        <v>32</v>
      </c>
      <c r="I889" t="s">
        <v>53</v>
      </c>
      <c r="J889" t="s">
        <v>89</v>
      </c>
      <c r="K889">
        <v>2</v>
      </c>
      <c r="L889" s="4">
        <v>49100</v>
      </c>
      <c r="M889">
        <v>10</v>
      </c>
      <c r="N889" s="4">
        <v>88380</v>
      </c>
      <c r="O889" t="s">
        <v>85</v>
      </c>
      <c r="Q889" t="s">
        <v>41</v>
      </c>
      <c r="R889">
        <v>1</v>
      </c>
    </row>
    <row r="890" spans="1:18" x14ac:dyDescent="0.3">
      <c r="A890" t="s">
        <v>2108</v>
      </c>
      <c r="B890" s="1">
        <v>46166</v>
      </c>
      <c r="C890" t="s">
        <v>121</v>
      </c>
      <c r="D890" t="s">
        <v>39</v>
      </c>
      <c r="E890">
        <v>52</v>
      </c>
      <c r="F890" t="s">
        <v>77</v>
      </c>
      <c r="G890" t="s">
        <v>78</v>
      </c>
      <c r="H890" t="s">
        <v>46</v>
      </c>
      <c r="I890" t="s">
        <v>79</v>
      </c>
      <c r="J890" t="s">
        <v>80</v>
      </c>
      <c r="K890">
        <v>4</v>
      </c>
      <c r="L890" s="4">
        <v>11100</v>
      </c>
      <c r="M890">
        <v>10</v>
      </c>
      <c r="N890" s="4">
        <v>39960</v>
      </c>
      <c r="O890" t="s">
        <v>85</v>
      </c>
      <c r="Q890" t="s">
        <v>65</v>
      </c>
      <c r="R890">
        <v>0</v>
      </c>
    </row>
    <row r="891" spans="1:18" x14ac:dyDescent="0.3">
      <c r="A891" t="s">
        <v>2110</v>
      </c>
      <c r="B891" s="1">
        <v>45862</v>
      </c>
      <c r="C891" t="s">
        <v>121</v>
      </c>
      <c r="D891" t="s">
        <v>39</v>
      </c>
      <c r="E891">
        <v>22</v>
      </c>
      <c r="F891" t="s">
        <v>21</v>
      </c>
      <c r="G891" t="s">
        <v>21</v>
      </c>
      <c r="H891" t="s">
        <v>22</v>
      </c>
      <c r="I891" t="s">
        <v>23</v>
      </c>
      <c r="J891" t="s">
        <v>72</v>
      </c>
      <c r="K891">
        <v>2</v>
      </c>
      <c r="L891" s="4">
        <v>30600</v>
      </c>
      <c r="M891">
        <v>0</v>
      </c>
      <c r="N891" s="4">
        <v>61200</v>
      </c>
      <c r="O891" t="s">
        <v>25</v>
      </c>
      <c r="P891">
        <v>2</v>
      </c>
      <c r="Q891" t="s">
        <v>65</v>
      </c>
      <c r="R891">
        <v>0</v>
      </c>
    </row>
    <row r="892" spans="1:18" x14ac:dyDescent="0.3">
      <c r="A892" t="s">
        <v>2111</v>
      </c>
      <c r="B892" s="1">
        <v>46157</v>
      </c>
      <c r="C892" t="s">
        <v>71</v>
      </c>
      <c r="D892" t="s">
        <v>39</v>
      </c>
      <c r="E892">
        <v>53</v>
      </c>
      <c r="F892" t="s">
        <v>77</v>
      </c>
      <c r="G892" t="s">
        <v>78</v>
      </c>
      <c r="H892" t="s">
        <v>62</v>
      </c>
      <c r="I892" t="s">
        <v>63</v>
      </c>
      <c r="J892" t="s">
        <v>24</v>
      </c>
      <c r="K892">
        <v>10</v>
      </c>
      <c r="L892" s="4">
        <v>16400</v>
      </c>
      <c r="M892">
        <v>20</v>
      </c>
      <c r="N892" s="4">
        <v>131200</v>
      </c>
      <c r="O892" t="s">
        <v>73</v>
      </c>
      <c r="P892">
        <v>2</v>
      </c>
      <c r="Q892" t="s">
        <v>74</v>
      </c>
      <c r="R892">
        <v>0</v>
      </c>
    </row>
    <row r="893" spans="1:18" x14ac:dyDescent="0.3">
      <c r="A893" t="s">
        <v>2112</v>
      </c>
      <c r="B893" s="1">
        <v>45681</v>
      </c>
      <c r="C893" t="s">
        <v>94</v>
      </c>
      <c r="D893" t="s">
        <v>39</v>
      </c>
      <c r="E893">
        <v>30</v>
      </c>
      <c r="F893" t="s">
        <v>77</v>
      </c>
      <c r="G893" t="s">
        <v>78</v>
      </c>
      <c r="H893" t="s">
        <v>62</v>
      </c>
      <c r="I893" t="s">
        <v>63</v>
      </c>
      <c r="J893" t="s">
        <v>80</v>
      </c>
      <c r="K893">
        <v>2</v>
      </c>
      <c r="L893" s="4">
        <v>11900</v>
      </c>
      <c r="M893">
        <v>25</v>
      </c>
      <c r="N893" s="4">
        <v>17850</v>
      </c>
      <c r="O893" t="s">
        <v>85</v>
      </c>
      <c r="Q893" t="s">
        <v>26</v>
      </c>
      <c r="R893">
        <v>0</v>
      </c>
    </row>
    <row r="894" spans="1:18" x14ac:dyDescent="0.3">
      <c r="A894" t="s">
        <v>2114</v>
      </c>
      <c r="B894" s="1">
        <v>45850</v>
      </c>
      <c r="C894" t="s">
        <v>71</v>
      </c>
      <c r="D894" t="s">
        <v>3292</v>
      </c>
      <c r="E894">
        <v>64</v>
      </c>
      <c r="F894" t="s">
        <v>61</v>
      </c>
      <c r="G894" t="s">
        <v>61</v>
      </c>
      <c r="H894" t="s">
        <v>32</v>
      </c>
      <c r="I894" t="s">
        <v>33</v>
      </c>
      <c r="J894" t="s">
        <v>64</v>
      </c>
      <c r="K894">
        <v>6</v>
      </c>
      <c r="L894" s="4">
        <v>46900</v>
      </c>
      <c r="M894">
        <v>10</v>
      </c>
      <c r="N894" s="4">
        <v>253260</v>
      </c>
      <c r="O894" t="s">
        <v>85</v>
      </c>
      <c r="P894">
        <v>1</v>
      </c>
      <c r="Q894" t="s">
        <v>26</v>
      </c>
      <c r="R894">
        <v>0</v>
      </c>
    </row>
    <row r="895" spans="1:18" x14ac:dyDescent="0.3">
      <c r="A895" t="s">
        <v>2116</v>
      </c>
      <c r="B895" s="1">
        <v>46158</v>
      </c>
      <c r="C895" t="s">
        <v>94</v>
      </c>
      <c r="D895" t="s">
        <v>39</v>
      </c>
      <c r="E895">
        <v>56</v>
      </c>
      <c r="F895" t="s">
        <v>44</v>
      </c>
      <c r="G895" t="s">
        <v>100</v>
      </c>
      <c r="H895" t="s">
        <v>62</v>
      </c>
      <c r="I895" t="s">
        <v>140</v>
      </c>
      <c r="J895" t="s">
        <v>72</v>
      </c>
      <c r="K895">
        <v>4</v>
      </c>
      <c r="L895" s="4">
        <v>30000</v>
      </c>
      <c r="M895">
        <v>10</v>
      </c>
      <c r="N895" s="4">
        <v>108000</v>
      </c>
      <c r="O895" t="s">
        <v>73</v>
      </c>
      <c r="P895">
        <v>1</v>
      </c>
      <c r="Q895" t="s">
        <v>26</v>
      </c>
      <c r="R895">
        <v>0</v>
      </c>
    </row>
    <row r="896" spans="1:18" x14ac:dyDescent="0.3">
      <c r="A896" t="s">
        <v>2118</v>
      </c>
      <c r="B896" s="1">
        <v>46179</v>
      </c>
      <c r="C896" t="s">
        <v>94</v>
      </c>
      <c r="D896" t="s">
        <v>20</v>
      </c>
      <c r="E896">
        <v>26</v>
      </c>
      <c r="F896" t="s">
        <v>61</v>
      </c>
      <c r="G896" t="s">
        <v>61</v>
      </c>
      <c r="H896" t="s">
        <v>62</v>
      </c>
      <c r="I896" t="s">
        <v>140</v>
      </c>
      <c r="J896" t="s">
        <v>24</v>
      </c>
      <c r="K896">
        <v>8</v>
      </c>
      <c r="L896" s="4">
        <v>37100</v>
      </c>
      <c r="M896">
        <v>0</v>
      </c>
      <c r="N896" s="4">
        <v>296800</v>
      </c>
      <c r="O896" t="s">
        <v>25</v>
      </c>
      <c r="P896">
        <v>4</v>
      </c>
      <c r="Q896" t="s">
        <v>26</v>
      </c>
      <c r="R896">
        <v>0</v>
      </c>
    </row>
    <row r="897" spans="1:18" x14ac:dyDescent="0.3">
      <c r="A897" t="s">
        <v>2119</v>
      </c>
      <c r="B897" s="1">
        <v>46090</v>
      </c>
      <c r="C897" t="s">
        <v>113</v>
      </c>
      <c r="D897" t="s">
        <v>3292</v>
      </c>
      <c r="E897">
        <v>47</v>
      </c>
      <c r="F897" t="s">
        <v>44</v>
      </c>
      <c r="G897" t="s">
        <v>100</v>
      </c>
      <c r="H897" t="s">
        <v>46</v>
      </c>
      <c r="I897" t="s">
        <v>79</v>
      </c>
      <c r="J897" t="s">
        <v>89</v>
      </c>
      <c r="K897">
        <v>10</v>
      </c>
      <c r="L897" s="4">
        <v>42300</v>
      </c>
      <c r="M897">
        <v>10</v>
      </c>
      <c r="N897" s="4">
        <v>380700</v>
      </c>
      <c r="O897" t="s">
        <v>73</v>
      </c>
      <c r="P897">
        <v>2</v>
      </c>
      <c r="Q897" t="s">
        <v>74</v>
      </c>
      <c r="R897">
        <v>0</v>
      </c>
    </row>
    <row r="898" spans="1:18" x14ac:dyDescent="0.3">
      <c r="A898" t="s">
        <v>2121</v>
      </c>
      <c r="B898" s="1">
        <v>46297</v>
      </c>
      <c r="C898" t="s">
        <v>88</v>
      </c>
      <c r="D898" t="s">
        <v>20</v>
      </c>
      <c r="E898">
        <v>25</v>
      </c>
      <c r="F898" t="s">
        <v>30</v>
      </c>
      <c r="G898" t="s">
        <v>57</v>
      </c>
      <c r="H898" t="s">
        <v>22</v>
      </c>
      <c r="I898" t="s">
        <v>23</v>
      </c>
      <c r="J898" t="s">
        <v>64</v>
      </c>
      <c r="K898">
        <v>4</v>
      </c>
      <c r="L898" s="4">
        <v>44500</v>
      </c>
      <c r="M898">
        <v>20</v>
      </c>
      <c r="N898" s="4">
        <v>142400</v>
      </c>
      <c r="O898" t="s">
        <v>25</v>
      </c>
      <c r="P898">
        <v>4</v>
      </c>
      <c r="Q898" t="s">
        <v>41</v>
      </c>
      <c r="R898">
        <v>1</v>
      </c>
    </row>
    <row r="899" spans="1:18" x14ac:dyDescent="0.3">
      <c r="A899" t="s">
        <v>2123</v>
      </c>
      <c r="B899" s="1">
        <v>46177</v>
      </c>
      <c r="C899" t="s">
        <v>94</v>
      </c>
      <c r="D899" t="s">
        <v>39</v>
      </c>
      <c r="E899">
        <v>48</v>
      </c>
      <c r="F899" t="s">
        <v>77</v>
      </c>
      <c r="G899" t="s">
        <v>95</v>
      </c>
      <c r="H899" t="s">
        <v>46</v>
      </c>
      <c r="I899" t="s">
        <v>47</v>
      </c>
      <c r="J899" t="s">
        <v>72</v>
      </c>
      <c r="K899">
        <v>10</v>
      </c>
      <c r="L899" s="4">
        <v>22900</v>
      </c>
      <c r="M899">
        <v>20</v>
      </c>
      <c r="N899" s="4">
        <v>183200</v>
      </c>
      <c r="O899" t="s">
        <v>25</v>
      </c>
      <c r="P899">
        <v>1</v>
      </c>
      <c r="Q899" t="s">
        <v>74</v>
      </c>
      <c r="R899">
        <v>0</v>
      </c>
    </row>
    <row r="900" spans="1:18" x14ac:dyDescent="0.3">
      <c r="A900" t="s">
        <v>2127</v>
      </c>
      <c r="B900" s="1">
        <v>45773</v>
      </c>
      <c r="C900" t="s">
        <v>94</v>
      </c>
      <c r="D900" t="s">
        <v>3292</v>
      </c>
      <c r="E900">
        <v>65</v>
      </c>
      <c r="F900" t="s">
        <v>51</v>
      </c>
      <c r="G900" t="s">
        <v>104</v>
      </c>
      <c r="H900" t="s">
        <v>32</v>
      </c>
      <c r="I900" t="s">
        <v>53</v>
      </c>
      <c r="J900" t="s">
        <v>89</v>
      </c>
      <c r="K900">
        <v>10</v>
      </c>
      <c r="L900" s="4">
        <v>43200</v>
      </c>
      <c r="M900">
        <v>20</v>
      </c>
      <c r="N900" s="4">
        <v>345600</v>
      </c>
      <c r="O900" t="s">
        <v>25</v>
      </c>
      <c r="P900">
        <v>3</v>
      </c>
      <c r="Q900" t="s">
        <v>65</v>
      </c>
      <c r="R900">
        <v>0</v>
      </c>
    </row>
    <row r="901" spans="1:18" x14ac:dyDescent="0.3">
      <c r="A901" t="s">
        <v>2129</v>
      </c>
      <c r="B901" s="1">
        <v>46066</v>
      </c>
      <c r="C901" t="s">
        <v>60</v>
      </c>
      <c r="D901" t="s">
        <v>39</v>
      </c>
      <c r="E901">
        <v>46</v>
      </c>
      <c r="F901" t="s">
        <v>30</v>
      </c>
      <c r="G901" t="s">
        <v>31</v>
      </c>
      <c r="H901" t="s">
        <v>62</v>
      </c>
      <c r="I901" t="s">
        <v>63</v>
      </c>
      <c r="J901" t="s">
        <v>64</v>
      </c>
      <c r="K901">
        <v>5</v>
      </c>
      <c r="L901" s="4">
        <v>24400</v>
      </c>
      <c r="M901">
        <v>10</v>
      </c>
      <c r="N901" s="4">
        <v>109800</v>
      </c>
      <c r="O901" t="s">
        <v>85</v>
      </c>
      <c r="P901">
        <v>5</v>
      </c>
      <c r="Q901" t="s">
        <v>74</v>
      </c>
      <c r="R901">
        <v>0</v>
      </c>
    </row>
    <row r="902" spans="1:18" x14ac:dyDescent="0.3">
      <c r="A902" t="s">
        <v>2131</v>
      </c>
      <c r="B902" s="1">
        <v>45932</v>
      </c>
      <c r="C902" t="s">
        <v>38</v>
      </c>
      <c r="D902" t="s">
        <v>20</v>
      </c>
      <c r="E902">
        <v>36</v>
      </c>
      <c r="F902" t="s">
        <v>44</v>
      </c>
      <c r="G902" t="s">
        <v>45</v>
      </c>
      <c r="H902" t="s">
        <v>46</v>
      </c>
      <c r="I902" t="s">
        <v>47</v>
      </c>
      <c r="J902" t="s">
        <v>34</v>
      </c>
      <c r="K902">
        <v>8</v>
      </c>
      <c r="L902" s="4">
        <v>3900</v>
      </c>
      <c r="M902">
        <v>20</v>
      </c>
      <c r="N902" s="4">
        <v>24960</v>
      </c>
      <c r="O902" t="s">
        <v>25</v>
      </c>
      <c r="P902">
        <v>5</v>
      </c>
      <c r="Q902" t="s">
        <v>41</v>
      </c>
      <c r="R902">
        <v>1</v>
      </c>
    </row>
    <row r="903" spans="1:18" x14ac:dyDescent="0.3">
      <c r="A903" t="s">
        <v>2133</v>
      </c>
      <c r="B903" s="1">
        <v>45759</v>
      </c>
      <c r="C903" t="s">
        <v>29</v>
      </c>
      <c r="D903" t="s">
        <v>20</v>
      </c>
      <c r="E903">
        <v>22</v>
      </c>
      <c r="F903" t="s">
        <v>21</v>
      </c>
      <c r="G903" t="s">
        <v>21</v>
      </c>
      <c r="H903" t="s">
        <v>46</v>
      </c>
      <c r="I903" t="s">
        <v>47</v>
      </c>
      <c r="J903" t="s">
        <v>64</v>
      </c>
      <c r="K903">
        <v>2</v>
      </c>
      <c r="L903" s="4">
        <v>45500</v>
      </c>
      <c r="M903">
        <v>20</v>
      </c>
      <c r="N903" s="4">
        <v>72800</v>
      </c>
      <c r="O903" t="s">
        <v>85</v>
      </c>
      <c r="P903">
        <v>2</v>
      </c>
      <c r="Q903" t="s">
        <v>26</v>
      </c>
      <c r="R903">
        <v>0</v>
      </c>
    </row>
    <row r="904" spans="1:18" x14ac:dyDescent="0.3">
      <c r="A904" t="s">
        <v>2134</v>
      </c>
      <c r="B904" s="1">
        <v>46146</v>
      </c>
      <c r="C904" t="s">
        <v>29</v>
      </c>
      <c r="D904" t="s">
        <v>20</v>
      </c>
      <c r="E904">
        <v>55</v>
      </c>
      <c r="F904" t="s">
        <v>44</v>
      </c>
      <c r="G904" t="s">
        <v>45</v>
      </c>
      <c r="H904" t="s">
        <v>46</v>
      </c>
      <c r="I904" t="s">
        <v>47</v>
      </c>
      <c r="J904" t="s">
        <v>89</v>
      </c>
      <c r="K904">
        <v>1</v>
      </c>
      <c r="L904" s="4">
        <v>32300</v>
      </c>
      <c r="M904">
        <v>25</v>
      </c>
      <c r="N904" s="4">
        <v>24225</v>
      </c>
      <c r="O904" t="s">
        <v>25</v>
      </c>
      <c r="P904">
        <v>1</v>
      </c>
      <c r="Q904" t="s">
        <v>41</v>
      </c>
      <c r="R904">
        <v>1</v>
      </c>
    </row>
    <row r="905" spans="1:18" x14ac:dyDescent="0.3">
      <c r="A905" t="s">
        <v>2138</v>
      </c>
      <c r="B905" s="1">
        <v>46095</v>
      </c>
      <c r="C905" t="s">
        <v>29</v>
      </c>
      <c r="D905" t="s">
        <v>20</v>
      </c>
      <c r="E905">
        <v>35</v>
      </c>
      <c r="F905" t="s">
        <v>77</v>
      </c>
      <c r="G905" t="s">
        <v>95</v>
      </c>
      <c r="H905" t="s">
        <v>62</v>
      </c>
      <c r="I905" t="s">
        <v>140</v>
      </c>
      <c r="J905" t="s">
        <v>64</v>
      </c>
      <c r="K905">
        <v>2</v>
      </c>
      <c r="L905" s="4">
        <v>2100</v>
      </c>
      <c r="M905">
        <v>0</v>
      </c>
      <c r="N905" s="4">
        <v>4200</v>
      </c>
      <c r="O905" t="s">
        <v>73</v>
      </c>
      <c r="P905">
        <v>4</v>
      </c>
      <c r="Q905" t="s">
        <v>65</v>
      </c>
      <c r="R905">
        <v>0</v>
      </c>
    </row>
    <row r="906" spans="1:18" x14ac:dyDescent="0.3">
      <c r="A906" t="s">
        <v>2139</v>
      </c>
      <c r="B906" s="1">
        <v>46183</v>
      </c>
      <c r="C906" t="s">
        <v>38</v>
      </c>
      <c r="D906" t="s">
        <v>20</v>
      </c>
      <c r="E906">
        <v>26</v>
      </c>
      <c r="F906" t="s">
        <v>61</v>
      </c>
      <c r="G906" t="s">
        <v>61</v>
      </c>
      <c r="H906" t="s">
        <v>62</v>
      </c>
      <c r="I906" t="s">
        <v>140</v>
      </c>
      <c r="J906" t="s">
        <v>89</v>
      </c>
      <c r="K906">
        <v>7</v>
      </c>
      <c r="L906" s="4">
        <v>8400</v>
      </c>
      <c r="M906">
        <v>25</v>
      </c>
      <c r="N906" s="4">
        <v>44100</v>
      </c>
      <c r="O906" t="s">
        <v>85</v>
      </c>
      <c r="Q906" t="s">
        <v>74</v>
      </c>
      <c r="R906">
        <v>0</v>
      </c>
    </row>
    <row r="907" spans="1:18" x14ac:dyDescent="0.3">
      <c r="A907" t="s">
        <v>2141</v>
      </c>
      <c r="B907" s="1">
        <v>45723</v>
      </c>
      <c r="C907" t="s">
        <v>71</v>
      </c>
      <c r="D907" t="s">
        <v>20</v>
      </c>
      <c r="E907">
        <v>23</v>
      </c>
      <c r="F907" t="s">
        <v>51</v>
      </c>
      <c r="G907" t="s">
        <v>52</v>
      </c>
      <c r="H907" t="s">
        <v>22</v>
      </c>
      <c r="I907" t="s">
        <v>84</v>
      </c>
      <c r="J907" t="s">
        <v>72</v>
      </c>
      <c r="K907">
        <v>10</v>
      </c>
      <c r="L907" s="4">
        <v>16400</v>
      </c>
      <c r="M907">
        <v>25</v>
      </c>
      <c r="N907" s="4">
        <v>123000</v>
      </c>
      <c r="O907" t="s">
        <v>25</v>
      </c>
      <c r="P907">
        <v>3</v>
      </c>
      <c r="Q907" t="s">
        <v>41</v>
      </c>
      <c r="R907">
        <v>1</v>
      </c>
    </row>
    <row r="908" spans="1:18" x14ac:dyDescent="0.3">
      <c r="A908" t="s">
        <v>2143</v>
      </c>
      <c r="B908" s="1">
        <v>45704</v>
      </c>
      <c r="C908" t="s">
        <v>121</v>
      </c>
      <c r="D908" t="s">
        <v>3292</v>
      </c>
      <c r="E908">
        <v>36</v>
      </c>
      <c r="F908" t="s">
        <v>61</v>
      </c>
      <c r="G908" t="s">
        <v>61</v>
      </c>
      <c r="H908" t="s">
        <v>62</v>
      </c>
      <c r="I908" t="s">
        <v>140</v>
      </c>
      <c r="J908" t="s">
        <v>64</v>
      </c>
      <c r="K908">
        <v>6</v>
      </c>
      <c r="L908" s="4">
        <v>45700</v>
      </c>
      <c r="M908">
        <v>25</v>
      </c>
      <c r="N908" s="4">
        <v>205650</v>
      </c>
      <c r="O908" t="s">
        <v>73</v>
      </c>
      <c r="P908">
        <v>2</v>
      </c>
      <c r="Q908" t="s">
        <v>74</v>
      </c>
      <c r="R908">
        <v>0</v>
      </c>
    </row>
    <row r="909" spans="1:18" x14ac:dyDescent="0.3">
      <c r="A909" t="s">
        <v>2145</v>
      </c>
      <c r="B909" s="1">
        <v>45895</v>
      </c>
      <c r="C909" t="s">
        <v>19</v>
      </c>
      <c r="D909" t="s">
        <v>39</v>
      </c>
      <c r="E909">
        <v>20</v>
      </c>
      <c r="F909" t="s">
        <v>21</v>
      </c>
      <c r="G909" t="s">
        <v>21</v>
      </c>
      <c r="H909" t="s">
        <v>62</v>
      </c>
      <c r="I909" t="s">
        <v>63</v>
      </c>
      <c r="J909" t="s">
        <v>80</v>
      </c>
      <c r="K909">
        <v>4</v>
      </c>
      <c r="L909" s="4">
        <v>42300</v>
      </c>
      <c r="M909">
        <v>25</v>
      </c>
      <c r="N909" s="4">
        <v>126900</v>
      </c>
      <c r="O909" t="s">
        <v>85</v>
      </c>
      <c r="P909">
        <v>2</v>
      </c>
      <c r="Q909" t="s">
        <v>26</v>
      </c>
      <c r="R909">
        <v>0</v>
      </c>
    </row>
    <row r="910" spans="1:18" x14ac:dyDescent="0.3">
      <c r="A910" t="s">
        <v>2147</v>
      </c>
      <c r="B910" s="1">
        <v>46103</v>
      </c>
      <c r="C910" t="s">
        <v>94</v>
      </c>
      <c r="D910" t="s">
        <v>39</v>
      </c>
      <c r="E910">
        <v>59</v>
      </c>
      <c r="F910" t="s">
        <v>21</v>
      </c>
      <c r="G910" t="s">
        <v>21</v>
      </c>
      <c r="H910" t="s">
        <v>62</v>
      </c>
      <c r="I910" t="s">
        <v>140</v>
      </c>
      <c r="J910" t="s">
        <v>80</v>
      </c>
      <c r="K910">
        <v>1</v>
      </c>
      <c r="L910" s="4">
        <v>16700</v>
      </c>
      <c r="M910">
        <v>25</v>
      </c>
      <c r="N910" s="4">
        <v>12525</v>
      </c>
      <c r="O910" t="s">
        <v>85</v>
      </c>
      <c r="P910">
        <v>2</v>
      </c>
      <c r="Q910" t="s">
        <v>26</v>
      </c>
      <c r="R910">
        <v>0</v>
      </c>
    </row>
    <row r="911" spans="1:18" x14ac:dyDescent="0.3">
      <c r="A911" t="s">
        <v>2150</v>
      </c>
      <c r="B911" s="1">
        <v>46071</v>
      </c>
      <c r="C911" t="s">
        <v>19</v>
      </c>
      <c r="D911" t="s">
        <v>20</v>
      </c>
      <c r="E911">
        <v>36</v>
      </c>
      <c r="F911" t="s">
        <v>61</v>
      </c>
      <c r="G911" t="s">
        <v>61</v>
      </c>
      <c r="H911" t="s">
        <v>62</v>
      </c>
      <c r="I911" t="s">
        <v>63</v>
      </c>
      <c r="J911" t="s">
        <v>80</v>
      </c>
      <c r="K911">
        <v>1</v>
      </c>
      <c r="L911" s="4">
        <v>27200</v>
      </c>
      <c r="M911">
        <v>25</v>
      </c>
      <c r="N911" s="4">
        <v>20400</v>
      </c>
      <c r="O911" t="s">
        <v>85</v>
      </c>
      <c r="Q911" t="s">
        <v>65</v>
      </c>
      <c r="R911">
        <v>0</v>
      </c>
    </row>
    <row r="912" spans="1:18" x14ac:dyDescent="0.3">
      <c r="A912" t="s">
        <v>2154</v>
      </c>
      <c r="B912" s="1">
        <v>45757</v>
      </c>
      <c r="C912" t="s">
        <v>94</v>
      </c>
      <c r="D912" t="s">
        <v>3292</v>
      </c>
      <c r="E912">
        <v>60</v>
      </c>
      <c r="F912" t="s">
        <v>44</v>
      </c>
      <c r="G912" t="s">
        <v>100</v>
      </c>
      <c r="H912" t="s">
        <v>62</v>
      </c>
      <c r="I912" t="s">
        <v>63</v>
      </c>
      <c r="J912" t="s">
        <v>64</v>
      </c>
      <c r="K912">
        <v>5</v>
      </c>
      <c r="L912" s="4">
        <v>28700</v>
      </c>
      <c r="M912">
        <v>10</v>
      </c>
      <c r="N912" s="4">
        <v>129150</v>
      </c>
      <c r="O912" t="s">
        <v>85</v>
      </c>
      <c r="P912">
        <v>1</v>
      </c>
      <c r="Q912" t="s">
        <v>74</v>
      </c>
      <c r="R912">
        <v>0</v>
      </c>
    </row>
    <row r="913" spans="1:18" x14ac:dyDescent="0.3">
      <c r="A913" t="s">
        <v>2155</v>
      </c>
      <c r="B913" s="1">
        <v>46001</v>
      </c>
      <c r="C913" t="s">
        <v>68</v>
      </c>
      <c r="D913" t="s">
        <v>39</v>
      </c>
      <c r="E913">
        <v>49</v>
      </c>
      <c r="F913" t="s">
        <v>30</v>
      </c>
      <c r="G913" t="s">
        <v>57</v>
      </c>
      <c r="H913" t="s">
        <v>32</v>
      </c>
      <c r="I913" t="s">
        <v>33</v>
      </c>
      <c r="J913" t="s">
        <v>24</v>
      </c>
      <c r="K913">
        <v>9</v>
      </c>
      <c r="L913" s="4">
        <v>18000</v>
      </c>
      <c r="M913">
        <v>5</v>
      </c>
      <c r="N913" s="4">
        <v>153900</v>
      </c>
      <c r="O913" t="s">
        <v>85</v>
      </c>
      <c r="P913">
        <v>5</v>
      </c>
      <c r="Q913" t="s">
        <v>74</v>
      </c>
      <c r="R913">
        <v>0</v>
      </c>
    </row>
    <row r="914" spans="1:18" x14ac:dyDescent="0.3">
      <c r="A914" t="s">
        <v>2157</v>
      </c>
      <c r="B914" s="1">
        <v>45884</v>
      </c>
      <c r="C914" t="s">
        <v>29</v>
      </c>
      <c r="D914" t="s">
        <v>20</v>
      </c>
      <c r="E914">
        <v>19</v>
      </c>
      <c r="F914" t="s">
        <v>61</v>
      </c>
      <c r="G914" t="s">
        <v>61</v>
      </c>
      <c r="H914" t="s">
        <v>62</v>
      </c>
      <c r="I914" t="s">
        <v>63</v>
      </c>
      <c r="J914" t="s">
        <v>80</v>
      </c>
      <c r="K914">
        <v>4</v>
      </c>
      <c r="L914" s="4">
        <v>38100</v>
      </c>
      <c r="M914">
        <v>25</v>
      </c>
      <c r="N914" s="4">
        <v>114300</v>
      </c>
      <c r="O914" t="s">
        <v>85</v>
      </c>
      <c r="P914">
        <v>4</v>
      </c>
      <c r="Q914" t="s">
        <v>74</v>
      </c>
      <c r="R914">
        <v>0</v>
      </c>
    </row>
    <row r="915" spans="1:18" x14ac:dyDescent="0.3">
      <c r="A915" t="s">
        <v>2160</v>
      </c>
      <c r="B915" s="1">
        <v>45660</v>
      </c>
      <c r="C915" t="s">
        <v>68</v>
      </c>
      <c r="D915" t="s">
        <v>3292</v>
      </c>
      <c r="E915">
        <v>38</v>
      </c>
      <c r="F915" t="s">
        <v>77</v>
      </c>
      <c r="G915" t="s">
        <v>95</v>
      </c>
      <c r="H915" t="s">
        <v>32</v>
      </c>
      <c r="I915" t="s">
        <v>33</v>
      </c>
      <c r="J915" t="s">
        <v>80</v>
      </c>
      <c r="K915">
        <v>2</v>
      </c>
      <c r="L915" s="4">
        <v>45000</v>
      </c>
      <c r="M915">
        <v>20</v>
      </c>
      <c r="N915" s="4">
        <v>72000</v>
      </c>
      <c r="O915" t="s">
        <v>73</v>
      </c>
      <c r="P915">
        <v>4</v>
      </c>
      <c r="Q915" t="s">
        <v>41</v>
      </c>
      <c r="R915">
        <v>1</v>
      </c>
    </row>
    <row r="916" spans="1:18" x14ac:dyDescent="0.3">
      <c r="A916" t="s">
        <v>2161</v>
      </c>
      <c r="B916" s="1">
        <v>45799</v>
      </c>
      <c r="C916" t="s">
        <v>71</v>
      </c>
      <c r="D916" t="s">
        <v>39</v>
      </c>
      <c r="E916">
        <v>38</v>
      </c>
      <c r="F916" t="s">
        <v>77</v>
      </c>
      <c r="G916" t="s">
        <v>78</v>
      </c>
      <c r="H916" t="s">
        <v>46</v>
      </c>
      <c r="I916" t="s">
        <v>47</v>
      </c>
      <c r="J916" t="s">
        <v>89</v>
      </c>
      <c r="K916">
        <v>8</v>
      </c>
      <c r="L916" s="4">
        <v>13300</v>
      </c>
      <c r="M916">
        <v>15</v>
      </c>
      <c r="N916" s="4">
        <v>90440</v>
      </c>
      <c r="O916" t="s">
        <v>25</v>
      </c>
      <c r="P916">
        <v>1</v>
      </c>
      <c r="Q916" t="s">
        <v>26</v>
      </c>
      <c r="R916">
        <v>0</v>
      </c>
    </row>
    <row r="917" spans="1:18" x14ac:dyDescent="0.3">
      <c r="A917" t="s">
        <v>2162</v>
      </c>
      <c r="B917" s="1">
        <v>45912</v>
      </c>
      <c r="C917" t="s">
        <v>88</v>
      </c>
      <c r="D917" t="s">
        <v>3292</v>
      </c>
      <c r="E917">
        <v>65</v>
      </c>
      <c r="F917" t="s">
        <v>21</v>
      </c>
      <c r="G917" t="s">
        <v>21</v>
      </c>
      <c r="H917" t="s">
        <v>32</v>
      </c>
      <c r="I917" t="s">
        <v>53</v>
      </c>
      <c r="J917" t="s">
        <v>89</v>
      </c>
      <c r="K917">
        <v>3</v>
      </c>
      <c r="L917" s="4">
        <v>25200</v>
      </c>
      <c r="M917">
        <v>10</v>
      </c>
      <c r="N917" s="4">
        <v>68040</v>
      </c>
      <c r="O917" t="s">
        <v>3293</v>
      </c>
      <c r="P917">
        <v>5</v>
      </c>
      <c r="Q917" t="s">
        <v>65</v>
      </c>
      <c r="R917">
        <v>0</v>
      </c>
    </row>
    <row r="918" spans="1:18" x14ac:dyDescent="0.3">
      <c r="A918" t="s">
        <v>2163</v>
      </c>
      <c r="B918" s="1">
        <v>45889</v>
      </c>
      <c r="C918" t="s">
        <v>19</v>
      </c>
      <c r="D918" t="s">
        <v>20</v>
      </c>
      <c r="E918">
        <v>61</v>
      </c>
      <c r="F918" t="s">
        <v>61</v>
      </c>
      <c r="G918" t="s">
        <v>61</v>
      </c>
      <c r="H918" t="s">
        <v>32</v>
      </c>
      <c r="I918" t="s">
        <v>53</v>
      </c>
      <c r="J918" t="s">
        <v>34</v>
      </c>
      <c r="K918">
        <v>9</v>
      </c>
      <c r="L918" s="4">
        <v>36700</v>
      </c>
      <c r="M918">
        <v>10</v>
      </c>
      <c r="N918" s="4">
        <v>297270</v>
      </c>
      <c r="O918" t="s">
        <v>73</v>
      </c>
      <c r="P918">
        <v>2</v>
      </c>
      <c r="Q918" t="s">
        <v>74</v>
      </c>
      <c r="R918">
        <v>0</v>
      </c>
    </row>
    <row r="919" spans="1:18" x14ac:dyDescent="0.3">
      <c r="A919" t="s">
        <v>2164</v>
      </c>
      <c r="B919" s="1">
        <v>46142</v>
      </c>
      <c r="C919" t="s">
        <v>121</v>
      </c>
      <c r="D919" t="s">
        <v>39</v>
      </c>
      <c r="E919">
        <v>32</v>
      </c>
      <c r="F919" t="s">
        <v>30</v>
      </c>
      <c r="G919" t="s">
        <v>57</v>
      </c>
      <c r="H919" t="s">
        <v>46</v>
      </c>
      <c r="I919" t="s">
        <v>79</v>
      </c>
      <c r="J919" t="s">
        <v>24</v>
      </c>
      <c r="K919">
        <v>9</v>
      </c>
      <c r="L919" s="4">
        <v>9500</v>
      </c>
      <c r="M919">
        <v>15</v>
      </c>
      <c r="N919" s="4">
        <v>72675</v>
      </c>
      <c r="O919" t="s">
        <v>73</v>
      </c>
      <c r="P919">
        <v>1</v>
      </c>
      <c r="Q919" t="s">
        <v>74</v>
      </c>
      <c r="R919">
        <v>0</v>
      </c>
    </row>
    <row r="920" spans="1:18" x14ac:dyDescent="0.3">
      <c r="A920" t="s">
        <v>2167</v>
      </c>
      <c r="B920" s="1">
        <v>45918</v>
      </c>
      <c r="C920" t="s">
        <v>94</v>
      </c>
      <c r="D920" t="s">
        <v>20</v>
      </c>
      <c r="E920">
        <v>39</v>
      </c>
      <c r="F920" t="s">
        <v>77</v>
      </c>
      <c r="G920" t="s">
        <v>95</v>
      </c>
      <c r="H920" t="s">
        <v>32</v>
      </c>
      <c r="I920" t="s">
        <v>33</v>
      </c>
      <c r="J920" t="s">
        <v>24</v>
      </c>
      <c r="K920">
        <v>10</v>
      </c>
      <c r="L920" s="4">
        <v>49400</v>
      </c>
      <c r="M920">
        <v>0</v>
      </c>
      <c r="N920" s="4">
        <v>494000</v>
      </c>
      <c r="O920" t="s">
        <v>85</v>
      </c>
      <c r="P920">
        <v>2</v>
      </c>
      <c r="Q920" t="s">
        <v>41</v>
      </c>
      <c r="R920">
        <v>1</v>
      </c>
    </row>
    <row r="921" spans="1:18" x14ac:dyDescent="0.3">
      <c r="A921" t="s">
        <v>2169</v>
      </c>
      <c r="B921" s="1">
        <v>45917</v>
      </c>
      <c r="C921" t="s">
        <v>113</v>
      </c>
      <c r="D921" t="s">
        <v>20</v>
      </c>
      <c r="E921">
        <v>36</v>
      </c>
      <c r="F921" t="s">
        <v>44</v>
      </c>
      <c r="G921" t="s">
        <v>100</v>
      </c>
      <c r="H921" t="s">
        <v>32</v>
      </c>
      <c r="I921" t="s">
        <v>53</v>
      </c>
      <c r="J921" t="s">
        <v>64</v>
      </c>
      <c r="K921">
        <v>4</v>
      </c>
      <c r="L921" s="4">
        <v>11900</v>
      </c>
      <c r="M921">
        <v>15</v>
      </c>
      <c r="N921" s="4">
        <v>40460</v>
      </c>
      <c r="O921" t="s">
        <v>25</v>
      </c>
      <c r="P921">
        <v>2</v>
      </c>
      <c r="Q921" t="s">
        <v>65</v>
      </c>
      <c r="R921">
        <v>0</v>
      </c>
    </row>
    <row r="922" spans="1:18" x14ac:dyDescent="0.3">
      <c r="A922" t="s">
        <v>2171</v>
      </c>
      <c r="B922" s="1">
        <v>46192</v>
      </c>
      <c r="C922" t="s">
        <v>113</v>
      </c>
      <c r="D922" t="s">
        <v>39</v>
      </c>
      <c r="E922">
        <v>24</v>
      </c>
      <c r="F922" t="s">
        <v>61</v>
      </c>
      <c r="G922" t="s">
        <v>61</v>
      </c>
      <c r="H922" t="s">
        <v>32</v>
      </c>
      <c r="I922" t="s">
        <v>33</v>
      </c>
      <c r="J922" t="s">
        <v>64</v>
      </c>
      <c r="K922">
        <v>9</v>
      </c>
      <c r="L922" s="4">
        <v>28600</v>
      </c>
      <c r="M922">
        <v>10</v>
      </c>
      <c r="N922" s="4">
        <v>231660</v>
      </c>
      <c r="O922" t="s">
        <v>25</v>
      </c>
      <c r="P922">
        <v>5</v>
      </c>
      <c r="Q922" t="s">
        <v>65</v>
      </c>
      <c r="R922">
        <v>0</v>
      </c>
    </row>
    <row r="923" spans="1:18" x14ac:dyDescent="0.3">
      <c r="A923" t="s">
        <v>2173</v>
      </c>
      <c r="B923" s="1">
        <v>46089</v>
      </c>
      <c r="C923" t="s">
        <v>113</v>
      </c>
      <c r="D923" t="s">
        <v>20</v>
      </c>
      <c r="E923">
        <v>150</v>
      </c>
      <c r="F923" t="s">
        <v>51</v>
      </c>
      <c r="G923" t="s">
        <v>52</v>
      </c>
      <c r="H923" t="s">
        <v>22</v>
      </c>
      <c r="I923" t="s">
        <v>84</v>
      </c>
      <c r="J923" t="s">
        <v>24</v>
      </c>
      <c r="K923">
        <v>5</v>
      </c>
      <c r="L923" s="4">
        <v>15400</v>
      </c>
      <c r="M923">
        <v>5</v>
      </c>
      <c r="N923" s="4">
        <v>73150</v>
      </c>
      <c r="O923" t="s">
        <v>73</v>
      </c>
      <c r="P923">
        <v>5</v>
      </c>
      <c r="Q923" t="s">
        <v>26</v>
      </c>
      <c r="R923">
        <v>0</v>
      </c>
    </row>
    <row r="924" spans="1:18" x14ac:dyDescent="0.3">
      <c r="A924" t="s">
        <v>2175</v>
      </c>
      <c r="B924" s="1">
        <v>46026</v>
      </c>
      <c r="C924" t="s">
        <v>88</v>
      </c>
      <c r="D924" t="s">
        <v>20</v>
      </c>
      <c r="E924">
        <v>43</v>
      </c>
      <c r="F924" t="s">
        <v>30</v>
      </c>
      <c r="G924" t="s">
        <v>31</v>
      </c>
      <c r="H924" t="s">
        <v>32</v>
      </c>
      <c r="I924" t="s">
        <v>33</v>
      </c>
      <c r="J924" t="s">
        <v>64</v>
      </c>
      <c r="K924">
        <v>10</v>
      </c>
      <c r="L924" s="4">
        <v>35300</v>
      </c>
      <c r="M924">
        <v>25</v>
      </c>
      <c r="N924" s="4">
        <v>264750</v>
      </c>
      <c r="O924" t="s">
        <v>73</v>
      </c>
      <c r="Q924" t="s">
        <v>41</v>
      </c>
      <c r="R924">
        <v>1</v>
      </c>
    </row>
    <row r="925" spans="1:18" x14ac:dyDescent="0.3">
      <c r="A925" t="s">
        <v>2178</v>
      </c>
      <c r="B925" s="1">
        <v>45690</v>
      </c>
      <c r="C925" t="s">
        <v>19</v>
      </c>
      <c r="D925" t="s">
        <v>39</v>
      </c>
      <c r="E925">
        <v>46</v>
      </c>
      <c r="F925" t="s">
        <v>44</v>
      </c>
      <c r="G925" t="s">
        <v>45</v>
      </c>
      <c r="H925" t="s">
        <v>22</v>
      </c>
      <c r="I925" t="s">
        <v>84</v>
      </c>
      <c r="J925" t="s">
        <v>89</v>
      </c>
      <c r="K925">
        <v>4</v>
      </c>
      <c r="L925" s="4">
        <v>4100</v>
      </c>
      <c r="M925">
        <v>10</v>
      </c>
      <c r="N925" s="4">
        <v>14760</v>
      </c>
      <c r="O925" t="s">
        <v>25</v>
      </c>
      <c r="Q925" t="s">
        <v>74</v>
      </c>
      <c r="R925">
        <v>0</v>
      </c>
    </row>
    <row r="926" spans="1:18" x14ac:dyDescent="0.3">
      <c r="A926" t="s">
        <v>2180</v>
      </c>
      <c r="B926" s="1">
        <v>45972</v>
      </c>
      <c r="C926" t="s">
        <v>71</v>
      </c>
      <c r="D926" t="s">
        <v>3292</v>
      </c>
      <c r="E926">
        <v>55</v>
      </c>
      <c r="F926" t="s">
        <v>61</v>
      </c>
      <c r="G926" t="s">
        <v>61</v>
      </c>
      <c r="H926" t="s">
        <v>62</v>
      </c>
      <c r="I926" t="s">
        <v>140</v>
      </c>
      <c r="J926" t="s">
        <v>34</v>
      </c>
      <c r="K926">
        <v>1</v>
      </c>
      <c r="L926" s="4">
        <v>45100</v>
      </c>
      <c r="M926">
        <v>10</v>
      </c>
      <c r="N926" s="4">
        <v>40590</v>
      </c>
      <c r="O926" t="s">
        <v>25</v>
      </c>
      <c r="P926">
        <v>3</v>
      </c>
      <c r="Q926" t="s">
        <v>74</v>
      </c>
      <c r="R926">
        <v>0</v>
      </c>
    </row>
    <row r="927" spans="1:18" x14ac:dyDescent="0.3">
      <c r="A927" t="s">
        <v>2181</v>
      </c>
      <c r="B927" s="1">
        <v>45911</v>
      </c>
      <c r="C927" t="s">
        <v>94</v>
      </c>
      <c r="D927" t="s">
        <v>20</v>
      </c>
      <c r="E927">
        <v>29</v>
      </c>
      <c r="F927" t="s">
        <v>77</v>
      </c>
      <c r="G927" t="s">
        <v>78</v>
      </c>
      <c r="H927" t="s">
        <v>46</v>
      </c>
      <c r="I927" t="s">
        <v>47</v>
      </c>
      <c r="J927" t="s">
        <v>34</v>
      </c>
      <c r="K927">
        <v>8</v>
      </c>
      <c r="L927" s="4">
        <v>15100</v>
      </c>
      <c r="M927">
        <v>25</v>
      </c>
      <c r="N927" s="4">
        <v>90600</v>
      </c>
      <c r="O927" t="s">
        <v>73</v>
      </c>
      <c r="P927">
        <v>5</v>
      </c>
      <c r="Q927" t="s">
        <v>74</v>
      </c>
      <c r="R927">
        <v>0</v>
      </c>
    </row>
    <row r="928" spans="1:18" x14ac:dyDescent="0.3">
      <c r="A928" t="s">
        <v>2182</v>
      </c>
      <c r="B928" s="1">
        <v>46080</v>
      </c>
      <c r="C928" t="s">
        <v>68</v>
      </c>
      <c r="D928" t="s">
        <v>20</v>
      </c>
      <c r="E928">
        <v>50</v>
      </c>
      <c r="F928" t="s">
        <v>61</v>
      </c>
      <c r="G928" t="s">
        <v>61</v>
      </c>
      <c r="H928" t="s">
        <v>32</v>
      </c>
      <c r="I928" t="s">
        <v>53</v>
      </c>
      <c r="J928" t="s">
        <v>72</v>
      </c>
      <c r="K928">
        <v>8</v>
      </c>
      <c r="L928" s="4">
        <v>5600</v>
      </c>
      <c r="M928">
        <v>15</v>
      </c>
      <c r="N928" s="4">
        <v>38080</v>
      </c>
      <c r="O928" t="s">
        <v>73</v>
      </c>
      <c r="Q928" t="s">
        <v>41</v>
      </c>
      <c r="R928">
        <v>1</v>
      </c>
    </row>
    <row r="929" spans="1:18" x14ac:dyDescent="0.3">
      <c r="A929" t="s">
        <v>2184</v>
      </c>
      <c r="B929" s="1">
        <v>45922</v>
      </c>
      <c r="C929" t="s">
        <v>19</v>
      </c>
      <c r="D929" t="s">
        <v>20</v>
      </c>
      <c r="E929">
        <v>23</v>
      </c>
      <c r="F929" t="s">
        <v>61</v>
      </c>
      <c r="G929" t="s">
        <v>61</v>
      </c>
      <c r="H929" t="s">
        <v>46</v>
      </c>
      <c r="I929" t="s">
        <v>79</v>
      </c>
      <c r="J929" t="s">
        <v>64</v>
      </c>
      <c r="K929">
        <v>1</v>
      </c>
      <c r="L929" s="4">
        <v>24300</v>
      </c>
      <c r="M929">
        <v>25</v>
      </c>
      <c r="N929" s="4">
        <v>18225</v>
      </c>
      <c r="O929" t="s">
        <v>3293</v>
      </c>
      <c r="Q929" t="s">
        <v>65</v>
      </c>
      <c r="R929">
        <v>0</v>
      </c>
    </row>
    <row r="930" spans="1:18" x14ac:dyDescent="0.3">
      <c r="A930" t="s">
        <v>2185</v>
      </c>
      <c r="B930" s="1">
        <v>45872</v>
      </c>
      <c r="C930" t="s">
        <v>38</v>
      </c>
      <c r="D930" t="s">
        <v>39</v>
      </c>
      <c r="E930">
        <v>48</v>
      </c>
      <c r="F930" t="s">
        <v>77</v>
      </c>
      <c r="G930" t="s">
        <v>95</v>
      </c>
      <c r="H930" t="s">
        <v>46</v>
      </c>
      <c r="I930" t="s">
        <v>79</v>
      </c>
      <c r="J930" t="s">
        <v>64</v>
      </c>
      <c r="K930">
        <v>5</v>
      </c>
      <c r="L930" s="4">
        <v>20700</v>
      </c>
      <c r="M930">
        <v>25</v>
      </c>
      <c r="N930" s="4">
        <v>77625</v>
      </c>
      <c r="O930" t="s">
        <v>25</v>
      </c>
      <c r="P930">
        <v>2</v>
      </c>
      <c r="Q930" t="s">
        <v>74</v>
      </c>
      <c r="R930">
        <v>0</v>
      </c>
    </row>
    <row r="931" spans="1:18" x14ac:dyDescent="0.3">
      <c r="A931" t="s">
        <v>2186</v>
      </c>
      <c r="B931" s="1">
        <v>45943</v>
      </c>
      <c r="C931" t="s">
        <v>19</v>
      </c>
      <c r="D931" t="s">
        <v>3292</v>
      </c>
      <c r="E931">
        <v>56</v>
      </c>
      <c r="F931" t="s">
        <v>61</v>
      </c>
      <c r="G931" t="s">
        <v>61</v>
      </c>
      <c r="H931" t="s">
        <v>62</v>
      </c>
      <c r="I931" t="s">
        <v>63</v>
      </c>
      <c r="J931" t="s">
        <v>34</v>
      </c>
      <c r="K931">
        <v>4</v>
      </c>
      <c r="L931" s="4">
        <v>7000</v>
      </c>
      <c r="M931">
        <v>25</v>
      </c>
      <c r="N931" s="4">
        <v>21000</v>
      </c>
      <c r="O931" t="s">
        <v>25</v>
      </c>
      <c r="Q931" t="s">
        <v>26</v>
      </c>
      <c r="R931">
        <v>0</v>
      </c>
    </row>
    <row r="932" spans="1:18" x14ac:dyDescent="0.3">
      <c r="A932" t="s">
        <v>2188</v>
      </c>
      <c r="B932" s="1">
        <v>45926</v>
      </c>
      <c r="C932" t="s">
        <v>121</v>
      </c>
      <c r="D932" t="s">
        <v>20</v>
      </c>
      <c r="E932">
        <v>28</v>
      </c>
      <c r="F932" t="s">
        <v>44</v>
      </c>
      <c r="G932" t="s">
        <v>100</v>
      </c>
      <c r="H932" t="s">
        <v>46</v>
      </c>
      <c r="I932" t="s">
        <v>79</v>
      </c>
      <c r="J932" t="s">
        <v>34</v>
      </c>
      <c r="K932">
        <v>3</v>
      </c>
      <c r="L932" s="4">
        <v>3600</v>
      </c>
      <c r="M932">
        <v>15</v>
      </c>
      <c r="N932" s="4">
        <v>9180</v>
      </c>
      <c r="O932" t="s">
        <v>85</v>
      </c>
      <c r="P932">
        <v>3</v>
      </c>
      <c r="Q932" t="s">
        <v>74</v>
      </c>
      <c r="R932">
        <v>0</v>
      </c>
    </row>
    <row r="933" spans="1:18" x14ac:dyDescent="0.3">
      <c r="A933" t="s">
        <v>2190</v>
      </c>
      <c r="B933" s="1">
        <v>46177</v>
      </c>
      <c r="C933" t="s">
        <v>88</v>
      </c>
      <c r="D933" t="s">
        <v>3292</v>
      </c>
      <c r="E933">
        <v>50</v>
      </c>
      <c r="F933" t="s">
        <v>44</v>
      </c>
      <c r="G933" t="s">
        <v>100</v>
      </c>
      <c r="H933" t="s">
        <v>46</v>
      </c>
      <c r="I933" t="s">
        <v>47</v>
      </c>
      <c r="J933" t="s">
        <v>89</v>
      </c>
      <c r="K933">
        <v>6</v>
      </c>
      <c r="L933" s="4">
        <v>35000</v>
      </c>
      <c r="M933">
        <v>5</v>
      </c>
      <c r="N933" s="4">
        <v>199500</v>
      </c>
      <c r="O933" t="s">
        <v>73</v>
      </c>
      <c r="Q933" t="s">
        <v>65</v>
      </c>
      <c r="R933">
        <v>0</v>
      </c>
    </row>
    <row r="934" spans="1:18" x14ac:dyDescent="0.3">
      <c r="A934" t="s">
        <v>2191</v>
      </c>
      <c r="B934" s="1">
        <v>45857</v>
      </c>
      <c r="C934" t="s">
        <v>94</v>
      </c>
      <c r="D934" t="s">
        <v>20</v>
      </c>
      <c r="E934">
        <v>25</v>
      </c>
      <c r="F934" t="s">
        <v>21</v>
      </c>
      <c r="G934" t="s">
        <v>21</v>
      </c>
      <c r="H934" t="s">
        <v>22</v>
      </c>
      <c r="I934" t="s">
        <v>23</v>
      </c>
      <c r="J934" t="s">
        <v>72</v>
      </c>
      <c r="K934">
        <v>4</v>
      </c>
      <c r="L934" s="4">
        <v>44000</v>
      </c>
      <c r="M934">
        <v>10</v>
      </c>
      <c r="N934" s="4">
        <v>158400</v>
      </c>
      <c r="O934" t="s">
        <v>85</v>
      </c>
      <c r="P934">
        <v>2</v>
      </c>
      <c r="Q934" t="s">
        <v>41</v>
      </c>
      <c r="R934">
        <v>1</v>
      </c>
    </row>
    <row r="935" spans="1:18" x14ac:dyDescent="0.3">
      <c r="A935" t="s">
        <v>2194</v>
      </c>
      <c r="B935" s="1">
        <v>45894</v>
      </c>
      <c r="C935" t="s">
        <v>68</v>
      </c>
      <c r="D935" t="s">
        <v>20</v>
      </c>
      <c r="E935">
        <v>44</v>
      </c>
      <c r="F935" t="s">
        <v>21</v>
      </c>
      <c r="G935" t="s">
        <v>21</v>
      </c>
      <c r="H935" t="s">
        <v>46</v>
      </c>
      <c r="I935" t="s">
        <v>79</v>
      </c>
      <c r="J935" t="s">
        <v>80</v>
      </c>
      <c r="K935">
        <v>10</v>
      </c>
      <c r="L935" s="4">
        <v>9300</v>
      </c>
      <c r="M935">
        <v>15</v>
      </c>
      <c r="N935" s="4">
        <v>79050</v>
      </c>
      <c r="O935" t="s">
        <v>25</v>
      </c>
      <c r="P935">
        <v>5</v>
      </c>
      <c r="Q935" t="s">
        <v>26</v>
      </c>
      <c r="R935">
        <v>0</v>
      </c>
    </row>
    <row r="936" spans="1:18" x14ac:dyDescent="0.3">
      <c r="A936" t="s">
        <v>2195</v>
      </c>
      <c r="B936" s="1">
        <v>45961</v>
      </c>
      <c r="C936" t="s">
        <v>29</v>
      </c>
      <c r="D936" t="s">
        <v>3292</v>
      </c>
      <c r="E936">
        <v>36</v>
      </c>
      <c r="F936" t="s">
        <v>51</v>
      </c>
      <c r="G936" t="s">
        <v>104</v>
      </c>
      <c r="H936" t="s">
        <v>22</v>
      </c>
      <c r="I936" t="s">
        <v>84</v>
      </c>
      <c r="J936" t="s">
        <v>72</v>
      </c>
      <c r="K936">
        <v>8</v>
      </c>
      <c r="L936" s="4">
        <v>11300</v>
      </c>
      <c r="M936">
        <v>15</v>
      </c>
      <c r="N936" s="4">
        <v>76840</v>
      </c>
      <c r="O936" t="s">
        <v>25</v>
      </c>
      <c r="P936">
        <v>5</v>
      </c>
      <c r="Q936" t="s">
        <v>41</v>
      </c>
      <c r="R936">
        <v>1</v>
      </c>
    </row>
    <row r="937" spans="1:18" x14ac:dyDescent="0.3">
      <c r="A937" t="s">
        <v>2197</v>
      </c>
      <c r="B937" s="1">
        <v>45719</v>
      </c>
      <c r="C937" t="s">
        <v>29</v>
      </c>
      <c r="D937" t="s">
        <v>20</v>
      </c>
      <c r="E937">
        <v>61</v>
      </c>
      <c r="F937" t="s">
        <v>30</v>
      </c>
      <c r="G937" t="s">
        <v>31</v>
      </c>
      <c r="H937" t="s">
        <v>46</v>
      </c>
      <c r="I937" t="s">
        <v>47</v>
      </c>
      <c r="J937" t="s">
        <v>24</v>
      </c>
      <c r="K937">
        <v>8</v>
      </c>
      <c r="L937" s="4">
        <v>25900</v>
      </c>
      <c r="M937">
        <v>0</v>
      </c>
      <c r="N937" s="4">
        <v>207200</v>
      </c>
      <c r="O937" t="s">
        <v>73</v>
      </c>
      <c r="P937">
        <v>4</v>
      </c>
      <c r="Q937" t="s">
        <v>74</v>
      </c>
      <c r="R937">
        <v>0</v>
      </c>
    </row>
    <row r="938" spans="1:18" x14ac:dyDescent="0.3">
      <c r="A938" t="s">
        <v>2198</v>
      </c>
      <c r="B938" s="1">
        <v>46121</v>
      </c>
      <c r="C938" t="s">
        <v>68</v>
      </c>
      <c r="D938" t="s">
        <v>3292</v>
      </c>
      <c r="E938">
        <v>51</v>
      </c>
      <c r="F938" t="s">
        <v>44</v>
      </c>
      <c r="G938" t="s">
        <v>100</v>
      </c>
      <c r="H938" t="s">
        <v>32</v>
      </c>
      <c r="I938" t="s">
        <v>33</v>
      </c>
      <c r="J938" t="s">
        <v>72</v>
      </c>
      <c r="K938">
        <v>1</v>
      </c>
      <c r="L938" s="4">
        <v>3600</v>
      </c>
      <c r="M938">
        <v>20</v>
      </c>
      <c r="N938" s="4">
        <v>2880</v>
      </c>
      <c r="O938" t="s">
        <v>73</v>
      </c>
      <c r="P938">
        <v>5</v>
      </c>
      <c r="Q938" t="s">
        <v>26</v>
      </c>
      <c r="R938">
        <v>0</v>
      </c>
    </row>
    <row r="939" spans="1:18" x14ac:dyDescent="0.3">
      <c r="A939" t="s">
        <v>2200</v>
      </c>
      <c r="B939" s="1">
        <v>45696</v>
      </c>
      <c r="C939" t="s">
        <v>113</v>
      </c>
      <c r="D939" t="s">
        <v>39</v>
      </c>
      <c r="E939">
        <v>27</v>
      </c>
      <c r="F939" t="s">
        <v>51</v>
      </c>
      <c r="G939" t="s">
        <v>104</v>
      </c>
      <c r="H939" t="s">
        <v>62</v>
      </c>
      <c r="I939" t="s">
        <v>140</v>
      </c>
      <c r="J939" t="s">
        <v>64</v>
      </c>
      <c r="K939">
        <v>3</v>
      </c>
      <c r="L939" s="4">
        <v>4900</v>
      </c>
      <c r="M939">
        <v>20</v>
      </c>
      <c r="N939" s="4">
        <v>11760</v>
      </c>
      <c r="O939" t="s">
        <v>73</v>
      </c>
      <c r="P939">
        <v>4</v>
      </c>
      <c r="Q939" t="s">
        <v>65</v>
      </c>
      <c r="R939">
        <v>0</v>
      </c>
    </row>
    <row r="940" spans="1:18" x14ac:dyDescent="0.3">
      <c r="A940" t="s">
        <v>2201</v>
      </c>
      <c r="B940" s="1">
        <v>45679</v>
      </c>
      <c r="C940" t="s">
        <v>71</v>
      </c>
      <c r="D940" t="s">
        <v>39</v>
      </c>
      <c r="E940">
        <v>65</v>
      </c>
      <c r="F940" t="s">
        <v>77</v>
      </c>
      <c r="G940" t="s">
        <v>78</v>
      </c>
      <c r="H940" t="s">
        <v>32</v>
      </c>
      <c r="I940" t="s">
        <v>33</v>
      </c>
      <c r="J940" t="s">
        <v>80</v>
      </c>
      <c r="K940">
        <v>8</v>
      </c>
      <c r="L940" s="4">
        <v>14200</v>
      </c>
      <c r="M940">
        <v>5</v>
      </c>
      <c r="N940" s="4">
        <v>107920</v>
      </c>
      <c r="O940" t="s">
        <v>73</v>
      </c>
      <c r="P940">
        <v>4</v>
      </c>
      <c r="Q940" t="s">
        <v>74</v>
      </c>
      <c r="R940">
        <v>0</v>
      </c>
    </row>
    <row r="941" spans="1:18" x14ac:dyDescent="0.3">
      <c r="A941" t="s">
        <v>2204</v>
      </c>
      <c r="B941" s="1">
        <v>46047</v>
      </c>
      <c r="C941" t="s">
        <v>29</v>
      </c>
      <c r="D941" t="s">
        <v>20</v>
      </c>
      <c r="E941">
        <v>21</v>
      </c>
      <c r="F941" t="s">
        <v>21</v>
      </c>
      <c r="G941" t="s">
        <v>21</v>
      </c>
      <c r="H941" t="s">
        <v>32</v>
      </c>
      <c r="I941" t="s">
        <v>53</v>
      </c>
      <c r="J941" t="s">
        <v>64</v>
      </c>
      <c r="K941">
        <v>6</v>
      </c>
      <c r="L941" s="4">
        <v>8800</v>
      </c>
      <c r="M941">
        <v>0</v>
      </c>
      <c r="N941" s="4">
        <v>52800</v>
      </c>
      <c r="O941" t="s">
        <v>85</v>
      </c>
      <c r="Q941" t="s">
        <v>41</v>
      </c>
      <c r="R941">
        <v>1</v>
      </c>
    </row>
    <row r="942" spans="1:18" x14ac:dyDescent="0.3">
      <c r="A942" t="s">
        <v>2206</v>
      </c>
      <c r="B942" s="1">
        <v>46357</v>
      </c>
      <c r="C942" t="s">
        <v>71</v>
      </c>
      <c r="D942" t="s">
        <v>3292</v>
      </c>
      <c r="E942">
        <v>52</v>
      </c>
      <c r="F942" t="s">
        <v>44</v>
      </c>
      <c r="G942" t="s">
        <v>45</v>
      </c>
      <c r="H942" t="s">
        <v>46</v>
      </c>
      <c r="I942" t="s">
        <v>79</v>
      </c>
      <c r="J942" t="s">
        <v>64</v>
      </c>
      <c r="K942">
        <v>5</v>
      </c>
      <c r="L942" s="4">
        <v>40000</v>
      </c>
      <c r="M942">
        <v>0</v>
      </c>
      <c r="N942" s="4">
        <v>200000</v>
      </c>
      <c r="O942" t="s">
        <v>73</v>
      </c>
      <c r="P942">
        <v>3</v>
      </c>
      <c r="Q942" t="s">
        <v>41</v>
      </c>
      <c r="R942">
        <v>1</v>
      </c>
    </row>
    <row r="943" spans="1:18" x14ac:dyDescent="0.3">
      <c r="A943" t="s">
        <v>2210</v>
      </c>
      <c r="B943" s="1">
        <v>46095</v>
      </c>
      <c r="C943" t="s">
        <v>60</v>
      </c>
      <c r="D943" t="s">
        <v>20</v>
      </c>
      <c r="E943">
        <v>64</v>
      </c>
      <c r="F943" t="s">
        <v>30</v>
      </c>
      <c r="G943" t="s">
        <v>31</v>
      </c>
      <c r="H943" t="s">
        <v>62</v>
      </c>
      <c r="I943" t="s">
        <v>63</v>
      </c>
      <c r="J943" t="s">
        <v>89</v>
      </c>
      <c r="K943">
        <v>9</v>
      </c>
      <c r="L943" s="4">
        <v>3900</v>
      </c>
      <c r="M943">
        <v>10</v>
      </c>
      <c r="N943" s="4">
        <v>31590</v>
      </c>
      <c r="O943" t="s">
        <v>25</v>
      </c>
      <c r="P943">
        <v>5</v>
      </c>
      <c r="Q943" t="s">
        <v>26</v>
      </c>
      <c r="R943">
        <v>0</v>
      </c>
    </row>
    <row r="944" spans="1:18" x14ac:dyDescent="0.3">
      <c r="A944" t="s">
        <v>2211</v>
      </c>
      <c r="B944" s="1">
        <v>45894</v>
      </c>
      <c r="C944" t="s">
        <v>88</v>
      </c>
      <c r="D944" t="s">
        <v>39</v>
      </c>
      <c r="E944">
        <v>41</v>
      </c>
      <c r="F944" t="s">
        <v>51</v>
      </c>
      <c r="G944" t="s">
        <v>104</v>
      </c>
      <c r="H944" t="s">
        <v>32</v>
      </c>
      <c r="I944" t="s">
        <v>53</v>
      </c>
      <c r="J944" t="s">
        <v>64</v>
      </c>
      <c r="K944">
        <v>8</v>
      </c>
      <c r="L944" s="4">
        <v>48900</v>
      </c>
      <c r="M944">
        <v>20</v>
      </c>
      <c r="N944" s="4">
        <v>312960</v>
      </c>
      <c r="O944" t="s">
        <v>85</v>
      </c>
      <c r="Q944" t="s">
        <v>74</v>
      </c>
      <c r="R944">
        <v>0</v>
      </c>
    </row>
    <row r="945" spans="1:18" x14ac:dyDescent="0.3">
      <c r="A945" t="s">
        <v>2213</v>
      </c>
      <c r="B945" s="1">
        <v>46039</v>
      </c>
      <c r="C945" t="s">
        <v>121</v>
      </c>
      <c r="D945" t="s">
        <v>39</v>
      </c>
      <c r="E945">
        <v>51</v>
      </c>
      <c r="F945" t="s">
        <v>30</v>
      </c>
      <c r="G945" t="s">
        <v>57</v>
      </c>
      <c r="H945" t="s">
        <v>62</v>
      </c>
      <c r="I945" t="s">
        <v>63</v>
      </c>
      <c r="J945" t="s">
        <v>64</v>
      </c>
      <c r="K945">
        <v>9</v>
      </c>
      <c r="L945" s="4">
        <v>43700</v>
      </c>
      <c r="M945">
        <v>10</v>
      </c>
      <c r="N945" s="4">
        <v>353970</v>
      </c>
      <c r="O945" t="s">
        <v>3293</v>
      </c>
      <c r="P945">
        <v>5</v>
      </c>
      <c r="Q945" t="s">
        <v>26</v>
      </c>
      <c r="R945">
        <v>0</v>
      </c>
    </row>
    <row r="946" spans="1:18" x14ac:dyDescent="0.3">
      <c r="A946" t="s">
        <v>2215</v>
      </c>
      <c r="B946" s="1">
        <v>45694</v>
      </c>
      <c r="C946" t="s">
        <v>94</v>
      </c>
      <c r="D946" t="s">
        <v>20</v>
      </c>
      <c r="E946">
        <v>65</v>
      </c>
      <c r="F946" t="s">
        <v>61</v>
      </c>
      <c r="G946" t="s">
        <v>61</v>
      </c>
      <c r="H946" t="s">
        <v>22</v>
      </c>
      <c r="I946" t="s">
        <v>84</v>
      </c>
      <c r="J946" t="s">
        <v>24</v>
      </c>
      <c r="K946">
        <v>2</v>
      </c>
      <c r="L946" s="4">
        <v>47100</v>
      </c>
      <c r="M946">
        <v>5</v>
      </c>
      <c r="N946" s="4">
        <v>89490</v>
      </c>
      <c r="O946" t="s">
        <v>73</v>
      </c>
      <c r="Q946" t="s">
        <v>65</v>
      </c>
      <c r="R946">
        <v>0</v>
      </c>
    </row>
    <row r="947" spans="1:18" x14ac:dyDescent="0.3">
      <c r="A947" t="s">
        <v>2217</v>
      </c>
      <c r="B947" s="1">
        <v>45953</v>
      </c>
      <c r="C947" t="s">
        <v>88</v>
      </c>
      <c r="D947" t="s">
        <v>39</v>
      </c>
      <c r="E947">
        <v>46</v>
      </c>
      <c r="F947" t="s">
        <v>21</v>
      </c>
      <c r="G947" t="s">
        <v>21</v>
      </c>
      <c r="H947" t="s">
        <v>46</v>
      </c>
      <c r="I947" t="s">
        <v>79</v>
      </c>
      <c r="J947" t="s">
        <v>80</v>
      </c>
      <c r="K947">
        <v>9</v>
      </c>
      <c r="L947" s="4">
        <v>40400</v>
      </c>
      <c r="M947">
        <v>20</v>
      </c>
      <c r="N947" s="4">
        <v>290880</v>
      </c>
      <c r="O947" t="s">
        <v>85</v>
      </c>
      <c r="Q947" t="s">
        <v>41</v>
      </c>
      <c r="R947">
        <v>1</v>
      </c>
    </row>
    <row r="948" spans="1:18" x14ac:dyDescent="0.3">
      <c r="A948" t="s">
        <v>2220</v>
      </c>
      <c r="B948" s="1">
        <v>46054</v>
      </c>
      <c r="C948" t="s">
        <v>88</v>
      </c>
      <c r="D948" t="s">
        <v>39</v>
      </c>
      <c r="E948">
        <v>35</v>
      </c>
      <c r="F948" t="s">
        <v>30</v>
      </c>
      <c r="G948" t="s">
        <v>57</v>
      </c>
      <c r="H948" t="s">
        <v>22</v>
      </c>
      <c r="I948" t="s">
        <v>84</v>
      </c>
      <c r="J948" t="s">
        <v>64</v>
      </c>
      <c r="K948">
        <v>5</v>
      </c>
      <c r="L948" s="4">
        <v>45000</v>
      </c>
      <c r="M948">
        <v>15</v>
      </c>
      <c r="N948" s="4">
        <v>191250</v>
      </c>
      <c r="O948" t="s">
        <v>85</v>
      </c>
      <c r="P948">
        <v>1</v>
      </c>
      <c r="Q948" t="s">
        <v>26</v>
      </c>
      <c r="R948">
        <v>0</v>
      </c>
    </row>
    <row r="949" spans="1:18" x14ac:dyDescent="0.3">
      <c r="A949" t="s">
        <v>2221</v>
      </c>
      <c r="B949" s="1">
        <v>45661</v>
      </c>
      <c r="C949" t="s">
        <v>113</v>
      </c>
      <c r="D949" t="s">
        <v>39</v>
      </c>
      <c r="E949">
        <v>33</v>
      </c>
      <c r="F949" t="s">
        <v>21</v>
      </c>
      <c r="G949" t="s">
        <v>21</v>
      </c>
      <c r="H949" t="s">
        <v>46</v>
      </c>
      <c r="I949" t="s">
        <v>47</v>
      </c>
      <c r="J949" t="s">
        <v>80</v>
      </c>
      <c r="K949">
        <v>9</v>
      </c>
      <c r="L949" s="4">
        <v>30200</v>
      </c>
      <c r="M949">
        <v>10</v>
      </c>
      <c r="N949" s="4">
        <v>244620</v>
      </c>
      <c r="O949" t="s">
        <v>25</v>
      </c>
      <c r="Q949" t="s">
        <v>41</v>
      </c>
      <c r="R949">
        <v>1</v>
      </c>
    </row>
    <row r="950" spans="1:18" x14ac:dyDescent="0.3">
      <c r="A950" t="s">
        <v>2224</v>
      </c>
      <c r="B950" s="1">
        <v>46003</v>
      </c>
      <c r="C950" t="s">
        <v>121</v>
      </c>
      <c r="D950" t="s">
        <v>3292</v>
      </c>
      <c r="E950">
        <v>34</v>
      </c>
      <c r="F950" t="s">
        <v>51</v>
      </c>
      <c r="G950" t="s">
        <v>52</v>
      </c>
      <c r="H950" t="s">
        <v>32</v>
      </c>
      <c r="I950" t="s">
        <v>53</v>
      </c>
      <c r="J950" t="s">
        <v>64</v>
      </c>
      <c r="K950">
        <v>7</v>
      </c>
      <c r="L950" s="4">
        <v>24700</v>
      </c>
      <c r="M950">
        <v>0</v>
      </c>
      <c r="N950" s="4">
        <v>172900</v>
      </c>
      <c r="O950" t="s">
        <v>85</v>
      </c>
      <c r="P950">
        <v>3</v>
      </c>
      <c r="Q950" t="s">
        <v>26</v>
      </c>
      <c r="R950">
        <v>0</v>
      </c>
    </row>
    <row r="951" spans="1:18" x14ac:dyDescent="0.3">
      <c r="A951" t="s">
        <v>2227</v>
      </c>
      <c r="B951" s="1">
        <v>45733</v>
      </c>
      <c r="C951" t="s">
        <v>68</v>
      </c>
      <c r="D951" t="s">
        <v>39</v>
      </c>
      <c r="E951">
        <v>48</v>
      </c>
      <c r="F951" t="s">
        <v>61</v>
      </c>
      <c r="G951" t="s">
        <v>61</v>
      </c>
      <c r="H951" t="s">
        <v>32</v>
      </c>
      <c r="I951" t="s">
        <v>33</v>
      </c>
      <c r="J951" t="s">
        <v>89</v>
      </c>
      <c r="K951">
        <v>8</v>
      </c>
      <c r="L951" s="4">
        <v>15500</v>
      </c>
      <c r="M951">
        <v>25</v>
      </c>
      <c r="N951" s="4">
        <v>93000</v>
      </c>
      <c r="O951" t="s">
        <v>85</v>
      </c>
      <c r="Q951" t="s">
        <v>41</v>
      </c>
      <c r="R951">
        <v>1</v>
      </c>
    </row>
    <row r="952" spans="1:18" x14ac:dyDescent="0.3">
      <c r="A952" t="s">
        <v>2230</v>
      </c>
      <c r="B952" s="1">
        <v>46142</v>
      </c>
      <c r="C952" t="s">
        <v>88</v>
      </c>
      <c r="D952" t="s">
        <v>20</v>
      </c>
      <c r="E952">
        <v>30</v>
      </c>
      <c r="F952" t="s">
        <v>21</v>
      </c>
      <c r="G952" t="s">
        <v>21</v>
      </c>
      <c r="H952" t="s">
        <v>22</v>
      </c>
      <c r="I952" t="s">
        <v>23</v>
      </c>
      <c r="J952" t="s">
        <v>64</v>
      </c>
      <c r="K952">
        <v>3</v>
      </c>
      <c r="L952" s="4">
        <v>37200</v>
      </c>
      <c r="M952">
        <v>15</v>
      </c>
      <c r="N952" s="4">
        <v>94860</v>
      </c>
      <c r="O952" t="s">
        <v>73</v>
      </c>
      <c r="Q952" t="s">
        <v>74</v>
      </c>
      <c r="R952">
        <v>0</v>
      </c>
    </row>
    <row r="953" spans="1:18" x14ac:dyDescent="0.3">
      <c r="A953" t="s">
        <v>2232</v>
      </c>
      <c r="B953" s="1">
        <v>46150</v>
      </c>
      <c r="C953" t="s">
        <v>19</v>
      </c>
      <c r="D953" t="s">
        <v>39</v>
      </c>
      <c r="E953">
        <v>23</v>
      </c>
      <c r="F953" t="s">
        <v>44</v>
      </c>
      <c r="G953" t="s">
        <v>100</v>
      </c>
      <c r="H953" t="s">
        <v>32</v>
      </c>
      <c r="I953" t="s">
        <v>33</v>
      </c>
      <c r="J953" t="s">
        <v>72</v>
      </c>
      <c r="K953">
        <v>6</v>
      </c>
      <c r="L953" s="4">
        <v>26200</v>
      </c>
      <c r="M953">
        <v>25</v>
      </c>
      <c r="N953" s="4">
        <v>117900</v>
      </c>
      <c r="O953" t="s">
        <v>85</v>
      </c>
      <c r="P953">
        <v>2</v>
      </c>
      <c r="Q953" t="s">
        <v>74</v>
      </c>
      <c r="R953">
        <v>0</v>
      </c>
    </row>
    <row r="954" spans="1:18" x14ac:dyDescent="0.3">
      <c r="A954" t="s">
        <v>2234</v>
      </c>
      <c r="B954" s="1">
        <v>45909</v>
      </c>
      <c r="C954" t="s">
        <v>113</v>
      </c>
      <c r="D954" t="s">
        <v>20</v>
      </c>
      <c r="E954">
        <v>38</v>
      </c>
      <c r="F954" t="s">
        <v>21</v>
      </c>
      <c r="G954" t="s">
        <v>21</v>
      </c>
      <c r="H954" t="s">
        <v>62</v>
      </c>
      <c r="I954" t="s">
        <v>140</v>
      </c>
      <c r="J954" t="s">
        <v>34</v>
      </c>
      <c r="K954">
        <v>9</v>
      </c>
      <c r="L954" s="4">
        <v>34000</v>
      </c>
      <c r="M954">
        <v>15</v>
      </c>
      <c r="N954" s="4">
        <v>260100</v>
      </c>
      <c r="O954" t="s">
        <v>73</v>
      </c>
      <c r="P954">
        <v>5</v>
      </c>
      <c r="Q954" t="s">
        <v>65</v>
      </c>
      <c r="R954">
        <v>0</v>
      </c>
    </row>
    <row r="955" spans="1:18" x14ac:dyDescent="0.3">
      <c r="A955" t="s">
        <v>2236</v>
      </c>
      <c r="B955" s="1">
        <v>45902</v>
      </c>
      <c r="C955" t="s">
        <v>29</v>
      </c>
      <c r="D955" t="s">
        <v>39</v>
      </c>
      <c r="E955">
        <v>45</v>
      </c>
      <c r="F955" t="s">
        <v>30</v>
      </c>
      <c r="G955" t="s">
        <v>57</v>
      </c>
      <c r="H955" t="s">
        <v>46</v>
      </c>
      <c r="I955" t="s">
        <v>47</v>
      </c>
      <c r="J955" t="s">
        <v>72</v>
      </c>
      <c r="K955">
        <v>4</v>
      </c>
      <c r="L955" s="4">
        <v>23000</v>
      </c>
      <c r="M955">
        <v>15</v>
      </c>
      <c r="N955" s="4">
        <v>78200</v>
      </c>
      <c r="O955" t="s">
        <v>73</v>
      </c>
      <c r="P955">
        <v>2</v>
      </c>
      <c r="Q955" t="s">
        <v>65</v>
      </c>
      <c r="R955">
        <v>0</v>
      </c>
    </row>
    <row r="956" spans="1:18" x14ac:dyDescent="0.3">
      <c r="A956" t="s">
        <v>2238</v>
      </c>
      <c r="B956" s="1">
        <v>45940</v>
      </c>
      <c r="C956" t="s">
        <v>94</v>
      </c>
      <c r="D956" t="s">
        <v>20</v>
      </c>
      <c r="E956">
        <v>55</v>
      </c>
      <c r="F956" t="s">
        <v>61</v>
      </c>
      <c r="G956" t="s">
        <v>61</v>
      </c>
      <c r="H956" t="s">
        <v>46</v>
      </c>
      <c r="I956" t="s">
        <v>47</v>
      </c>
      <c r="J956" t="s">
        <v>34</v>
      </c>
      <c r="K956">
        <v>6</v>
      </c>
      <c r="L956" s="4">
        <v>46100</v>
      </c>
      <c r="M956">
        <v>0</v>
      </c>
      <c r="N956" s="4">
        <v>276600</v>
      </c>
      <c r="O956" t="s">
        <v>85</v>
      </c>
      <c r="Q956" t="s">
        <v>65</v>
      </c>
      <c r="R956">
        <v>0</v>
      </c>
    </row>
    <row r="957" spans="1:18" x14ac:dyDescent="0.3">
      <c r="A957" t="s">
        <v>2239</v>
      </c>
      <c r="B957" s="1">
        <v>46011</v>
      </c>
      <c r="C957" t="s">
        <v>19</v>
      </c>
      <c r="D957" t="s">
        <v>3292</v>
      </c>
      <c r="E957">
        <v>40</v>
      </c>
      <c r="F957" t="s">
        <v>61</v>
      </c>
      <c r="G957" t="s">
        <v>61</v>
      </c>
      <c r="H957" t="s">
        <v>46</v>
      </c>
      <c r="I957" t="s">
        <v>79</v>
      </c>
      <c r="J957" t="s">
        <v>80</v>
      </c>
      <c r="K957">
        <v>4</v>
      </c>
      <c r="L957" s="4">
        <v>28200</v>
      </c>
      <c r="M957">
        <v>5</v>
      </c>
      <c r="N957" s="4">
        <v>107160</v>
      </c>
      <c r="O957" t="s">
        <v>85</v>
      </c>
      <c r="Q957" t="s">
        <v>65</v>
      </c>
      <c r="R957">
        <v>0</v>
      </c>
    </row>
    <row r="958" spans="1:18" x14ac:dyDescent="0.3">
      <c r="A958" t="s">
        <v>2241</v>
      </c>
      <c r="B958" s="1">
        <v>46003</v>
      </c>
      <c r="C958" t="s">
        <v>113</v>
      </c>
      <c r="D958" t="s">
        <v>3292</v>
      </c>
      <c r="E958">
        <v>32</v>
      </c>
      <c r="F958" t="s">
        <v>21</v>
      </c>
      <c r="G958" t="s">
        <v>21</v>
      </c>
      <c r="H958" t="s">
        <v>22</v>
      </c>
      <c r="I958" t="s">
        <v>84</v>
      </c>
      <c r="J958" t="s">
        <v>80</v>
      </c>
      <c r="K958">
        <v>8</v>
      </c>
      <c r="L958" s="4">
        <v>20800</v>
      </c>
      <c r="M958">
        <v>5</v>
      </c>
      <c r="N958" s="4">
        <v>158080</v>
      </c>
      <c r="O958" t="s">
        <v>73</v>
      </c>
      <c r="P958">
        <v>2</v>
      </c>
      <c r="Q958" t="s">
        <v>65</v>
      </c>
      <c r="R958">
        <v>0</v>
      </c>
    </row>
    <row r="959" spans="1:18" x14ac:dyDescent="0.3">
      <c r="A959" t="s">
        <v>2243</v>
      </c>
      <c r="B959" s="1">
        <v>46150</v>
      </c>
      <c r="C959" t="s">
        <v>29</v>
      </c>
      <c r="D959" t="s">
        <v>20</v>
      </c>
      <c r="E959">
        <v>54</v>
      </c>
      <c r="F959" t="s">
        <v>61</v>
      </c>
      <c r="G959" t="s">
        <v>61</v>
      </c>
      <c r="H959" t="s">
        <v>46</v>
      </c>
      <c r="I959" t="s">
        <v>47</v>
      </c>
      <c r="J959" t="s">
        <v>89</v>
      </c>
      <c r="K959">
        <v>9</v>
      </c>
      <c r="L959" s="4">
        <v>18200</v>
      </c>
      <c r="M959">
        <v>5</v>
      </c>
      <c r="N959" s="4">
        <v>155610</v>
      </c>
      <c r="O959" t="s">
        <v>85</v>
      </c>
      <c r="P959">
        <v>5</v>
      </c>
      <c r="Q959" t="s">
        <v>41</v>
      </c>
      <c r="R959">
        <v>1</v>
      </c>
    </row>
    <row r="960" spans="1:18" x14ac:dyDescent="0.3">
      <c r="A960" t="s">
        <v>2248</v>
      </c>
      <c r="B960" s="1">
        <v>45889</v>
      </c>
      <c r="C960" t="s">
        <v>113</v>
      </c>
      <c r="D960" t="s">
        <v>39</v>
      </c>
      <c r="E960">
        <v>32</v>
      </c>
      <c r="F960" t="s">
        <v>30</v>
      </c>
      <c r="G960" t="s">
        <v>31</v>
      </c>
      <c r="H960" t="s">
        <v>62</v>
      </c>
      <c r="I960" t="s">
        <v>140</v>
      </c>
      <c r="J960" t="s">
        <v>64</v>
      </c>
      <c r="K960">
        <v>9</v>
      </c>
      <c r="L960" s="4">
        <v>46900</v>
      </c>
      <c r="M960">
        <v>10</v>
      </c>
      <c r="N960" s="4">
        <v>379890</v>
      </c>
      <c r="O960" t="s">
        <v>85</v>
      </c>
      <c r="P960">
        <v>1</v>
      </c>
      <c r="Q960" t="s">
        <v>41</v>
      </c>
      <c r="R960">
        <v>1</v>
      </c>
    </row>
    <row r="961" spans="1:18" x14ac:dyDescent="0.3">
      <c r="A961" t="s">
        <v>2249</v>
      </c>
      <c r="B961" s="1">
        <v>45907</v>
      </c>
      <c r="C961" t="s">
        <v>88</v>
      </c>
      <c r="D961" t="s">
        <v>39</v>
      </c>
      <c r="E961">
        <v>34</v>
      </c>
      <c r="F961" t="s">
        <v>21</v>
      </c>
      <c r="G961" t="s">
        <v>21</v>
      </c>
      <c r="H961" t="s">
        <v>46</v>
      </c>
      <c r="I961" t="s">
        <v>47</v>
      </c>
      <c r="J961" t="s">
        <v>64</v>
      </c>
      <c r="K961">
        <v>1</v>
      </c>
      <c r="L961" s="4">
        <v>43800</v>
      </c>
      <c r="M961">
        <v>15</v>
      </c>
      <c r="N961" s="4">
        <v>37230</v>
      </c>
      <c r="O961" t="s">
        <v>85</v>
      </c>
      <c r="Q961" t="s">
        <v>41</v>
      </c>
      <c r="R961">
        <v>1</v>
      </c>
    </row>
    <row r="962" spans="1:18" x14ac:dyDescent="0.3">
      <c r="A962" t="s">
        <v>2251</v>
      </c>
      <c r="B962" s="1">
        <v>46186</v>
      </c>
      <c r="C962" t="s">
        <v>121</v>
      </c>
      <c r="D962" t="s">
        <v>39</v>
      </c>
      <c r="E962">
        <v>56</v>
      </c>
      <c r="F962" t="s">
        <v>77</v>
      </c>
      <c r="G962" t="s">
        <v>78</v>
      </c>
      <c r="H962" t="s">
        <v>62</v>
      </c>
      <c r="I962" t="s">
        <v>140</v>
      </c>
      <c r="J962" t="s">
        <v>80</v>
      </c>
      <c r="K962">
        <v>9</v>
      </c>
      <c r="L962" s="4">
        <v>10100</v>
      </c>
      <c r="M962">
        <v>20</v>
      </c>
      <c r="N962" s="4">
        <v>72720</v>
      </c>
      <c r="O962" t="s">
        <v>85</v>
      </c>
      <c r="P962">
        <v>2</v>
      </c>
      <c r="Q962" t="s">
        <v>74</v>
      </c>
      <c r="R962">
        <v>0</v>
      </c>
    </row>
    <row r="963" spans="1:18" x14ac:dyDescent="0.3">
      <c r="A963" t="s">
        <v>2252</v>
      </c>
      <c r="B963" s="1">
        <v>45743</v>
      </c>
      <c r="C963" t="s">
        <v>113</v>
      </c>
      <c r="D963" t="s">
        <v>39</v>
      </c>
      <c r="E963">
        <v>64</v>
      </c>
      <c r="F963" t="s">
        <v>21</v>
      </c>
      <c r="G963" t="s">
        <v>21</v>
      </c>
      <c r="H963" t="s">
        <v>32</v>
      </c>
      <c r="I963" t="s">
        <v>33</v>
      </c>
      <c r="J963" t="s">
        <v>34</v>
      </c>
      <c r="K963">
        <v>7</v>
      </c>
      <c r="L963" s="4">
        <v>12100</v>
      </c>
      <c r="M963">
        <v>25</v>
      </c>
      <c r="N963" s="4">
        <v>63525</v>
      </c>
      <c r="O963" t="s">
        <v>73</v>
      </c>
      <c r="P963">
        <v>3</v>
      </c>
      <c r="Q963" t="s">
        <v>65</v>
      </c>
      <c r="R963">
        <v>0</v>
      </c>
    </row>
    <row r="964" spans="1:18" x14ac:dyDescent="0.3">
      <c r="A964" t="s">
        <v>2253</v>
      </c>
      <c r="B964" s="1">
        <v>45909</v>
      </c>
      <c r="C964" t="s">
        <v>94</v>
      </c>
      <c r="D964" t="s">
        <v>39</v>
      </c>
      <c r="E964">
        <v>25</v>
      </c>
      <c r="F964" t="s">
        <v>51</v>
      </c>
      <c r="G964" t="s">
        <v>52</v>
      </c>
      <c r="H964" t="s">
        <v>22</v>
      </c>
      <c r="I964" t="s">
        <v>84</v>
      </c>
      <c r="J964" t="s">
        <v>89</v>
      </c>
      <c r="K964">
        <v>10</v>
      </c>
      <c r="L964" s="4">
        <v>29100</v>
      </c>
      <c r="M964">
        <v>25</v>
      </c>
      <c r="N964" s="4">
        <v>218250</v>
      </c>
      <c r="O964" t="s">
        <v>85</v>
      </c>
      <c r="Q964" t="s">
        <v>65</v>
      </c>
      <c r="R964">
        <v>0</v>
      </c>
    </row>
    <row r="965" spans="1:18" x14ac:dyDescent="0.3">
      <c r="A965" t="s">
        <v>2254</v>
      </c>
      <c r="B965" s="1">
        <v>46026</v>
      </c>
      <c r="C965" t="s">
        <v>29</v>
      </c>
      <c r="D965" t="s">
        <v>39</v>
      </c>
      <c r="E965">
        <v>39</v>
      </c>
      <c r="F965" t="s">
        <v>77</v>
      </c>
      <c r="G965" t="s">
        <v>78</v>
      </c>
      <c r="H965" t="s">
        <v>32</v>
      </c>
      <c r="I965" t="s">
        <v>33</v>
      </c>
      <c r="J965" t="s">
        <v>34</v>
      </c>
      <c r="K965">
        <v>8</v>
      </c>
      <c r="L965" s="4">
        <v>44400</v>
      </c>
      <c r="M965">
        <v>15</v>
      </c>
      <c r="N965" s="4">
        <v>301920</v>
      </c>
      <c r="O965" t="s">
        <v>85</v>
      </c>
      <c r="P965">
        <v>5</v>
      </c>
      <c r="Q965" t="s">
        <v>65</v>
      </c>
      <c r="R965">
        <v>0</v>
      </c>
    </row>
    <row r="966" spans="1:18" x14ac:dyDescent="0.3">
      <c r="A966" t="s">
        <v>2256</v>
      </c>
      <c r="B966" s="1">
        <v>45865</v>
      </c>
      <c r="C966" t="s">
        <v>38</v>
      </c>
      <c r="D966" t="s">
        <v>20</v>
      </c>
      <c r="E966">
        <v>62</v>
      </c>
      <c r="F966" t="s">
        <v>21</v>
      </c>
      <c r="G966" t="s">
        <v>21</v>
      </c>
      <c r="H966" t="s">
        <v>62</v>
      </c>
      <c r="I966" t="s">
        <v>140</v>
      </c>
      <c r="J966" t="s">
        <v>34</v>
      </c>
      <c r="K966">
        <v>5</v>
      </c>
      <c r="L966" s="4">
        <v>20600</v>
      </c>
      <c r="M966">
        <v>25</v>
      </c>
      <c r="N966" s="4">
        <v>77250</v>
      </c>
      <c r="O966" t="s">
        <v>3293</v>
      </c>
      <c r="P966">
        <v>4</v>
      </c>
      <c r="Q966" t="s">
        <v>26</v>
      </c>
      <c r="R966">
        <v>0</v>
      </c>
    </row>
    <row r="967" spans="1:18" x14ac:dyDescent="0.3">
      <c r="A967" t="s">
        <v>2257</v>
      </c>
      <c r="B967" s="1">
        <v>45819</v>
      </c>
      <c r="C967" t="s">
        <v>68</v>
      </c>
      <c r="D967" t="s">
        <v>20</v>
      </c>
      <c r="E967">
        <v>46</v>
      </c>
      <c r="F967" t="s">
        <v>21</v>
      </c>
      <c r="G967" t="s">
        <v>21</v>
      </c>
      <c r="H967" t="s">
        <v>22</v>
      </c>
      <c r="I967" t="s">
        <v>84</v>
      </c>
      <c r="J967" t="s">
        <v>64</v>
      </c>
      <c r="K967">
        <v>7</v>
      </c>
      <c r="L967" s="4">
        <v>4300</v>
      </c>
      <c r="M967">
        <v>0</v>
      </c>
      <c r="N967" s="4">
        <v>30100</v>
      </c>
      <c r="O967" t="s">
        <v>73</v>
      </c>
      <c r="P967">
        <v>1</v>
      </c>
      <c r="Q967" t="s">
        <v>41</v>
      </c>
      <c r="R967">
        <v>1</v>
      </c>
    </row>
    <row r="968" spans="1:18" x14ac:dyDescent="0.3">
      <c r="A968" t="s">
        <v>2259</v>
      </c>
      <c r="B968" s="1">
        <v>46035</v>
      </c>
      <c r="C968" t="s">
        <v>88</v>
      </c>
      <c r="D968" t="s">
        <v>3292</v>
      </c>
      <c r="E968">
        <v>42</v>
      </c>
      <c r="F968" t="s">
        <v>21</v>
      </c>
      <c r="G968" t="s">
        <v>21</v>
      </c>
      <c r="H968" t="s">
        <v>46</v>
      </c>
      <c r="I968" t="s">
        <v>47</v>
      </c>
      <c r="J968" t="s">
        <v>72</v>
      </c>
      <c r="K968">
        <v>1</v>
      </c>
      <c r="L968" s="4">
        <v>15400</v>
      </c>
      <c r="M968">
        <v>15</v>
      </c>
      <c r="N968" s="4">
        <v>13090</v>
      </c>
      <c r="O968" t="s">
        <v>73</v>
      </c>
      <c r="P968">
        <v>2</v>
      </c>
      <c r="Q968" t="s">
        <v>41</v>
      </c>
      <c r="R968">
        <v>1</v>
      </c>
    </row>
    <row r="969" spans="1:18" x14ac:dyDescent="0.3">
      <c r="A969" t="s">
        <v>2261</v>
      </c>
      <c r="B969" s="1">
        <v>45895</v>
      </c>
      <c r="C969" t="s">
        <v>71</v>
      </c>
      <c r="D969" t="s">
        <v>20</v>
      </c>
      <c r="E969">
        <v>49</v>
      </c>
      <c r="F969" t="s">
        <v>30</v>
      </c>
      <c r="G969" t="s">
        <v>31</v>
      </c>
      <c r="H969" t="s">
        <v>32</v>
      </c>
      <c r="I969" t="s">
        <v>33</v>
      </c>
      <c r="J969" t="s">
        <v>89</v>
      </c>
      <c r="K969">
        <v>7</v>
      </c>
      <c r="L969" s="4">
        <v>23300</v>
      </c>
      <c r="M969">
        <v>10</v>
      </c>
      <c r="N969" s="4">
        <v>146790</v>
      </c>
      <c r="O969" t="s">
        <v>85</v>
      </c>
      <c r="Q969" t="s">
        <v>65</v>
      </c>
      <c r="R969">
        <v>0</v>
      </c>
    </row>
    <row r="970" spans="1:18" x14ac:dyDescent="0.3">
      <c r="A970" t="s">
        <v>2262</v>
      </c>
      <c r="B970" s="1">
        <v>45940</v>
      </c>
      <c r="C970" t="s">
        <v>29</v>
      </c>
      <c r="D970" t="s">
        <v>39</v>
      </c>
      <c r="E970">
        <v>58</v>
      </c>
      <c r="F970" t="s">
        <v>61</v>
      </c>
      <c r="G970" t="s">
        <v>61</v>
      </c>
      <c r="H970" t="s">
        <v>46</v>
      </c>
      <c r="I970" t="s">
        <v>79</v>
      </c>
      <c r="J970" t="s">
        <v>89</v>
      </c>
      <c r="K970">
        <v>5</v>
      </c>
      <c r="L970" s="4">
        <v>2800</v>
      </c>
      <c r="M970">
        <v>10</v>
      </c>
      <c r="N970" s="4">
        <v>12600</v>
      </c>
      <c r="O970" t="s">
        <v>85</v>
      </c>
      <c r="P970">
        <v>4</v>
      </c>
      <c r="Q970" t="s">
        <v>41</v>
      </c>
      <c r="R970">
        <v>1</v>
      </c>
    </row>
    <row r="971" spans="1:18" x14ac:dyDescent="0.3">
      <c r="A971" t="s">
        <v>2267</v>
      </c>
      <c r="B971" s="1">
        <v>46209</v>
      </c>
      <c r="C971" t="s">
        <v>19</v>
      </c>
      <c r="D971" t="s">
        <v>20</v>
      </c>
      <c r="E971">
        <v>24</v>
      </c>
      <c r="F971" t="s">
        <v>77</v>
      </c>
      <c r="G971" t="s">
        <v>95</v>
      </c>
      <c r="H971" t="s">
        <v>46</v>
      </c>
      <c r="I971" t="s">
        <v>79</v>
      </c>
      <c r="J971" t="s">
        <v>24</v>
      </c>
      <c r="K971">
        <v>6</v>
      </c>
      <c r="L971" s="4">
        <v>46300</v>
      </c>
      <c r="M971">
        <v>15</v>
      </c>
      <c r="N971" s="4">
        <v>236130</v>
      </c>
      <c r="O971" t="s">
        <v>25</v>
      </c>
      <c r="Q971" t="s">
        <v>74</v>
      </c>
      <c r="R971">
        <v>0</v>
      </c>
    </row>
    <row r="972" spans="1:18" x14ac:dyDescent="0.3">
      <c r="A972" t="s">
        <v>2268</v>
      </c>
      <c r="B972" s="1">
        <v>45931</v>
      </c>
      <c r="C972" t="s">
        <v>94</v>
      </c>
      <c r="D972" t="s">
        <v>39</v>
      </c>
      <c r="E972">
        <v>27</v>
      </c>
      <c r="F972" t="s">
        <v>30</v>
      </c>
      <c r="G972" t="s">
        <v>57</v>
      </c>
      <c r="H972" t="s">
        <v>22</v>
      </c>
      <c r="I972" t="s">
        <v>23</v>
      </c>
      <c r="J972" t="s">
        <v>24</v>
      </c>
      <c r="K972">
        <v>10</v>
      </c>
      <c r="L972" s="4">
        <v>19200</v>
      </c>
      <c r="M972">
        <v>15</v>
      </c>
      <c r="N972" s="4">
        <v>163200</v>
      </c>
      <c r="O972" t="s">
        <v>73</v>
      </c>
      <c r="P972">
        <v>1</v>
      </c>
      <c r="Q972" t="s">
        <v>65</v>
      </c>
      <c r="R972">
        <v>0</v>
      </c>
    </row>
    <row r="973" spans="1:18" x14ac:dyDescent="0.3">
      <c r="A973" t="s">
        <v>2270</v>
      </c>
      <c r="B973" s="1">
        <v>45809</v>
      </c>
      <c r="C973" t="s">
        <v>29</v>
      </c>
      <c r="D973" t="s">
        <v>20</v>
      </c>
      <c r="E973">
        <v>59</v>
      </c>
      <c r="F973" t="s">
        <v>77</v>
      </c>
      <c r="G973" t="s">
        <v>95</v>
      </c>
      <c r="H973" t="s">
        <v>32</v>
      </c>
      <c r="I973" t="s">
        <v>33</v>
      </c>
      <c r="J973" t="s">
        <v>80</v>
      </c>
      <c r="K973">
        <v>7</v>
      </c>
      <c r="L973" s="4">
        <v>37400</v>
      </c>
      <c r="M973">
        <v>20</v>
      </c>
      <c r="N973" s="4">
        <v>209440</v>
      </c>
      <c r="O973" t="s">
        <v>73</v>
      </c>
      <c r="P973">
        <v>3</v>
      </c>
      <c r="Q973" t="s">
        <v>26</v>
      </c>
      <c r="R973">
        <v>0</v>
      </c>
    </row>
    <row r="974" spans="1:18" x14ac:dyDescent="0.3">
      <c r="A974" t="s">
        <v>2271</v>
      </c>
      <c r="B974" s="1">
        <v>45767</v>
      </c>
      <c r="C974" t="s">
        <v>38</v>
      </c>
      <c r="D974" t="s">
        <v>20</v>
      </c>
      <c r="E974">
        <v>150</v>
      </c>
      <c r="F974" t="s">
        <v>44</v>
      </c>
      <c r="G974" t="s">
        <v>100</v>
      </c>
      <c r="H974" t="s">
        <v>62</v>
      </c>
      <c r="I974" t="s">
        <v>63</v>
      </c>
      <c r="J974" t="s">
        <v>34</v>
      </c>
      <c r="K974">
        <v>10</v>
      </c>
      <c r="L974" s="4">
        <v>46000</v>
      </c>
      <c r="M974">
        <v>5</v>
      </c>
      <c r="N974" s="4">
        <v>437000</v>
      </c>
      <c r="O974" t="s">
        <v>73</v>
      </c>
      <c r="P974">
        <v>4</v>
      </c>
      <c r="Q974" t="s">
        <v>26</v>
      </c>
      <c r="R974">
        <v>0</v>
      </c>
    </row>
    <row r="975" spans="1:18" x14ac:dyDescent="0.3">
      <c r="A975" t="s">
        <v>2272</v>
      </c>
      <c r="B975" s="1">
        <v>45909</v>
      </c>
      <c r="C975" t="s">
        <v>29</v>
      </c>
      <c r="D975" t="s">
        <v>39</v>
      </c>
      <c r="E975">
        <v>19</v>
      </c>
      <c r="F975" t="s">
        <v>77</v>
      </c>
      <c r="G975" t="s">
        <v>78</v>
      </c>
      <c r="H975" t="s">
        <v>62</v>
      </c>
      <c r="I975" t="s">
        <v>140</v>
      </c>
      <c r="J975" t="s">
        <v>72</v>
      </c>
      <c r="K975">
        <v>10</v>
      </c>
      <c r="L975" s="4">
        <v>38200</v>
      </c>
      <c r="M975">
        <v>20</v>
      </c>
      <c r="N975" s="4">
        <v>305600</v>
      </c>
      <c r="O975" t="s">
        <v>85</v>
      </c>
      <c r="P975">
        <v>5</v>
      </c>
      <c r="Q975" t="s">
        <v>26</v>
      </c>
      <c r="R975">
        <v>0</v>
      </c>
    </row>
    <row r="976" spans="1:18" x14ac:dyDescent="0.3">
      <c r="A976" t="s">
        <v>2275</v>
      </c>
      <c r="B976" s="1">
        <v>45865</v>
      </c>
      <c r="C976" t="s">
        <v>38</v>
      </c>
      <c r="D976" t="s">
        <v>39</v>
      </c>
      <c r="E976">
        <v>49</v>
      </c>
      <c r="F976" t="s">
        <v>77</v>
      </c>
      <c r="G976" t="s">
        <v>95</v>
      </c>
      <c r="H976" t="s">
        <v>62</v>
      </c>
      <c r="I976" t="s">
        <v>140</v>
      </c>
      <c r="J976" t="s">
        <v>72</v>
      </c>
      <c r="K976">
        <v>7</v>
      </c>
      <c r="L976" s="4">
        <v>22100</v>
      </c>
      <c r="M976">
        <v>15</v>
      </c>
      <c r="N976" s="4">
        <v>131495</v>
      </c>
      <c r="O976" t="s">
        <v>25</v>
      </c>
      <c r="P976">
        <v>3</v>
      </c>
      <c r="Q976" t="s">
        <v>65</v>
      </c>
      <c r="R976">
        <v>0</v>
      </c>
    </row>
    <row r="977" spans="1:18" x14ac:dyDescent="0.3">
      <c r="A977" t="s">
        <v>2276</v>
      </c>
      <c r="B977" s="1">
        <v>45949</v>
      </c>
      <c r="C977" t="s">
        <v>88</v>
      </c>
      <c r="D977" t="s">
        <v>20</v>
      </c>
      <c r="E977">
        <v>21</v>
      </c>
      <c r="F977" t="s">
        <v>21</v>
      </c>
      <c r="G977" t="s">
        <v>21</v>
      </c>
      <c r="H977" t="s">
        <v>32</v>
      </c>
      <c r="I977" t="s">
        <v>33</v>
      </c>
      <c r="J977" t="s">
        <v>89</v>
      </c>
      <c r="K977">
        <v>7</v>
      </c>
      <c r="L977" s="4">
        <v>45100</v>
      </c>
      <c r="M977">
        <v>20</v>
      </c>
      <c r="N977" s="4">
        <v>252560</v>
      </c>
      <c r="O977" t="s">
        <v>73</v>
      </c>
      <c r="P977">
        <v>1</v>
      </c>
      <c r="Q977" t="s">
        <v>74</v>
      </c>
      <c r="R977">
        <v>0</v>
      </c>
    </row>
    <row r="978" spans="1:18" x14ac:dyDescent="0.3">
      <c r="A978" t="s">
        <v>2278</v>
      </c>
      <c r="B978" s="1">
        <v>46158</v>
      </c>
      <c r="C978" t="s">
        <v>94</v>
      </c>
      <c r="D978" t="s">
        <v>3292</v>
      </c>
      <c r="E978">
        <v>55</v>
      </c>
      <c r="F978" t="s">
        <v>61</v>
      </c>
      <c r="G978" t="s">
        <v>61</v>
      </c>
      <c r="H978" t="s">
        <v>62</v>
      </c>
      <c r="I978" t="s">
        <v>63</v>
      </c>
      <c r="J978" t="s">
        <v>34</v>
      </c>
      <c r="K978">
        <v>2</v>
      </c>
      <c r="L978" s="4">
        <v>41400</v>
      </c>
      <c r="M978">
        <v>10</v>
      </c>
      <c r="N978" s="4">
        <v>74520</v>
      </c>
      <c r="O978" t="s">
        <v>85</v>
      </c>
      <c r="P978">
        <v>3</v>
      </c>
      <c r="Q978" t="s">
        <v>65</v>
      </c>
      <c r="R978">
        <v>0</v>
      </c>
    </row>
    <row r="979" spans="1:18" x14ac:dyDescent="0.3">
      <c r="A979" t="s">
        <v>2280</v>
      </c>
      <c r="B979" s="1">
        <v>46039</v>
      </c>
      <c r="C979" t="s">
        <v>19</v>
      </c>
      <c r="D979" t="s">
        <v>20</v>
      </c>
      <c r="E979">
        <v>25</v>
      </c>
      <c r="F979" t="s">
        <v>61</v>
      </c>
      <c r="G979" t="s">
        <v>61</v>
      </c>
      <c r="H979" t="s">
        <v>46</v>
      </c>
      <c r="I979" t="s">
        <v>47</v>
      </c>
      <c r="J979" t="s">
        <v>89</v>
      </c>
      <c r="K979">
        <v>8</v>
      </c>
      <c r="L979" s="4">
        <v>3300</v>
      </c>
      <c r="M979">
        <v>25</v>
      </c>
      <c r="N979" s="4">
        <v>19800</v>
      </c>
      <c r="O979" t="s">
        <v>73</v>
      </c>
      <c r="P979">
        <v>2</v>
      </c>
      <c r="Q979" t="s">
        <v>65</v>
      </c>
      <c r="R979">
        <v>0</v>
      </c>
    </row>
    <row r="980" spans="1:18" x14ac:dyDescent="0.3">
      <c r="A980" t="s">
        <v>2281</v>
      </c>
      <c r="B980" s="1">
        <v>45982</v>
      </c>
      <c r="C980" t="s">
        <v>60</v>
      </c>
      <c r="D980" t="s">
        <v>39</v>
      </c>
      <c r="E980">
        <v>64</v>
      </c>
      <c r="F980" t="s">
        <v>77</v>
      </c>
      <c r="G980" t="s">
        <v>78</v>
      </c>
      <c r="H980" t="s">
        <v>22</v>
      </c>
      <c r="I980" t="s">
        <v>84</v>
      </c>
      <c r="J980" t="s">
        <v>72</v>
      </c>
      <c r="K980">
        <v>9</v>
      </c>
      <c r="L980" s="4">
        <v>36800</v>
      </c>
      <c r="M980">
        <v>10</v>
      </c>
      <c r="N980" s="4">
        <v>298080</v>
      </c>
      <c r="O980" t="s">
        <v>73</v>
      </c>
      <c r="P980">
        <v>3</v>
      </c>
      <c r="Q980" t="s">
        <v>65</v>
      </c>
      <c r="R980">
        <v>0</v>
      </c>
    </row>
    <row r="981" spans="1:18" x14ac:dyDescent="0.3">
      <c r="A981" t="s">
        <v>2283</v>
      </c>
      <c r="B981" s="1">
        <v>46025</v>
      </c>
      <c r="C981" t="s">
        <v>121</v>
      </c>
      <c r="D981" t="s">
        <v>39</v>
      </c>
      <c r="E981">
        <v>63</v>
      </c>
      <c r="F981" t="s">
        <v>21</v>
      </c>
      <c r="G981" t="s">
        <v>21</v>
      </c>
      <c r="H981" t="s">
        <v>32</v>
      </c>
      <c r="I981" t="s">
        <v>33</v>
      </c>
      <c r="J981" t="s">
        <v>72</v>
      </c>
      <c r="K981">
        <v>10</v>
      </c>
      <c r="L981" s="4">
        <v>12400</v>
      </c>
      <c r="M981">
        <v>20</v>
      </c>
      <c r="N981" s="4">
        <v>99200</v>
      </c>
      <c r="O981" t="s">
        <v>73</v>
      </c>
      <c r="P981">
        <v>2</v>
      </c>
      <c r="Q981" t="s">
        <v>74</v>
      </c>
      <c r="R981">
        <v>0</v>
      </c>
    </row>
    <row r="982" spans="1:18" x14ac:dyDescent="0.3">
      <c r="A982" t="s">
        <v>2285</v>
      </c>
      <c r="B982" s="1">
        <v>45868</v>
      </c>
      <c r="C982" t="s">
        <v>113</v>
      </c>
      <c r="D982" t="s">
        <v>39</v>
      </c>
      <c r="E982">
        <v>33</v>
      </c>
      <c r="F982" t="s">
        <v>61</v>
      </c>
      <c r="G982" t="s">
        <v>61</v>
      </c>
      <c r="H982" t="s">
        <v>32</v>
      </c>
      <c r="I982" t="s">
        <v>33</v>
      </c>
      <c r="J982" t="s">
        <v>34</v>
      </c>
      <c r="K982">
        <v>6</v>
      </c>
      <c r="L982" s="4">
        <v>11900</v>
      </c>
      <c r="M982">
        <v>0</v>
      </c>
      <c r="N982" s="4">
        <v>71400</v>
      </c>
      <c r="O982" t="s">
        <v>3293</v>
      </c>
      <c r="P982">
        <v>5</v>
      </c>
      <c r="Q982" t="s">
        <v>74</v>
      </c>
      <c r="R982">
        <v>0</v>
      </c>
    </row>
    <row r="983" spans="1:18" x14ac:dyDescent="0.3">
      <c r="A983" t="s">
        <v>2287</v>
      </c>
      <c r="B983" s="1">
        <v>45671</v>
      </c>
      <c r="C983" t="s">
        <v>94</v>
      </c>
      <c r="D983" t="s">
        <v>39</v>
      </c>
      <c r="E983">
        <v>57</v>
      </c>
      <c r="F983" t="s">
        <v>61</v>
      </c>
      <c r="G983" t="s">
        <v>61</v>
      </c>
      <c r="H983" t="s">
        <v>32</v>
      </c>
      <c r="I983" t="s">
        <v>53</v>
      </c>
      <c r="J983" t="s">
        <v>80</v>
      </c>
      <c r="K983">
        <v>3</v>
      </c>
      <c r="L983" s="4">
        <v>18200</v>
      </c>
      <c r="M983">
        <v>25</v>
      </c>
      <c r="N983" s="4">
        <v>40950</v>
      </c>
      <c r="O983" t="s">
        <v>85</v>
      </c>
      <c r="P983">
        <v>4</v>
      </c>
      <c r="Q983" t="s">
        <v>65</v>
      </c>
      <c r="R983">
        <v>0</v>
      </c>
    </row>
    <row r="984" spans="1:18" x14ac:dyDescent="0.3">
      <c r="A984" t="s">
        <v>2289</v>
      </c>
      <c r="B984" s="1">
        <v>45829</v>
      </c>
      <c r="C984" t="s">
        <v>121</v>
      </c>
      <c r="D984" t="s">
        <v>20</v>
      </c>
      <c r="E984">
        <v>55</v>
      </c>
      <c r="F984" t="s">
        <v>44</v>
      </c>
      <c r="G984" t="s">
        <v>45</v>
      </c>
      <c r="H984" t="s">
        <v>62</v>
      </c>
      <c r="I984" t="s">
        <v>140</v>
      </c>
      <c r="J984" t="s">
        <v>34</v>
      </c>
      <c r="K984">
        <v>10</v>
      </c>
      <c r="L984" s="4">
        <v>26300</v>
      </c>
      <c r="M984">
        <v>10</v>
      </c>
      <c r="N984" s="4">
        <v>236700</v>
      </c>
      <c r="O984" t="s">
        <v>73</v>
      </c>
      <c r="P984">
        <v>3</v>
      </c>
      <c r="Q984" t="s">
        <v>41</v>
      </c>
      <c r="R984">
        <v>1</v>
      </c>
    </row>
    <row r="985" spans="1:18" x14ac:dyDescent="0.3">
      <c r="A985" t="s">
        <v>2298</v>
      </c>
      <c r="B985" s="1">
        <v>45857</v>
      </c>
      <c r="C985" t="s">
        <v>60</v>
      </c>
      <c r="D985" t="s">
        <v>39</v>
      </c>
      <c r="E985">
        <v>35</v>
      </c>
      <c r="F985" t="s">
        <v>51</v>
      </c>
      <c r="G985" t="s">
        <v>104</v>
      </c>
      <c r="H985" t="s">
        <v>32</v>
      </c>
      <c r="I985" t="s">
        <v>33</v>
      </c>
      <c r="J985" t="s">
        <v>89</v>
      </c>
      <c r="K985">
        <v>8</v>
      </c>
      <c r="L985" s="4">
        <v>28900</v>
      </c>
      <c r="M985">
        <v>10</v>
      </c>
      <c r="N985" s="4">
        <v>208080</v>
      </c>
      <c r="O985" t="s">
        <v>25</v>
      </c>
      <c r="P985">
        <v>3</v>
      </c>
      <c r="Q985" t="s">
        <v>41</v>
      </c>
      <c r="R985">
        <v>1</v>
      </c>
    </row>
    <row r="986" spans="1:18" x14ac:dyDescent="0.3">
      <c r="A986" t="s">
        <v>2299</v>
      </c>
      <c r="B986" s="1">
        <v>45989</v>
      </c>
      <c r="C986" t="s">
        <v>121</v>
      </c>
      <c r="D986" t="s">
        <v>3292</v>
      </c>
      <c r="E986">
        <v>29</v>
      </c>
      <c r="F986" t="s">
        <v>77</v>
      </c>
      <c r="G986" t="s">
        <v>78</v>
      </c>
      <c r="H986" t="s">
        <v>32</v>
      </c>
      <c r="I986" t="s">
        <v>53</v>
      </c>
      <c r="J986" t="s">
        <v>80</v>
      </c>
      <c r="K986">
        <v>4</v>
      </c>
      <c r="L986" s="4">
        <v>49400</v>
      </c>
      <c r="M986">
        <v>25</v>
      </c>
      <c r="N986" s="4">
        <v>148200</v>
      </c>
      <c r="O986" t="s">
        <v>73</v>
      </c>
      <c r="Q986" t="s">
        <v>41</v>
      </c>
      <c r="R986">
        <v>1</v>
      </c>
    </row>
    <row r="987" spans="1:18" x14ac:dyDescent="0.3">
      <c r="A987" t="s">
        <v>2302</v>
      </c>
      <c r="B987" s="1">
        <v>45848</v>
      </c>
      <c r="C987" t="s">
        <v>19</v>
      </c>
      <c r="D987" t="s">
        <v>3292</v>
      </c>
      <c r="E987">
        <v>42</v>
      </c>
      <c r="F987" t="s">
        <v>21</v>
      </c>
      <c r="G987" t="s">
        <v>21</v>
      </c>
      <c r="H987" t="s">
        <v>22</v>
      </c>
      <c r="I987" t="s">
        <v>84</v>
      </c>
      <c r="J987" t="s">
        <v>80</v>
      </c>
      <c r="K987">
        <v>7</v>
      </c>
      <c r="L987" s="4">
        <v>35800</v>
      </c>
      <c r="M987">
        <v>15</v>
      </c>
      <c r="N987" s="4">
        <v>213010</v>
      </c>
      <c r="O987" t="s">
        <v>85</v>
      </c>
      <c r="Q987" t="s">
        <v>41</v>
      </c>
      <c r="R987">
        <v>1</v>
      </c>
    </row>
    <row r="988" spans="1:18" x14ac:dyDescent="0.3">
      <c r="A988" t="s">
        <v>2303</v>
      </c>
      <c r="B988" s="1">
        <v>46004</v>
      </c>
      <c r="C988" t="s">
        <v>113</v>
      </c>
      <c r="D988" t="s">
        <v>20</v>
      </c>
      <c r="E988">
        <v>57</v>
      </c>
      <c r="F988" t="s">
        <v>44</v>
      </c>
      <c r="G988" t="s">
        <v>100</v>
      </c>
      <c r="H988" t="s">
        <v>46</v>
      </c>
      <c r="I988" t="s">
        <v>79</v>
      </c>
      <c r="J988" t="s">
        <v>24</v>
      </c>
      <c r="K988">
        <v>4</v>
      </c>
      <c r="L988" s="4">
        <v>2100</v>
      </c>
      <c r="M988">
        <v>15</v>
      </c>
      <c r="N988" s="4">
        <v>7140</v>
      </c>
      <c r="O988" t="s">
        <v>73</v>
      </c>
      <c r="P988">
        <v>5</v>
      </c>
      <c r="Q988" t="s">
        <v>74</v>
      </c>
      <c r="R988">
        <v>0</v>
      </c>
    </row>
    <row r="989" spans="1:18" x14ac:dyDescent="0.3">
      <c r="A989" t="s">
        <v>2306</v>
      </c>
      <c r="B989" s="1">
        <v>45891</v>
      </c>
      <c r="C989" t="s">
        <v>60</v>
      </c>
      <c r="D989" t="s">
        <v>3292</v>
      </c>
      <c r="E989">
        <v>55</v>
      </c>
      <c r="F989" t="s">
        <v>77</v>
      </c>
      <c r="G989" t="s">
        <v>78</v>
      </c>
      <c r="H989" t="s">
        <v>46</v>
      </c>
      <c r="I989" t="s">
        <v>79</v>
      </c>
      <c r="J989" t="s">
        <v>24</v>
      </c>
      <c r="K989">
        <v>1</v>
      </c>
      <c r="L989" s="4">
        <v>19900</v>
      </c>
      <c r="M989">
        <v>0</v>
      </c>
      <c r="N989" s="4">
        <v>19900</v>
      </c>
      <c r="O989" t="s">
        <v>73</v>
      </c>
      <c r="P989">
        <v>4</v>
      </c>
      <c r="Q989" t="s">
        <v>74</v>
      </c>
      <c r="R989">
        <v>0</v>
      </c>
    </row>
    <row r="990" spans="1:18" x14ac:dyDescent="0.3">
      <c r="A990" t="s">
        <v>2308</v>
      </c>
      <c r="B990" s="1">
        <v>45977</v>
      </c>
      <c r="C990" t="s">
        <v>68</v>
      </c>
      <c r="D990" t="s">
        <v>20</v>
      </c>
      <c r="E990">
        <v>39</v>
      </c>
      <c r="F990" t="s">
        <v>61</v>
      </c>
      <c r="G990" t="s">
        <v>61</v>
      </c>
      <c r="H990" t="s">
        <v>62</v>
      </c>
      <c r="I990" t="s">
        <v>140</v>
      </c>
      <c r="J990" t="s">
        <v>64</v>
      </c>
      <c r="K990">
        <v>9</v>
      </c>
      <c r="L990" s="4">
        <v>44800</v>
      </c>
      <c r="M990">
        <v>0</v>
      </c>
      <c r="N990" s="4">
        <v>403200</v>
      </c>
      <c r="O990" t="s">
        <v>85</v>
      </c>
      <c r="Q990" t="s">
        <v>65</v>
      </c>
      <c r="R990">
        <v>0</v>
      </c>
    </row>
    <row r="991" spans="1:18" x14ac:dyDescent="0.3">
      <c r="A991" t="s">
        <v>2309</v>
      </c>
      <c r="B991" s="1">
        <v>45775</v>
      </c>
      <c r="C991" t="s">
        <v>121</v>
      </c>
      <c r="D991" t="s">
        <v>39</v>
      </c>
      <c r="E991">
        <v>54</v>
      </c>
      <c r="F991" t="s">
        <v>30</v>
      </c>
      <c r="G991" t="s">
        <v>31</v>
      </c>
      <c r="H991" t="s">
        <v>32</v>
      </c>
      <c r="I991" t="s">
        <v>33</v>
      </c>
      <c r="J991" t="s">
        <v>64</v>
      </c>
      <c r="K991">
        <v>6</v>
      </c>
      <c r="L991" s="4">
        <v>5900</v>
      </c>
      <c r="M991">
        <v>15</v>
      </c>
      <c r="N991" s="4">
        <v>30090</v>
      </c>
      <c r="O991" t="s">
        <v>25</v>
      </c>
      <c r="P991">
        <v>2</v>
      </c>
      <c r="Q991" t="s">
        <v>26</v>
      </c>
      <c r="R991">
        <v>0</v>
      </c>
    </row>
    <row r="992" spans="1:18" x14ac:dyDescent="0.3">
      <c r="A992" t="s">
        <v>2311</v>
      </c>
      <c r="B992" s="1">
        <v>45888</v>
      </c>
      <c r="C992" t="s">
        <v>113</v>
      </c>
      <c r="D992" t="s">
        <v>39</v>
      </c>
      <c r="E992">
        <v>43</v>
      </c>
      <c r="F992" t="s">
        <v>30</v>
      </c>
      <c r="G992" t="s">
        <v>57</v>
      </c>
      <c r="H992" t="s">
        <v>62</v>
      </c>
      <c r="I992" t="s">
        <v>63</v>
      </c>
      <c r="J992" t="s">
        <v>64</v>
      </c>
      <c r="K992">
        <v>5</v>
      </c>
      <c r="L992" s="4">
        <v>44900</v>
      </c>
      <c r="M992">
        <v>20</v>
      </c>
      <c r="N992" s="4">
        <v>179600</v>
      </c>
      <c r="O992" t="s">
        <v>73</v>
      </c>
      <c r="P992">
        <v>5</v>
      </c>
      <c r="Q992" t="s">
        <v>26</v>
      </c>
      <c r="R992">
        <v>0</v>
      </c>
    </row>
    <row r="993" spans="1:18" x14ac:dyDescent="0.3">
      <c r="A993" t="s">
        <v>2313</v>
      </c>
      <c r="B993" s="1">
        <v>45792</v>
      </c>
      <c r="C993" t="s">
        <v>60</v>
      </c>
      <c r="D993" t="s">
        <v>20</v>
      </c>
      <c r="E993">
        <v>52</v>
      </c>
      <c r="F993" t="s">
        <v>30</v>
      </c>
      <c r="G993" t="s">
        <v>31</v>
      </c>
      <c r="H993" t="s">
        <v>62</v>
      </c>
      <c r="I993" t="s">
        <v>63</v>
      </c>
      <c r="J993" t="s">
        <v>34</v>
      </c>
      <c r="K993">
        <v>2</v>
      </c>
      <c r="L993" s="4">
        <v>32500</v>
      </c>
      <c r="M993">
        <v>25</v>
      </c>
      <c r="N993" s="4">
        <v>48750</v>
      </c>
      <c r="O993" t="s">
        <v>73</v>
      </c>
      <c r="P993">
        <v>1</v>
      </c>
      <c r="Q993" t="s">
        <v>41</v>
      </c>
      <c r="R993">
        <v>1</v>
      </c>
    </row>
    <row r="994" spans="1:18" x14ac:dyDescent="0.3">
      <c r="A994" t="s">
        <v>2314</v>
      </c>
      <c r="B994" s="1">
        <v>45939</v>
      </c>
      <c r="C994" t="s">
        <v>60</v>
      </c>
      <c r="D994" t="s">
        <v>3292</v>
      </c>
      <c r="E994">
        <v>60</v>
      </c>
      <c r="F994" t="s">
        <v>51</v>
      </c>
      <c r="G994" t="s">
        <v>52</v>
      </c>
      <c r="H994" t="s">
        <v>22</v>
      </c>
      <c r="I994" t="s">
        <v>23</v>
      </c>
      <c r="J994" t="s">
        <v>89</v>
      </c>
      <c r="K994">
        <v>5</v>
      </c>
      <c r="L994" s="4">
        <v>31600</v>
      </c>
      <c r="M994">
        <v>0</v>
      </c>
      <c r="N994" s="4">
        <v>158000</v>
      </c>
      <c r="O994" t="s">
        <v>85</v>
      </c>
      <c r="P994">
        <v>4</v>
      </c>
      <c r="Q994" t="s">
        <v>74</v>
      </c>
      <c r="R994">
        <v>0</v>
      </c>
    </row>
    <row r="995" spans="1:18" x14ac:dyDescent="0.3">
      <c r="A995" t="s">
        <v>2316</v>
      </c>
      <c r="B995" s="1">
        <v>45969</v>
      </c>
      <c r="C995" t="s">
        <v>113</v>
      </c>
      <c r="D995" t="s">
        <v>20</v>
      </c>
      <c r="E995">
        <v>32</v>
      </c>
      <c r="F995" t="s">
        <v>77</v>
      </c>
      <c r="G995" t="s">
        <v>78</v>
      </c>
      <c r="H995" t="s">
        <v>46</v>
      </c>
      <c r="I995" t="s">
        <v>79</v>
      </c>
      <c r="J995" t="s">
        <v>24</v>
      </c>
      <c r="K995">
        <v>2</v>
      </c>
      <c r="L995" s="4">
        <v>49800</v>
      </c>
      <c r="M995">
        <v>20</v>
      </c>
      <c r="N995" s="4">
        <v>79680</v>
      </c>
      <c r="O995" t="s">
        <v>85</v>
      </c>
      <c r="P995">
        <v>4</v>
      </c>
      <c r="Q995" t="s">
        <v>26</v>
      </c>
      <c r="R995">
        <v>0</v>
      </c>
    </row>
    <row r="996" spans="1:18" x14ac:dyDescent="0.3">
      <c r="A996" t="s">
        <v>2318</v>
      </c>
      <c r="B996" s="1">
        <v>46121</v>
      </c>
      <c r="C996" t="s">
        <v>68</v>
      </c>
      <c r="D996" t="s">
        <v>39</v>
      </c>
      <c r="E996">
        <v>37</v>
      </c>
      <c r="F996" t="s">
        <v>44</v>
      </c>
      <c r="G996" t="s">
        <v>100</v>
      </c>
      <c r="H996" t="s">
        <v>22</v>
      </c>
      <c r="I996" t="s">
        <v>84</v>
      </c>
      <c r="J996" t="s">
        <v>89</v>
      </c>
      <c r="K996">
        <v>10</v>
      </c>
      <c r="L996" s="4">
        <v>18800</v>
      </c>
      <c r="M996">
        <v>25</v>
      </c>
      <c r="N996" s="4">
        <v>141000</v>
      </c>
      <c r="O996" t="s">
        <v>85</v>
      </c>
      <c r="P996">
        <v>3</v>
      </c>
      <c r="Q996" t="s">
        <v>65</v>
      </c>
      <c r="R996">
        <v>0</v>
      </c>
    </row>
    <row r="997" spans="1:18" x14ac:dyDescent="0.3">
      <c r="A997" t="s">
        <v>2320</v>
      </c>
      <c r="B997" s="1">
        <v>45676</v>
      </c>
      <c r="C997" t="s">
        <v>19</v>
      </c>
      <c r="D997" t="s">
        <v>20</v>
      </c>
      <c r="E997">
        <v>60</v>
      </c>
      <c r="F997" t="s">
        <v>51</v>
      </c>
      <c r="G997" t="s">
        <v>104</v>
      </c>
      <c r="H997" t="s">
        <v>46</v>
      </c>
      <c r="I997" t="s">
        <v>79</v>
      </c>
      <c r="J997" t="s">
        <v>64</v>
      </c>
      <c r="K997">
        <v>7</v>
      </c>
      <c r="L997" s="4">
        <v>13900</v>
      </c>
      <c r="M997">
        <v>20</v>
      </c>
      <c r="N997" s="4">
        <v>77840</v>
      </c>
      <c r="O997" t="s">
        <v>85</v>
      </c>
      <c r="P997">
        <v>4</v>
      </c>
      <c r="Q997" t="s">
        <v>41</v>
      </c>
      <c r="R997">
        <v>1</v>
      </c>
    </row>
    <row r="998" spans="1:18" x14ac:dyDescent="0.3">
      <c r="A998" t="s">
        <v>2322</v>
      </c>
      <c r="B998" s="1">
        <v>45707</v>
      </c>
      <c r="C998" t="s">
        <v>88</v>
      </c>
      <c r="D998" t="s">
        <v>3292</v>
      </c>
      <c r="E998">
        <v>63</v>
      </c>
      <c r="F998" t="s">
        <v>77</v>
      </c>
      <c r="G998" t="s">
        <v>95</v>
      </c>
      <c r="H998" t="s">
        <v>32</v>
      </c>
      <c r="I998" t="s">
        <v>33</v>
      </c>
      <c r="J998" t="s">
        <v>24</v>
      </c>
      <c r="K998">
        <v>1</v>
      </c>
      <c r="L998" s="4">
        <v>22400</v>
      </c>
      <c r="M998">
        <v>5</v>
      </c>
      <c r="N998" s="4">
        <v>21280</v>
      </c>
      <c r="O998" t="s">
        <v>73</v>
      </c>
      <c r="P998">
        <v>5</v>
      </c>
      <c r="Q998" t="s">
        <v>74</v>
      </c>
      <c r="R998">
        <v>0</v>
      </c>
    </row>
    <row r="999" spans="1:18" x14ac:dyDescent="0.3">
      <c r="A999" t="s">
        <v>2324</v>
      </c>
      <c r="B999" s="1">
        <v>45788</v>
      </c>
      <c r="C999" t="s">
        <v>113</v>
      </c>
      <c r="D999" t="s">
        <v>39</v>
      </c>
      <c r="E999">
        <v>34</v>
      </c>
      <c r="F999" t="s">
        <v>51</v>
      </c>
      <c r="G999" t="s">
        <v>52</v>
      </c>
      <c r="H999" t="s">
        <v>32</v>
      </c>
      <c r="I999" t="s">
        <v>33</v>
      </c>
      <c r="J999" t="s">
        <v>24</v>
      </c>
      <c r="K999">
        <v>2</v>
      </c>
      <c r="L999" s="4">
        <v>20100</v>
      </c>
      <c r="M999">
        <v>5</v>
      </c>
      <c r="N999" s="4">
        <v>38190</v>
      </c>
      <c r="O999" t="s">
        <v>73</v>
      </c>
      <c r="P999">
        <v>1</v>
      </c>
      <c r="Q999" t="s">
        <v>41</v>
      </c>
      <c r="R999">
        <v>1</v>
      </c>
    </row>
    <row r="1000" spans="1:18" x14ac:dyDescent="0.3">
      <c r="A1000" t="s">
        <v>2326</v>
      </c>
      <c r="B1000" s="1">
        <v>45991</v>
      </c>
      <c r="C1000" t="s">
        <v>68</v>
      </c>
      <c r="D1000" t="s">
        <v>20</v>
      </c>
      <c r="E1000">
        <v>46</v>
      </c>
      <c r="F1000" t="s">
        <v>61</v>
      </c>
      <c r="G1000" t="s">
        <v>61</v>
      </c>
      <c r="H1000" t="s">
        <v>46</v>
      </c>
      <c r="I1000" t="s">
        <v>47</v>
      </c>
      <c r="J1000" t="s">
        <v>64</v>
      </c>
      <c r="K1000">
        <v>1</v>
      </c>
      <c r="L1000" s="4">
        <v>45500</v>
      </c>
      <c r="M1000">
        <v>15</v>
      </c>
      <c r="N1000" s="4">
        <v>38675</v>
      </c>
      <c r="O1000" t="s">
        <v>25</v>
      </c>
      <c r="Q1000" t="s">
        <v>74</v>
      </c>
      <c r="R1000">
        <v>0</v>
      </c>
    </row>
    <row r="1001" spans="1:18" x14ac:dyDescent="0.3">
      <c r="A1001" t="s">
        <v>2330</v>
      </c>
      <c r="B1001" s="1">
        <v>46012</v>
      </c>
      <c r="C1001" t="s">
        <v>29</v>
      </c>
      <c r="D1001" t="s">
        <v>20</v>
      </c>
      <c r="E1001">
        <v>55</v>
      </c>
      <c r="F1001" t="s">
        <v>51</v>
      </c>
      <c r="G1001" t="s">
        <v>52</v>
      </c>
      <c r="H1001" t="s">
        <v>22</v>
      </c>
      <c r="I1001" t="s">
        <v>84</v>
      </c>
      <c r="J1001" t="s">
        <v>64</v>
      </c>
      <c r="K1001">
        <v>3</v>
      </c>
      <c r="L1001" s="4">
        <v>19700</v>
      </c>
      <c r="M1001">
        <v>5</v>
      </c>
      <c r="N1001" s="4">
        <v>56145</v>
      </c>
      <c r="O1001" t="s">
        <v>73</v>
      </c>
      <c r="P1001">
        <v>1</v>
      </c>
      <c r="Q1001" t="s">
        <v>74</v>
      </c>
      <c r="R1001">
        <v>0</v>
      </c>
    </row>
    <row r="1002" spans="1:18" x14ac:dyDescent="0.3">
      <c r="A1002" t="s">
        <v>2332</v>
      </c>
      <c r="B1002" s="1">
        <v>46150</v>
      </c>
      <c r="C1002" t="s">
        <v>29</v>
      </c>
      <c r="D1002" t="s">
        <v>20</v>
      </c>
      <c r="E1002">
        <v>54</v>
      </c>
      <c r="F1002" t="s">
        <v>30</v>
      </c>
      <c r="G1002" t="s">
        <v>57</v>
      </c>
      <c r="H1002" t="s">
        <v>62</v>
      </c>
      <c r="I1002" t="s">
        <v>63</v>
      </c>
      <c r="J1002" t="s">
        <v>80</v>
      </c>
      <c r="K1002">
        <v>8</v>
      </c>
      <c r="L1002" s="4">
        <v>26600</v>
      </c>
      <c r="M1002">
        <v>20</v>
      </c>
      <c r="N1002" s="4">
        <v>170240</v>
      </c>
      <c r="O1002" t="s">
        <v>25</v>
      </c>
      <c r="Q1002" t="s">
        <v>65</v>
      </c>
      <c r="R1002">
        <v>0</v>
      </c>
    </row>
    <row r="1003" spans="1:18" x14ac:dyDescent="0.3">
      <c r="A1003" t="s">
        <v>2335</v>
      </c>
      <c r="B1003" s="1">
        <v>45817</v>
      </c>
      <c r="C1003" t="s">
        <v>68</v>
      </c>
      <c r="D1003" t="s">
        <v>20</v>
      </c>
      <c r="E1003">
        <v>60</v>
      </c>
      <c r="F1003" t="s">
        <v>51</v>
      </c>
      <c r="G1003" t="s">
        <v>52</v>
      </c>
      <c r="H1003" t="s">
        <v>32</v>
      </c>
      <c r="I1003" t="s">
        <v>33</v>
      </c>
      <c r="J1003" t="s">
        <v>64</v>
      </c>
      <c r="K1003">
        <v>8</v>
      </c>
      <c r="L1003" s="4">
        <v>29700</v>
      </c>
      <c r="M1003">
        <v>20</v>
      </c>
      <c r="N1003" s="4">
        <v>190080</v>
      </c>
      <c r="O1003" t="s">
        <v>85</v>
      </c>
      <c r="P1003">
        <v>4</v>
      </c>
      <c r="Q1003" t="s">
        <v>65</v>
      </c>
      <c r="R1003">
        <v>0</v>
      </c>
    </row>
    <row r="1004" spans="1:18" x14ac:dyDescent="0.3">
      <c r="A1004" t="s">
        <v>2338</v>
      </c>
      <c r="B1004" s="1">
        <v>45846</v>
      </c>
      <c r="C1004" t="s">
        <v>29</v>
      </c>
      <c r="D1004" t="s">
        <v>39</v>
      </c>
      <c r="E1004">
        <v>37</v>
      </c>
      <c r="F1004" t="s">
        <v>77</v>
      </c>
      <c r="G1004" t="s">
        <v>78</v>
      </c>
      <c r="H1004" t="s">
        <v>62</v>
      </c>
      <c r="I1004" t="s">
        <v>63</v>
      </c>
      <c r="J1004" t="s">
        <v>64</v>
      </c>
      <c r="K1004">
        <v>9</v>
      </c>
      <c r="L1004" s="4">
        <v>24400</v>
      </c>
      <c r="M1004">
        <v>15</v>
      </c>
      <c r="N1004" s="4">
        <v>186660</v>
      </c>
      <c r="O1004" t="s">
        <v>85</v>
      </c>
      <c r="P1004">
        <v>2</v>
      </c>
      <c r="Q1004" t="s">
        <v>65</v>
      </c>
      <c r="R1004">
        <v>0</v>
      </c>
    </row>
    <row r="1005" spans="1:18" x14ac:dyDescent="0.3">
      <c r="A1005" t="s">
        <v>2339</v>
      </c>
      <c r="B1005" s="1">
        <v>46132</v>
      </c>
      <c r="C1005" t="s">
        <v>60</v>
      </c>
      <c r="D1005" t="s">
        <v>39</v>
      </c>
      <c r="E1005">
        <v>63</v>
      </c>
      <c r="F1005" t="s">
        <v>77</v>
      </c>
      <c r="G1005" t="s">
        <v>78</v>
      </c>
      <c r="H1005" t="s">
        <v>46</v>
      </c>
      <c r="I1005" t="s">
        <v>47</v>
      </c>
      <c r="J1005" t="s">
        <v>89</v>
      </c>
      <c r="K1005">
        <v>7</v>
      </c>
      <c r="L1005" s="4">
        <v>47500</v>
      </c>
      <c r="M1005">
        <v>15</v>
      </c>
      <c r="N1005" s="4">
        <v>282625</v>
      </c>
      <c r="O1005" t="s">
        <v>73</v>
      </c>
      <c r="Q1005" t="s">
        <v>41</v>
      </c>
      <c r="R1005">
        <v>1</v>
      </c>
    </row>
    <row r="1006" spans="1:18" x14ac:dyDescent="0.3">
      <c r="A1006" t="s">
        <v>2343</v>
      </c>
      <c r="B1006" s="1">
        <v>45768</v>
      </c>
      <c r="C1006" t="s">
        <v>88</v>
      </c>
      <c r="D1006" t="s">
        <v>3292</v>
      </c>
      <c r="E1006">
        <v>53</v>
      </c>
      <c r="F1006" t="s">
        <v>51</v>
      </c>
      <c r="G1006" t="s">
        <v>52</v>
      </c>
      <c r="H1006" t="s">
        <v>62</v>
      </c>
      <c r="I1006" t="s">
        <v>63</v>
      </c>
      <c r="J1006" t="s">
        <v>89</v>
      </c>
      <c r="K1006">
        <v>8</v>
      </c>
      <c r="L1006" s="4">
        <v>4800</v>
      </c>
      <c r="M1006">
        <v>0</v>
      </c>
      <c r="N1006" s="4">
        <v>38400</v>
      </c>
      <c r="O1006" t="s">
        <v>73</v>
      </c>
      <c r="Q1006" t="s">
        <v>41</v>
      </c>
      <c r="R1006">
        <v>1</v>
      </c>
    </row>
    <row r="1007" spans="1:18" x14ac:dyDescent="0.3">
      <c r="A1007" t="s">
        <v>2346</v>
      </c>
      <c r="B1007" s="1">
        <v>46269</v>
      </c>
      <c r="C1007" t="s">
        <v>121</v>
      </c>
      <c r="D1007" t="s">
        <v>39</v>
      </c>
      <c r="E1007">
        <v>19</v>
      </c>
      <c r="F1007" t="s">
        <v>51</v>
      </c>
      <c r="G1007" t="s">
        <v>52</v>
      </c>
      <c r="H1007" t="s">
        <v>62</v>
      </c>
      <c r="I1007" t="s">
        <v>140</v>
      </c>
      <c r="J1007" t="s">
        <v>89</v>
      </c>
      <c r="K1007">
        <v>1</v>
      </c>
      <c r="L1007" s="4">
        <v>6100</v>
      </c>
      <c r="M1007">
        <v>5</v>
      </c>
      <c r="N1007" s="4">
        <v>5795</v>
      </c>
      <c r="O1007" t="s">
        <v>73</v>
      </c>
      <c r="P1007">
        <v>4</v>
      </c>
      <c r="Q1007" t="s">
        <v>74</v>
      </c>
      <c r="R1007">
        <v>0</v>
      </c>
    </row>
    <row r="1008" spans="1:18" x14ac:dyDescent="0.3">
      <c r="A1008" t="s">
        <v>2347</v>
      </c>
      <c r="B1008" s="1">
        <v>45993</v>
      </c>
      <c r="C1008" t="s">
        <v>71</v>
      </c>
      <c r="D1008" t="s">
        <v>39</v>
      </c>
      <c r="E1008">
        <v>46</v>
      </c>
      <c r="F1008" t="s">
        <v>30</v>
      </c>
      <c r="G1008" t="s">
        <v>31</v>
      </c>
      <c r="H1008" t="s">
        <v>46</v>
      </c>
      <c r="I1008" t="s">
        <v>47</v>
      </c>
      <c r="J1008" t="s">
        <v>34</v>
      </c>
      <c r="K1008">
        <v>4</v>
      </c>
      <c r="L1008" s="4">
        <v>3100</v>
      </c>
      <c r="M1008">
        <v>15</v>
      </c>
      <c r="N1008" s="4">
        <v>10540</v>
      </c>
      <c r="O1008" t="s">
        <v>85</v>
      </c>
      <c r="P1008">
        <v>4</v>
      </c>
      <c r="Q1008" t="s">
        <v>65</v>
      </c>
      <c r="R1008">
        <v>0</v>
      </c>
    </row>
    <row r="1009" spans="1:18" x14ac:dyDescent="0.3">
      <c r="A1009" t="s">
        <v>2349</v>
      </c>
      <c r="B1009" s="1">
        <v>46208</v>
      </c>
      <c r="C1009" t="s">
        <v>121</v>
      </c>
      <c r="D1009" t="s">
        <v>3292</v>
      </c>
      <c r="E1009">
        <v>150</v>
      </c>
      <c r="F1009" t="s">
        <v>61</v>
      </c>
      <c r="G1009" t="s">
        <v>61</v>
      </c>
      <c r="H1009" t="s">
        <v>32</v>
      </c>
      <c r="I1009" t="s">
        <v>53</v>
      </c>
      <c r="J1009" t="s">
        <v>24</v>
      </c>
      <c r="K1009">
        <v>10</v>
      </c>
      <c r="L1009" s="4">
        <v>45400</v>
      </c>
      <c r="M1009">
        <v>5</v>
      </c>
      <c r="N1009" s="4">
        <v>431300</v>
      </c>
      <c r="O1009" t="s">
        <v>25</v>
      </c>
      <c r="Q1009" t="s">
        <v>26</v>
      </c>
      <c r="R1009">
        <v>0</v>
      </c>
    </row>
    <row r="1010" spans="1:18" x14ac:dyDescent="0.3">
      <c r="A1010" t="s">
        <v>2350</v>
      </c>
      <c r="B1010" s="1">
        <v>45957</v>
      </c>
      <c r="C1010" t="s">
        <v>88</v>
      </c>
      <c r="D1010" t="s">
        <v>39</v>
      </c>
      <c r="E1010">
        <v>23</v>
      </c>
      <c r="F1010" t="s">
        <v>51</v>
      </c>
      <c r="G1010" t="s">
        <v>104</v>
      </c>
      <c r="H1010" t="s">
        <v>46</v>
      </c>
      <c r="I1010" t="s">
        <v>79</v>
      </c>
      <c r="J1010" t="s">
        <v>80</v>
      </c>
      <c r="K1010">
        <v>5</v>
      </c>
      <c r="L1010" s="4">
        <v>30600</v>
      </c>
      <c r="M1010">
        <v>25</v>
      </c>
      <c r="N1010" s="4">
        <v>114750</v>
      </c>
      <c r="O1010" t="s">
        <v>85</v>
      </c>
      <c r="P1010">
        <v>1</v>
      </c>
      <c r="Q1010" t="s">
        <v>65</v>
      </c>
      <c r="R1010">
        <v>0</v>
      </c>
    </row>
    <row r="1011" spans="1:18" x14ac:dyDescent="0.3">
      <c r="A1011" t="s">
        <v>2352</v>
      </c>
      <c r="B1011" s="1">
        <v>45776</v>
      </c>
      <c r="C1011" t="s">
        <v>29</v>
      </c>
      <c r="D1011" t="s">
        <v>39</v>
      </c>
      <c r="E1011">
        <v>37</v>
      </c>
      <c r="F1011" t="s">
        <v>44</v>
      </c>
      <c r="G1011" t="s">
        <v>100</v>
      </c>
      <c r="H1011" t="s">
        <v>62</v>
      </c>
      <c r="I1011" t="s">
        <v>63</v>
      </c>
      <c r="J1011" t="s">
        <v>72</v>
      </c>
      <c r="K1011">
        <v>2</v>
      </c>
      <c r="L1011" s="4">
        <v>2100</v>
      </c>
      <c r="M1011">
        <v>25</v>
      </c>
      <c r="N1011" s="4">
        <v>3150</v>
      </c>
      <c r="O1011" t="s">
        <v>85</v>
      </c>
      <c r="P1011">
        <v>4</v>
      </c>
      <c r="Q1011" t="s">
        <v>74</v>
      </c>
      <c r="R1011">
        <v>0</v>
      </c>
    </row>
    <row r="1012" spans="1:18" x14ac:dyDescent="0.3">
      <c r="A1012" t="s">
        <v>2353</v>
      </c>
      <c r="B1012" s="1">
        <v>45926</v>
      </c>
      <c r="C1012" t="s">
        <v>113</v>
      </c>
      <c r="D1012" t="s">
        <v>3292</v>
      </c>
      <c r="E1012">
        <v>23</v>
      </c>
      <c r="F1012" t="s">
        <v>30</v>
      </c>
      <c r="G1012" t="s">
        <v>57</v>
      </c>
      <c r="H1012" t="s">
        <v>32</v>
      </c>
      <c r="I1012" t="s">
        <v>33</v>
      </c>
      <c r="J1012" t="s">
        <v>34</v>
      </c>
      <c r="K1012">
        <v>8</v>
      </c>
      <c r="L1012" s="4">
        <v>10800</v>
      </c>
      <c r="M1012">
        <v>5</v>
      </c>
      <c r="N1012" s="4">
        <v>82080</v>
      </c>
      <c r="O1012" t="s">
        <v>73</v>
      </c>
      <c r="Q1012" t="s">
        <v>74</v>
      </c>
      <c r="R1012">
        <v>0</v>
      </c>
    </row>
    <row r="1013" spans="1:18" x14ac:dyDescent="0.3">
      <c r="A1013" t="s">
        <v>2354</v>
      </c>
      <c r="B1013" s="1">
        <v>45720</v>
      </c>
      <c r="C1013" t="s">
        <v>38</v>
      </c>
      <c r="D1013" t="s">
        <v>3292</v>
      </c>
      <c r="E1013">
        <v>32</v>
      </c>
      <c r="F1013" t="s">
        <v>21</v>
      </c>
      <c r="G1013" t="s">
        <v>21</v>
      </c>
      <c r="H1013" t="s">
        <v>62</v>
      </c>
      <c r="I1013" t="s">
        <v>63</v>
      </c>
      <c r="J1013" t="s">
        <v>80</v>
      </c>
      <c r="K1013">
        <v>7</v>
      </c>
      <c r="L1013" s="4">
        <v>25300</v>
      </c>
      <c r="M1013">
        <v>25</v>
      </c>
      <c r="N1013" s="4">
        <v>132825</v>
      </c>
      <c r="O1013" t="s">
        <v>85</v>
      </c>
      <c r="P1013">
        <v>1</v>
      </c>
      <c r="Q1013" t="s">
        <v>41</v>
      </c>
      <c r="R1013">
        <v>1</v>
      </c>
    </row>
    <row r="1014" spans="1:18" x14ac:dyDescent="0.3">
      <c r="A1014" t="s">
        <v>2357</v>
      </c>
      <c r="B1014" s="1">
        <v>46188</v>
      </c>
      <c r="C1014" t="s">
        <v>19</v>
      </c>
      <c r="D1014" t="s">
        <v>3292</v>
      </c>
      <c r="E1014">
        <v>35</v>
      </c>
      <c r="F1014" t="s">
        <v>61</v>
      </c>
      <c r="G1014" t="s">
        <v>61</v>
      </c>
      <c r="H1014" t="s">
        <v>62</v>
      </c>
      <c r="I1014" t="s">
        <v>140</v>
      </c>
      <c r="J1014" t="s">
        <v>72</v>
      </c>
      <c r="K1014">
        <v>5</v>
      </c>
      <c r="L1014" s="4">
        <v>18700</v>
      </c>
      <c r="M1014">
        <v>15</v>
      </c>
      <c r="N1014" s="4">
        <v>79475</v>
      </c>
      <c r="O1014" t="s">
        <v>73</v>
      </c>
      <c r="P1014">
        <v>5</v>
      </c>
      <c r="Q1014" t="s">
        <v>26</v>
      </c>
      <c r="R1014">
        <v>0</v>
      </c>
    </row>
    <row r="1015" spans="1:18" x14ac:dyDescent="0.3">
      <c r="A1015" t="s">
        <v>2359</v>
      </c>
      <c r="B1015" s="1">
        <v>45913</v>
      </c>
      <c r="C1015" t="s">
        <v>113</v>
      </c>
      <c r="D1015" t="s">
        <v>20</v>
      </c>
      <c r="E1015">
        <v>34</v>
      </c>
      <c r="F1015" t="s">
        <v>44</v>
      </c>
      <c r="G1015" t="s">
        <v>100</v>
      </c>
      <c r="H1015" t="s">
        <v>22</v>
      </c>
      <c r="I1015" t="s">
        <v>23</v>
      </c>
      <c r="J1015" t="s">
        <v>80</v>
      </c>
      <c r="K1015">
        <v>5</v>
      </c>
      <c r="L1015" s="4">
        <v>19600</v>
      </c>
      <c r="M1015">
        <v>5</v>
      </c>
      <c r="N1015" s="4">
        <v>93100</v>
      </c>
      <c r="O1015" t="s">
        <v>73</v>
      </c>
      <c r="Q1015" t="s">
        <v>65</v>
      </c>
      <c r="R1015">
        <v>0</v>
      </c>
    </row>
    <row r="1016" spans="1:18" x14ac:dyDescent="0.3">
      <c r="A1016" t="s">
        <v>2360</v>
      </c>
      <c r="B1016" s="1">
        <v>45729</v>
      </c>
      <c r="C1016" t="s">
        <v>68</v>
      </c>
      <c r="D1016" t="s">
        <v>20</v>
      </c>
      <c r="E1016">
        <v>21</v>
      </c>
      <c r="F1016" t="s">
        <v>44</v>
      </c>
      <c r="G1016" t="s">
        <v>45</v>
      </c>
      <c r="H1016" t="s">
        <v>62</v>
      </c>
      <c r="I1016" t="s">
        <v>63</v>
      </c>
      <c r="J1016" t="s">
        <v>80</v>
      </c>
      <c r="K1016">
        <v>1</v>
      </c>
      <c r="L1016" s="4">
        <v>37700</v>
      </c>
      <c r="M1016">
        <v>5</v>
      </c>
      <c r="N1016" s="4">
        <v>35815</v>
      </c>
      <c r="O1016" t="s">
        <v>25</v>
      </c>
      <c r="P1016">
        <v>5</v>
      </c>
      <c r="Q1016" t="s">
        <v>74</v>
      </c>
      <c r="R1016">
        <v>0</v>
      </c>
    </row>
    <row r="1017" spans="1:18" x14ac:dyDescent="0.3">
      <c r="A1017" t="s">
        <v>2362</v>
      </c>
      <c r="B1017" s="1">
        <v>46126</v>
      </c>
      <c r="C1017" t="s">
        <v>94</v>
      </c>
      <c r="D1017" t="s">
        <v>39</v>
      </c>
      <c r="E1017">
        <v>29</v>
      </c>
      <c r="F1017" t="s">
        <v>61</v>
      </c>
      <c r="G1017" t="s">
        <v>61</v>
      </c>
      <c r="H1017" t="s">
        <v>32</v>
      </c>
      <c r="I1017" t="s">
        <v>53</v>
      </c>
      <c r="J1017" t="s">
        <v>80</v>
      </c>
      <c r="K1017">
        <v>4</v>
      </c>
      <c r="L1017" s="4">
        <v>20400</v>
      </c>
      <c r="M1017">
        <v>5</v>
      </c>
      <c r="N1017" s="4">
        <v>77520</v>
      </c>
      <c r="O1017" t="s">
        <v>25</v>
      </c>
      <c r="Q1017" t="s">
        <v>65</v>
      </c>
      <c r="R1017">
        <v>0</v>
      </c>
    </row>
    <row r="1018" spans="1:18" x14ac:dyDescent="0.3">
      <c r="A1018" t="s">
        <v>2364</v>
      </c>
      <c r="B1018" s="1">
        <v>46032</v>
      </c>
      <c r="C1018" t="s">
        <v>88</v>
      </c>
      <c r="D1018" t="s">
        <v>3292</v>
      </c>
      <c r="E1018">
        <v>59</v>
      </c>
      <c r="F1018" t="s">
        <v>61</v>
      </c>
      <c r="G1018" t="s">
        <v>61</v>
      </c>
      <c r="H1018" t="s">
        <v>32</v>
      </c>
      <c r="I1018" t="s">
        <v>53</v>
      </c>
      <c r="J1018" t="s">
        <v>24</v>
      </c>
      <c r="K1018">
        <v>6</v>
      </c>
      <c r="L1018" s="4">
        <v>8700</v>
      </c>
      <c r="M1018">
        <v>0</v>
      </c>
      <c r="N1018" s="4">
        <v>52200</v>
      </c>
      <c r="O1018" t="s">
        <v>85</v>
      </c>
      <c r="P1018">
        <v>5</v>
      </c>
      <c r="Q1018" t="s">
        <v>65</v>
      </c>
      <c r="R1018">
        <v>0</v>
      </c>
    </row>
    <row r="1019" spans="1:18" x14ac:dyDescent="0.3">
      <c r="A1019" t="s">
        <v>2366</v>
      </c>
      <c r="B1019" s="1">
        <v>45842</v>
      </c>
      <c r="C1019" t="s">
        <v>38</v>
      </c>
      <c r="D1019" t="s">
        <v>3292</v>
      </c>
      <c r="E1019">
        <v>55</v>
      </c>
      <c r="F1019" t="s">
        <v>51</v>
      </c>
      <c r="G1019" t="s">
        <v>104</v>
      </c>
      <c r="H1019" t="s">
        <v>46</v>
      </c>
      <c r="I1019" t="s">
        <v>47</v>
      </c>
      <c r="J1019" t="s">
        <v>34</v>
      </c>
      <c r="K1019">
        <v>6</v>
      </c>
      <c r="L1019" s="4">
        <v>39700</v>
      </c>
      <c r="M1019">
        <v>5</v>
      </c>
      <c r="N1019" s="4">
        <v>226290</v>
      </c>
      <c r="O1019" t="s">
        <v>85</v>
      </c>
      <c r="Q1019" t="s">
        <v>74</v>
      </c>
      <c r="R1019">
        <v>0</v>
      </c>
    </row>
    <row r="1020" spans="1:18" x14ac:dyDescent="0.3">
      <c r="A1020" t="s">
        <v>2367</v>
      </c>
      <c r="B1020" s="1">
        <v>45818</v>
      </c>
      <c r="C1020" t="s">
        <v>113</v>
      </c>
      <c r="D1020" t="s">
        <v>39</v>
      </c>
      <c r="E1020">
        <v>35</v>
      </c>
      <c r="F1020" t="s">
        <v>21</v>
      </c>
      <c r="G1020" t="s">
        <v>21</v>
      </c>
      <c r="H1020" t="s">
        <v>22</v>
      </c>
      <c r="I1020" t="s">
        <v>84</v>
      </c>
      <c r="J1020" t="s">
        <v>64</v>
      </c>
      <c r="K1020">
        <v>3</v>
      </c>
      <c r="L1020" s="4">
        <v>4400</v>
      </c>
      <c r="M1020">
        <v>25</v>
      </c>
      <c r="N1020" s="4">
        <v>9900</v>
      </c>
      <c r="O1020" t="s">
        <v>25</v>
      </c>
      <c r="Q1020" t="s">
        <v>74</v>
      </c>
      <c r="R1020">
        <v>0</v>
      </c>
    </row>
    <row r="1021" spans="1:18" x14ac:dyDescent="0.3">
      <c r="A1021" t="s">
        <v>2368</v>
      </c>
      <c r="B1021" s="1">
        <v>46011</v>
      </c>
      <c r="C1021" t="s">
        <v>71</v>
      </c>
      <c r="D1021" t="s">
        <v>39</v>
      </c>
      <c r="E1021">
        <v>60</v>
      </c>
      <c r="F1021" t="s">
        <v>21</v>
      </c>
      <c r="G1021" t="s">
        <v>21</v>
      </c>
      <c r="H1021" t="s">
        <v>46</v>
      </c>
      <c r="I1021" t="s">
        <v>47</v>
      </c>
      <c r="J1021" t="s">
        <v>89</v>
      </c>
      <c r="K1021">
        <v>3</v>
      </c>
      <c r="L1021" s="4">
        <v>23300</v>
      </c>
      <c r="M1021">
        <v>0</v>
      </c>
      <c r="N1021" s="4">
        <v>69900</v>
      </c>
      <c r="O1021" t="s">
        <v>25</v>
      </c>
      <c r="P1021">
        <v>2</v>
      </c>
      <c r="Q1021" t="s">
        <v>26</v>
      </c>
      <c r="R1021">
        <v>0</v>
      </c>
    </row>
    <row r="1022" spans="1:18" x14ac:dyDescent="0.3">
      <c r="A1022" t="s">
        <v>2369</v>
      </c>
      <c r="B1022" s="1">
        <v>45712</v>
      </c>
      <c r="C1022" t="s">
        <v>121</v>
      </c>
      <c r="D1022" t="s">
        <v>20</v>
      </c>
      <c r="E1022">
        <v>57</v>
      </c>
      <c r="F1022" t="s">
        <v>21</v>
      </c>
      <c r="G1022" t="s">
        <v>21</v>
      </c>
      <c r="H1022" t="s">
        <v>46</v>
      </c>
      <c r="I1022" t="s">
        <v>79</v>
      </c>
      <c r="J1022" t="s">
        <v>34</v>
      </c>
      <c r="K1022">
        <v>6</v>
      </c>
      <c r="L1022" s="4">
        <v>31100</v>
      </c>
      <c r="M1022">
        <v>15</v>
      </c>
      <c r="N1022" s="4">
        <v>158610</v>
      </c>
      <c r="O1022" t="s">
        <v>73</v>
      </c>
      <c r="P1022">
        <v>4</v>
      </c>
      <c r="Q1022" t="s">
        <v>65</v>
      </c>
      <c r="R1022">
        <v>0</v>
      </c>
    </row>
    <row r="1023" spans="1:18" x14ac:dyDescent="0.3">
      <c r="A1023" t="s">
        <v>2370</v>
      </c>
      <c r="B1023" s="1">
        <v>46117</v>
      </c>
      <c r="C1023" t="s">
        <v>60</v>
      </c>
      <c r="D1023" t="s">
        <v>3292</v>
      </c>
      <c r="E1023">
        <v>44</v>
      </c>
      <c r="F1023" t="s">
        <v>51</v>
      </c>
      <c r="G1023" t="s">
        <v>104</v>
      </c>
      <c r="H1023" t="s">
        <v>32</v>
      </c>
      <c r="I1023" t="s">
        <v>33</v>
      </c>
      <c r="J1023" t="s">
        <v>80</v>
      </c>
      <c r="K1023">
        <v>8</v>
      </c>
      <c r="L1023" s="4">
        <v>25300</v>
      </c>
      <c r="M1023">
        <v>5</v>
      </c>
      <c r="N1023" s="4">
        <v>192280</v>
      </c>
      <c r="O1023" t="s">
        <v>85</v>
      </c>
      <c r="Q1023" t="s">
        <v>41</v>
      </c>
      <c r="R1023">
        <v>1</v>
      </c>
    </row>
    <row r="1024" spans="1:18" x14ac:dyDescent="0.3">
      <c r="A1024" t="s">
        <v>2371</v>
      </c>
      <c r="B1024" s="1">
        <v>46081</v>
      </c>
      <c r="C1024" t="s">
        <v>29</v>
      </c>
      <c r="D1024" t="s">
        <v>3292</v>
      </c>
      <c r="E1024">
        <v>21</v>
      </c>
      <c r="F1024" t="s">
        <v>30</v>
      </c>
      <c r="G1024" t="s">
        <v>31</v>
      </c>
      <c r="H1024" t="s">
        <v>32</v>
      </c>
      <c r="I1024" t="s">
        <v>53</v>
      </c>
      <c r="J1024" t="s">
        <v>89</v>
      </c>
      <c r="K1024">
        <v>6</v>
      </c>
      <c r="L1024" s="4">
        <v>12200</v>
      </c>
      <c r="M1024">
        <v>0</v>
      </c>
      <c r="N1024" s="4">
        <v>73200</v>
      </c>
      <c r="O1024" t="s">
        <v>85</v>
      </c>
      <c r="P1024">
        <v>5</v>
      </c>
      <c r="Q1024" t="s">
        <v>74</v>
      </c>
      <c r="R1024">
        <v>0</v>
      </c>
    </row>
    <row r="1025" spans="1:18" x14ac:dyDescent="0.3">
      <c r="A1025" t="s">
        <v>2373</v>
      </c>
      <c r="B1025" s="1">
        <v>45752</v>
      </c>
      <c r="C1025" t="s">
        <v>94</v>
      </c>
      <c r="D1025" t="s">
        <v>39</v>
      </c>
      <c r="E1025">
        <v>25</v>
      </c>
      <c r="F1025" t="s">
        <v>30</v>
      </c>
      <c r="G1025" t="s">
        <v>57</v>
      </c>
      <c r="H1025" t="s">
        <v>32</v>
      </c>
      <c r="I1025" t="s">
        <v>53</v>
      </c>
      <c r="J1025" t="s">
        <v>80</v>
      </c>
      <c r="K1025">
        <v>3</v>
      </c>
      <c r="L1025" s="4">
        <v>8100</v>
      </c>
      <c r="M1025">
        <v>10</v>
      </c>
      <c r="N1025" s="4">
        <v>21870</v>
      </c>
      <c r="O1025" t="s">
        <v>85</v>
      </c>
      <c r="P1025">
        <v>5</v>
      </c>
      <c r="Q1025" t="s">
        <v>65</v>
      </c>
      <c r="R1025">
        <v>0</v>
      </c>
    </row>
    <row r="1026" spans="1:18" x14ac:dyDescent="0.3">
      <c r="A1026" t="s">
        <v>2376</v>
      </c>
      <c r="B1026" s="1">
        <v>46138</v>
      </c>
      <c r="C1026" t="s">
        <v>19</v>
      </c>
      <c r="D1026" t="s">
        <v>20</v>
      </c>
      <c r="E1026">
        <v>50</v>
      </c>
      <c r="F1026" t="s">
        <v>77</v>
      </c>
      <c r="G1026" t="s">
        <v>78</v>
      </c>
      <c r="H1026" t="s">
        <v>32</v>
      </c>
      <c r="I1026" t="s">
        <v>33</v>
      </c>
      <c r="J1026" t="s">
        <v>72</v>
      </c>
      <c r="K1026">
        <v>3</v>
      </c>
      <c r="L1026" s="4">
        <v>39600</v>
      </c>
      <c r="M1026">
        <v>0</v>
      </c>
      <c r="N1026" s="4">
        <v>118800</v>
      </c>
      <c r="O1026" t="s">
        <v>73</v>
      </c>
      <c r="P1026">
        <v>2</v>
      </c>
      <c r="Q1026" t="s">
        <v>74</v>
      </c>
      <c r="R1026">
        <v>0</v>
      </c>
    </row>
    <row r="1027" spans="1:18" x14ac:dyDescent="0.3">
      <c r="A1027" t="s">
        <v>2384</v>
      </c>
      <c r="B1027" s="1">
        <v>46121</v>
      </c>
      <c r="C1027" t="s">
        <v>88</v>
      </c>
      <c r="D1027" t="s">
        <v>3292</v>
      </c>
      <c r="E1027">
        <v>42</v>
      </c>
      <c r="F1027" t="s">
        <v>21</v>
      </c>
      <c r="G1027" t="s">
        <v>21</v>
      </c>
      <c r="H1027" t="s">
        <v>32</v>
      </c>
      <c r="I1027" t="s">
        <v>53</v>
      </c>
      <c r="J1027" t="s">
        <v>72</v>
      </c>
      <c r="K1027">
        <v>2</v>
      </c>
      <c r="L1027" s="4">
        <v>26800</v>
      </c>
      <c r="M1027">
        <v>0</v>
      </c>
      <c r="N1027" s="4">
        <v>53600</v>
      </c>
      <c r="O1027" t="s">
        <v>25</v>
      </c>
      <c r="P1027">
        <v>2</v>
      </c>
      <c r="Q1027" t="s">
        <v>65</v>
      </c>
      <c r="R1027">
        <v>0</v>
      </c>
    </row>
    <row r="1028" spans="1:18" x14ac:dyDescent="0.3">
      <c r="A1028" t="s">
        <v>2385</v>
      </c>
      <c r="B1028" s="1">
        <v>45899</v>
      </c>
      <c r="C1028" t="s">
        <v>68</v>
      </c>
      <c r="D1028" t="s">
        <v>39</v>
      </c>
      <c r="E1028">
        <v>50</v>
      </c>
      <c r="F1028" t="s">
        <v>77</v>
      </c>
      <c r="G1028" t="s">
        <v>95</v>
      </c>
      <c r="H1028" t="s">
        <v>62</v>
      </c>
      <c r="I1028" t="s">
        <v>63</v>
      </c>
      <c r="J1028" t="s">
        <v>80</v>
      </c>
      <c r="K1028">
        <v>9</v>
      </c>
      <c r="L1028" s="4">
        <v>48700</v>
      </c>
      <c r="M1028">
        <v>0</v>
      </c>
      <c r="N1028" s="4">
        <v>438300</v>
      </c>
      <c r="O1028" t="s">
        <v>85</v>
      </c>
      <c r="P1028">
        <v>3</v>
      </c>
      <c r="Q1028" t="s">
        <v>65</v>
      </c>
      <c r="R1028">
        <v>0</v>
      </c>
    </row>
    <row r="1029" spans="1:18" x14ac:dyDescent="0.3">
      <c r="A1029" t="s">
        <v>2387</v>
      </c>
      <c r="B1029" s="1">
        <v>45826</v>
      </c>
      <c r="C1029" t="s">
        <v>29</v>
      </c>
      <c r="D1029" t="s">
        <v>39</v>
      </c>
      <c r="E1029">
        <v>32</v>
      </c>
      <c r="F1029" t="s">
        <v>21</v>
      </c>
      <c r="G1029" t="s">
        <v>21</v>
      </c>
      <c r="H1029" t="s">
        <v>32</v>
      </c>
      <c r="I1029" t="s">
        <v>53</v>
      </c>
      <c r="J1029" t="s">
        <v>34</v>
      </c>
      <c r="K1029">
        <v>4</v>
      </c>
      <c r="L1029" s="4">
        <v>10000</v>
      </c>
      <c r="M1029">
        <v>15</v>
      </c>
      <c r="N1029" s="4">
        <v>34000</v>
      </c>
      <c r="O1029" t="s">
        <v>25</v>
      </c>
      <c r="Q1029" t="s">
        <v>74</v>
      </c>
      <c r="R1029">
        <v>0</v>
      </c>
    </row>
    <row r="1030" spans="1:18" x14ac:dyDescent="0.3">
      <c r="A1030" t="s">
        <v>2389</v>
      </c>
      <c r="B1030" s="1">
        <v>45679</v>
      </c>
      <c r="C1030" t="s">
        <v>29</v>
      </c>
      <c r="D1030" t="s">
        <v>20</v>
      </c>
      <c r="E1030">
        <v>40</v>
      </c>
      <c r="F1030" t="s">
        <v>51</v>
      </c>
      <c r="G1030" t="s">
        <v>104</v>
      </c>
      <c r="H1030" t="s">
        <v>22</v>
      </c>
      <c r="I1030" t="s">
        <v>84</v>
      </c>
      <c r="J1030" t="s">
        <v>72</v>
      </c>
      <c r="K1030">
        <v>6</v>
      </c>
      <c r="L1030" s="4">
        <v>23200</v>
      </c>
      <c r="M1030">
        <v>5</v>
      </c>
      <c r="N1030" s="4">
        <v>132240</v>
      </c>
      <c r="O1030" t="s">
        <v>85</v>
      </c>
      <c r="P1030">
        <v>2</v>
      </c>
      <c r="Q1030" t="s">
        <v>65</v>
      </c>
      <c r="R1030">
        <v>0</v>
      </c>
    </row>
    <row r="1031" spans="1:18" x14ac:dyDescent="0.3">
      <c r="A1031" t="s">
        <v>2390</v>
      </c>
      <c r="B1031" s="1">
        <v>46017</v>
      </c>
      <c r="C1031" t="s">
        <v>71</v>
      </c>
      <c r="D1031" t="s">
        <v>39</v>
      </c>
      <c r="E1031">
        <v>30</v>
      </c>
      <c r="F1031" t="s">
        <v>51</v>
      </c>
      <c r="G1031" t="s">
        <v>104</v>
      </c>
      <c r="H1031" t="s">
        <v>46</v>
      </c>
      <c r="I1031" t="s">
        <v>47</v>
      </c>
      <c r="J1031" t="s">
        <v>24</v>
      </c>
      <c r="K1031">
        <v>6</v>
      </c>
      <c r="L1031" s="4">
        <v>31300</v>
      </c>
      <c r="M1031">
        <v>10</v>
      </c>
      <c r="N1031" s="4">
        <v>169020</v>
      </c>
      <c r="O1031" t="s">
        <v>25</v>
      </c>
      <c r="P1031">
        <v>3</v>
      </c>
      <c r="Q1031" t="s">
        <v>26</v>
      </c>
      <c r="R1031">
        <v>0</v>
      </c>
    </row>
    <row r="1032" spans="1:18" x14ac:dyDescent="0.3">
      <c r="A1032" t="s">
        <v>2391</v>
      </c>
      <c r="B1032" s="1">
        <v>45691</v>
      </c>
      <c r="C1032" t="s">
        <v>60</v>
      </c>
      <c r="D1032" t="s">
        <v>39</v>
      </c>
      <c r="E1032">
        <v>62</v>
      </c>
      <c r="F1032" t="s">
        <v>44</v>
      </c>
      <c r="G1032" t="s">
        <v>100</v>
      </c>
      <c r="H1032" t="s">
        <v>22</v>
      </c>
      <c r="I1032" t="s">
        <v>23</v>
      </c>
      <c r="J1032" t="s">
        <v>80</v>
      </c>
      <c r="K1032">
        <v>10</v>
      </c>
      <c r="L1032" s="4">
        <v>16000</v>
      </c>
      <c r="M1032">
        <v>15</v>
      </c>
      <c r="N1032" s="4">
        <v>136000</v>
      </c>
      <c r="O1032" t="s">
        <v>85</v>
      </c>
      <c r="Q1032" t="s">
        <v>41</v>
      </c>
      <c r="R1032">
        <v>1</v>
      </c>
    </row>
    <row r="1033" spans="1:18" x14ac:dyDescent="0.3">
      <c r="A1033" t="s">
        <v>2392</v>
      </c>
      <c r="B1033" s="1">
        <v>45684</v>
      </c>
      <c r="C1033" t="s">
        <v>94</v>
      </c>
      <c r="D1033" t="s">
        <v>20</v>
      </c>
      <c r="E1033">
        <v>32</v>
      </c>
      <c r="F1033" t="s">
        <v>51</v>
      </c>
      <c r="G1033" t="s">
        <v>104</v>
      </c>
      <c r="H1033" t="s">
        <v>62</v>
      </c>
      <c r="I1033" t="s">
        <v>63</v>
      </c>
      <c r="J1033" t="s">
        <v>72</v>
      </c>
      <c r="K1033">
        <v>5</v>
      </c>
      <c r="L1033" s="4">
        <v>43800</v>
      </c>
      <c r="M1033">
        <v>20</v>
      </c>
      <c r="N1033" s="4">
        <v>175200</v>
      </c>
      <c r="O1033" t="s">
        <v>25</v>
      </c>
      <c r="P1033">
        <v>4</v>
      </c>
      <c r="Q1033" t="s">
        <v>41</v>
      </c>
      <c r="R1033">
        <v>1</v>
      </c>
    </row>
    <row r="1034" spans="1:18" x14ac:dyDescent="0.3">
      <c r="A1034" t="s">
        <v>2394</v>
      </c>
      <c r="B1034" s="1">
        <v>45859</v>
      </c>
      <c r="C1034" t="s">
        <v>94</v>
      </c>
      <c r="D1034" t="s">
        <v>20</v>
      </c>
      <c r="E1034">
        <v>28</v>
      </c>
      <c r="F1034" t="s">
        <v>51</v>
      </c>
      <c r="G1034" t="s">
        <v>104</v>
      </c>
      <c r="H1034" t="s">
        <v>46</v>
      </c>
      <c r="I1034" t="s">
        <v>79</v>
      </c>
      <c r="J1034" t="s">
        <v>72</v>
      </c>
      <c r="K1034">
        <v>8</v>
      </c>
      <c r="L1034" s="4">
        <v>31900</v>
      </c>
      <c r="M1034">
        <v>25</v>
      </c>
      <c r="N1034" s="4">
        <v>191400</v>
      </c>
      <c r="O1034" t="s">
        <v>73</v>
      </c>
      <c r="P1034">
        <v>5</v>
      </c>
      <c r="Q1034" t="s">
        <v>26</v>
      </c>
      <c r="R1034">
        <v>0</v>
      </c>
    </row>
    <row r="1035" spans="1:18" x14ac:dyDescent="0.3">
      <c r="A1035" t="s">
        <v>2396</v>
      </c>
      <c r="B1035" s="1">
        <v>46188</v>
      </c>
      <c r="C1035" t="s">
        <v>38</v>
      </c>
      <c r="D1035" t="s">
        <v>39</v>
      </c>
      <c r="E1035">
        <v>18</v>
      </c>
      <c r="F1035" t="s">
        <v>51</v>
      </c>
      <c r="G1035" t="s">
        <v>52</v>
      </c>
      <c r="H1035" t="s">
        <v>62</v>
      </c>
      <c r="I1035" t="s">
        <v>63</v>
      </c>
      <c r="J1035" t="s">
        <v>80</v>
      </c>
      <c r="K1035">
        <v>3</v>
      </c>
      <c r="L1035" s="4">
        <v>45500</v>
      </c>
      <c r="M1035">
        <v>0</v>
      </c>
      <c r="N1035" s="4">
        <v>136500</v>
      </c>
      <c r="O1035" t="s">
        <v>85</v>
      </c>
      <c r="P1035">
        <v>4</v>
      </c>
      <c r="Q1035" t="s">
        <v>41</v>
      </c>
      <c r="R1035">
        <v>1</v>
      </c>
    </row>
    <row r="1036" spans="1:18" x14ac:dyDescent="0.3">
      <c r="A1036" t="s">
        <v>2398</v>
      </c>
      <c r="B1036" s="1">
        <v>45817</v>
      </c>
      <c r="C1036" t="s">
        <v>68</v>
      </c>
      <c r="D1036" t="s">
        <v>39</v>
      </c>
      <c r="E1036">
        <v>42</v>
      </c>
      <c r="F1036" t="s">
        <v>51</v>
      </c>
      <c r="G1036" t="s">
        <v>104</v>
      </c>
      <c r="H1036" t="s">
        <v>22</v>
      </c>
      <c r="I1036" t="s">
        <v>84</v>
      </c>
      <c r="J1036" t="s">
        <v>72</v>
      </c>
      <c r="K1036">
        <v>10</v>
      </c>
      <c r="L1036" s="4">
        <v>21300</v>
      </c>
      <c r="M1036">
        <v>10</v>
      </c>
      <c r="N1036" s="4">
        <v>191700</v>
      </c>
      <c r="O1036" t="s">
        <v>85</v>
      </c>
      <c r="P1036">
        <v>1</v>
      </c>
      <c r="Q1036" t="s">
        <v>41</v>
      </c>
      <c r="R1036">
        <v>1</v>
      </c>
    </row>
    <row r="1037" spans="1:18" x14ac:dyDescent="0.3">
      <c r="A1037" t="s">
        <v>2399</v>
      </c>
      <c r="B1037" s="1">
        <v>45805</v>
      </c>
      <c r="C1037" t="s">
        <v>88</v>
      </c>
      <c r="D1037" t="s">
        <v>3292</v>
      </c>
      <c r="E1037">
        <v>65</v>
      </c>
      <c r="F1037" t="s">
        <v>30</v>
      </c>
      <c r="G1037" t="s">
        <v>57</v>
      </c>
      <c r="H1037" t="s">
        <v>32</v>
      </c>
      <c r="I1037" t="s">
        <v>33</v>
      </c>
      <c r="J1037" t="s">
        <v>34</v>
      </c>
      <c r="K1037">
        <v>5</v>
      </c>
      <c r="L1037" s="4">
        <v>47700</v>
      </c>
      <c r="M1037">
        <v>5</v>
      </c>
      <c r="N1037" s="4">
        <v>226575</v>
      </c>
      <c r="O1037" t="s">
        <v>73</v>
      </c>
      <c r="Q1037" t="s">
        <v>26</v>
      </c>
      <c r="R1037">
        <v>0</v>
      </c>
    </row>
    <row r="1038" spans="1:18" x14ac:dyDescent="0.3">
      <c r="A1038" t="s">
        <v>2401</v>
      </c>
      <c r="B1038" s="1">
        <v>45772</v>
      </c>
      <c r="C1038" t="s">
        <v>68</v>
      </c>
      <c r="D1038" t="s">
        <v>20</v>
      </c>
      <c r="E1038">
        <v>35</v>
      </c>
      <c r="F1038" t="s">
        <v>30</v>
      </c>
      <c r="G1038" t="s">
        <v>57</v>
      </c>
      <c r="H1038" t="s">
        <v>46</v>
      </c>
      <c r="I1038" t="s">
        <v>79</v>
      </c>
      <c r="J1038" t="s">
        <v>64</v>
      </c>
      <c r="K1038">
        <v>6</v>
      </c>
      <c r="L1038" s="4">
        <v>45700</v>
      </c>
      <c r="M1038">
        <v>5</v>
      </c>
      <c r="N1038" s="4">
        <v>260490</v>
      </c>
      <c r="O1038" t="s">
        <v>25</v>
      </c>
      <c r="P1038">
        <v>2</v>
      </c>
      <c r="Q1038" t="s">
        <v>41</v>
      </c>
      <c r="R1038">
        <v>1</v>
      </c>
    </row>
    <row r="1039" spans="1:18" x14ac:dyDescent="0.3">
      <c r="A1039" t="s">
        <v>2403</v>
      </c>
      <c r="B1039" s="1">
        <v>46119</v>
      </c>
      <c r="C1039" t="s">
        <v>19</v>
      </c>
      <c r="D1039" t="s">
        <v>39</v>
      </c>
      <c r="E1039">
        <v>58</v>
      </c>
      <c r="F1039" t="s">
        <v>30</v>
      </c>
      <c r="G1039" t="s">
        <v>31</v>
      </c>
      <c r="H1039" t="s">
        <v>46</v>
      </c>
      <c r="I1039" t="s">
        <v>47</v>
      </c>
      <c r="J1039" t="s">
        <v>34</v>
      </c>
      <c r="K1039">
        <v>6</v>
      </c>
      <c r="L1039" s="4">
        <v>18600</v>
      </c>
      <c r="M1039">
        <v>0</v>
      </c>
      <c r="N1039" s="4">
        <v>111600</v>
      </c>
      <c r="O1039" t="s">
        <v>73</v>
      </c>
      <c r="P1039">
        <v>5</v>
      </c>
      <c r="Q1039" t="s">
        <v>74</v>
      </c>
      <c r="R1039">
        <v>0</v>
      </c>
    </row>
    <row r="1040" spans="1:18" x14ac:dyDescent="0.3">
      <c r="A1040" t="s">
        <v>2407</v>
      </c>
      <c r="B1040" s="1">
        <v>45822</v>
      </c>
      <c r="C1040" t="s">
        <v>29</v>
      </c>
      <c r="D1040" t="s">
        <v>20</v>
      </c>
      <c r="E1040">
        <v>64</v>
      </c>
      <c r="F1040" t="s">
        <v>21</v>
      </c>
      <c r="G1040" t="s">
        <v>21</v>
      </c>
      <c r="H1040" t="s">
        <v>62</v>
      </c>
      <c r="I1040" t="s">
        <v>140</v>
      </c>
      <c r="J1040" t="s">
        <v>24</v>
      </c>
      <c r="K1040">
        <v>6</v>
      </c>
      <c r="L1040" s="4">
        <v>47600</v>
      </c>
      <c r="M1040">
        <v>5</v>
      </c>
      <c r="N1040" s="4">
        <v>271320</v>
      </c>
      <c r="O1040" t="s">
        <v>25</v>
      </c>
      <c r="Q1040" t="s">
        <v>74</v>
      </c>
      <c r="R1040">
        <v>0</v>
      </c>
    </row>
    <row r="1041" spans="1:18" x14ac:dyDescent="0.3">
      <c r="A1041" t="s">
        <v>2409</v>
      </c>
      <c r="B1041" s="1">
        <v>46079</v>
      </c>
      <c r="C1041" t="s">
        <v>113</v>
      </c>
      <c r="D1041" t="s">
        <v>3292</v>
      </c>
      <c r="E1041">
        <v>52</v>
      </c>
      <c r="F1041" t="s">
        <v>30</v>
      </c>
      <c r="G1041" t="s">
        <v>57</v>
      </c>
      <c r="H1041" t="s">
        <v>46</v>
      </c>
      <c r="I1041" t="s">
        <v>79</v>
      </c>
      <c r="J1041" t="s">
        <v>24</v>
      </c>
      <c r="K1041">
        <v>6</v>
      </c>
      <c r="L1041" s="4">
        <v>40100</v>
      </c>
      <c r="M1041">
        <v>25</v>
      </c>
      <c r="N1041" s="4">
        <v>180450</v>
      </c>
      <c r="O1041" t="s">
        <v>25</v>
      </c>
      <c r="Q1041" t="s">
        <v>74</v>
      </c>
      <c r="R1041">
        <v>0</v>
      </c>
    </row>
    <row r="1042" spans="1:18" x14ac:dyDescent="0.3">
      <c r="A1042" t="s">
        <v>2410</v>
      </c>
      <c r="B1042" s="1">
        <v>45661</v>
      </c>
      <c r="C1042" t="s">
        <v>71</v>
      </c>
      <c r="D1042" t="s">
        <v>39</v>
      </c>
      <c r="E1042">
        <v>39</v>
      </c>
      <c r="F1042" t="s">
        <v>77</v>
      </c>
      <c r="G1042" t="s">
        <v>95</v>
      </c>
      <c r="H1042" t="s">
        <v>46</v>
      </c>
      <c r="I1042" t="s">
        <v>47</v>
      </c>
      <c r="J1042" t="s">
        <v>72</v>
      </c>
      <c r="K1042">
        <v>9</v>
      </c>
      <c r="L1042" s="4">
        <v>36400</v>
      </c>
      <c r="M1042">
        <v>15</v>
      </c>
      <c r="N1042" s="4">
        <v>278460</v>
      </c>
      <c r="O1042" t="s">
        <v>73</v>
      </c>
      <c r="Q1042" t="s">
        <v>26</v>
      </c>
      <c r="R1042">
        <v>0</v>
      </c>
    </row>
    <row r="1043" spans="1:18" x14ac:dyDescent="0.3">
      <c r="A1043" t="s">
        <v>2412</v>
      </c>
      <c r="B1043" s="1">
        <v>45690</v>
      </c>
      <c r="C1043" t="s">
        <v>38</v>
      </c>
      <c r="D1043" t="s">
        <v>39</v>
      </c>
      <c r="E1043">
        <v>36</v>
      </c>
      <c r="F1043" t="s">
        <v>77</v>
      </c>
      <c r="G1043" t="s">
        <v>95</v>
      </c>
      <c r="H1043" t="s">
        <v>32</v>
      </c>
      <c r="I1043" t="s">
        <v>53</v>
      </c>
      <c r="J1043" t="s">
        <v>80</v>
      </c>
      <c r="K1043">
        <v>8</v>
      </c>
      <c r="L1043" s="4">
        <v>40300</v>
      </c>
      <c r="M1043">
        <v>10</v>
      </c>
      <c r="N1043" s="4">
        <v>290160</v>
      </c>
      <c r="O1043" t="s">
        <v>25</v>
      </c>
      <c r="P1043">
        <v>1</v>
      </c>
      <c r="Q1043" t="s">
        <v>74</v>
      </c>
      <c r="R1043">
        <v>0</v>
      </c>
    </row>
    <row r="1044" spans="1:18" x14ac:dyDescent="0.3">
      <c r="A1044" t="s">
        <v>2413</v>
      </c>
      <c r="B1044" s="1">
        <v>45901</v>
      </c>
      <c r="C1044" t="s">
        <v>113</v>
      </c>
      <c r="D1044" t="s">
        <v>20</v>
      </c>
      <c r="E1044">
        <v>50</v>
      </c>
      <c r="F1044" t="s">
        <v>51</v>
      </c>
      <c r="G1044" t="s">
        <v>52</v>
      </c>
      <c r="H1044" t="s">
        <v>32</v>
      </c>
      <c r="I1044" t="s">
        <v>33</v>
      </c>
      <c r="J1044" t="s">
        <v>64</v>
      </c>
      <c r="K1044">
        <v>6</v>
      </c>
      <c r="L1044" s="4">
        <v>27400</v>
      </c>
      <c r="M1044">
        <v>0</v>
      </c>
      <c r="N1044" s="4">
        <v>164400</v>
      </c>
      <c r="O1044" t="s">
        <v>25</v>
      </c>
      <c r="Q1044" t="s">
        <v>65</v>
      </c>
      <c r="R1044">
        <v>0</v>
      </c>
    </row>
    <row r="1045" spans="1:18" x14ac:dyDescent="0.3">
      <c r="A1045" t="s">
        <v>2416</v>
      </c>
      <c r="B1045" s="1">
        <v>45665</v>
      </c>
      <c r="C1045" t="s">
        <v>94</v>
      </c>
      <c r="D1045" t="s">
        <v>39</v>
      </c>
      <c r="E1045">
        <v>35</v>
      </c>
      <c r="F1045" t="s">
        <v>77</v>
      </c>
      <c r="G1045" t="s">
        <v>95</v>
      </c>
      <c r="H1045" t="s">
        <v>46</v>
      </c>
      <c r="I1045" t="s">
        <v>47</v>
      </c>
      <c r="J1045" t="s">
        <v>34</v>
      </c>
      <c r="K1045">
        <v>4</v>
      </c>
      <c r="L1045" s="4">
        <v>2300</v>
      </c>
      <c r="M1045">
        <v>5</v>
      </c>
      <c r="N1045" s="4">
        <v>8740</v>
      </c>
      <c r="O1045" t="s">
        <v>85</v>
      </c>
      <c r="P1045">
        <v>3</v>
      </c>
      <c r="Q1045" t="s">
        <v>41</v>
      </c>
      <c r="R1045">
        <v>1</v>
      </c>
    </row>
    <row r="1046" spans="1:18" x14ac:dyDescent="0.3">
      <c r="A1046" t="s">
        <v>2418</v>
      </c>
      <c r="B1046" s="1">
        <v>45812</v>
      </c>
      <c r="C1046" t="s">
        <v>88</v>
      </c>
      <c r="D1046" t="s">
        <v>3292</v>
      </c>
      <c r="E1046">
        <v>34</v>
      </c>
      <c r="F1046" t="s">
        <v>77</v>
      </c>
      <c r="G1046" t="s">
        <v>78</v>
      </c>
      <c r="H1046" t="s">
        <v>32</v>
      </c>
      <c r="I1046" t="s">
        <v>53</v>
      </c>
      <c r="J1046" t="s">
        <v>89</v>
      </c>
      <c r="K1046">
        <v>5</v>
      </c>
      <c r="L1046" s="4">
        <v>43600</v>
      </c>
      <c r="M1046">
        <v>0</v>
      </c>
      <c r="N1046" s="4">
        <v>218000</v>
      </c>
      <c r="O1046" t="s">
        <v>85</v>
      </c>
      <c r="Q1046" t="s">
        <v>74</v>
      </c>
      <c r="R1046">
        <v>0</v>
      </c>
    </row>
    <row r="1047" spans="1:18" x14ac:dyDescent="0.3">
      <c r="A1047" t="s">
        <v>2422</v>
      </c>
      <c r="B1047" s="1">
        <v>45877</v>
      </c>
      <c r="C1047" t="s">
        <v>113</v>
      </c>
      <c r="D1047" t="s">
        <v>3292</v>
      </c>
      <c r="E1047">
        <v>58</v>
      </c>
      <c r="F1047" t="s">
        <v>30</v>
      </c>
      <c r="G1047" t="s">
        <v>57</v>
      </c>
      <c r="H1047" t="s">
        <v>32</v>
      </c>
      <c r="I1047" t="s">
        <v>53</v>
      </c>
      <c r="J1047" t="s">
        <v>24</v>
      </c>
      <c r="K1047">
        <v>7</v>
      </c>
      <c r="L1047" s="4">
        <v>29800</v>
      </c>
      <c r="M1047">
        <v>10</v>
      </c>
      <c r="N1047" s="4">
        <v>187740</v>
      </c>
      <c r="O1047" t="s">
        <v>25</v>
      </c>
      <c r="P1047">
        <v>2</v>
      </c>
      <c r="Q1047" t="s">
        <v>74</v>
      </c>
      <c r="R1047">
        <v>0</v>
      </c>
    </row>
    <row r="1048" spans="1:18" x14ac:dyDescent="0.3">
      <c r="A1048" t="s">
        <v>2425</v>
      </c>
      <c r="B1048" s="1">
        <v>45961</v>
      </c>
      <c r="C1048" t="s">
        <v>94</v>
      </c>
      <c r="D1048" t="s">
        <v>20</v>
      </c>
      <c r="E1048">
        <v>59</v>
      </c>
      <c r="F1048" t="s">
        <v>77</v>
      </c>
      <c r="G1048" t="s">
        <v>95</v>
      </c>
      <c r="H1048" t="s">
        <v>32</v>
      </c>
      <c r="I1048" t="s">
        <v>53</v>
      </c>
      <c r="J1048" t="s">
        <v>89</v>
      </c>
      <c r="K1048">
        <v>2</v>
      </c>
      <c r="L1048" s="4">
        <v>37200</v>
      </c>
      <c r="M1048">
        <v>20</v>
      </c>
      <c r="N1048" s="4">
        <v>59520</v>
      </c>
      <c r="O1048" t="s">
        <v>85</v>
      </c>
      <c r="P1048">
        <v>3</v>
      </c>
      <c r="Q1048" t="s">
        <v>74</v>
      </c>
      <c r="R1048">
        <v>0</v>
      </c>
    </row>
    <row r="1049" spans="1:18" x14ac:dyDescent="0.3">
      <c r="A1049" t="s">
        <v>2426</v>
      </c>
      <c r="B1049" s="1">
        <v>45958</v>
      </c>
      <c r="C1049" t="s">
        <v>121</v>
      </c>
      <c r="D1049" t="s">
        <v>3292</v>
      </c>
      <c r="E1049">
        <v>46</v>
      </c>
      <c r="F1049" t="s">
        <v>21</v>
      </c>
      <c r="G1049" t="s">
        <v>21</v>
      </c>
      <c r="H1049" t="s">
        <v>32</v>
      </c>
      <c r="I1049" t="s">
        <v>33</v>
      </c>
      <c r="J1049" t="s">
        <v>24</v>
      </c>
      <c r="K1049">
        <v>6</v>
      </c>
      <c r="L1049" s="4">
        <v>45000</v>
      </c>
      <c r="M1049">
        <v>25</v>
      </c>
      <c r="N1049" s="4">
        <v>202500</v>
      </c>
      <c r="O1049" t="s">
        <v>85</v>
      </c>
      <c r="P1049">
        <v>5</v>
      </c>
      <c r="Q1049" t="s">
        <v>26</v>
      </c>
      <c r="R1049">
        <v>0</v>
      </c>
    </row>
    <row r="1050" spans="1:18" x14ac:dyDescent="0.3">
      <c r="A1050" t="s">
        <v>2427</v>
      </c>
      <c r="B1050" s="1">
        <v>46104</v>
      </c>
      <c r="C1050" t="s">
        <v>113</v>
      </c>
      <c r="D1050" t="s">
        <v>20</v>
      </c>
      <c r="E1050">
        <v>43</v>
      </c>
      <c r="F1050" t="s">
        <v>21</v>
      </c>
      <c r="G1050" t="s">
        <v>21</v>
      </c>
      <c r="H1050" t="s">
        <v>32</v>
      </c>
      <c r="I1050" t="s">
        <v>33</v>
      </c>
      <c r="J1050" t="s">
        <v>64</v>
      </c>
      <c r="K1050">
        <v>4</v>
      </c>
      <c r="L1050" s="4">
        <v>7800</v>
      </c>
      <c r="M1050">
        <v>10</v>
      </c>
      <c r="N1050" s="4">
        <v>28080</v>
      </c>
      <c r="O1050" t="s">
        <v>85</v>
      </c>
      <c r="P1050">
        <v>3</v>
      </c>
      <c r="Q1050" t="s">
        <v>41</v>
      </c>
      <c r="R1050">
        <v>1</v>
      </c>
    </row>
    <row r="1051" spans="1:18" x14ac:dyDescent="0.3">
      <c r="A1051" t="s">
        <v>2429</v>
      </c>
      <c r="B1051" s="1">
        <v>45789</v>
      </c>
      <c r="C1051" t="s">
        <v>38</v>
      </c>
      <c r="D1051" t="s">
        <v>3292</v>
      </c>
      <c r="E1051">
        <v>57</v>
      </c>
      <c r="F1051" t="s">
        <v>21</v>
      </c>
      <c r="G1051" t="s">
        <v>21</v>
      </c>
      <c r="H1051" t="s">
        <v>22</v>
      </c>
      <c r="I1051" t="s">
        <v>23</v>
      </c>
      <c r="J1051" t="s">
        <v>89</v>
      </c>
      <c r="K1051">
        <v>4</v>
      </c>
      <c r="L1051" s="4">
        <v>41200</v>
      </c>
      <c r="M1051">
        <v>15</v>
      </c>
      <c r="N1051" s="4">
        <v>140080</v>
      </c>
      <c r="O1051" t="s">
        <v>25</v>
      </c>
      <c r="P1051">
        <v>4</v>
      </c>
      <c r="Q1051" t="s">
        <v>26</v>
      </c>
      <c r="R1051">
        <v>0</v>
      </c>
    </row>
    <row r="1052" spans="1:18" x14ac:dyDescent="0.3">
      <c r="A1052" t="s">
        <v>2430</v>
      </c>
      <c r="B1052" s="1">
        <v>45689</v>
      </c>
      <c r="C1052" t="s">
        <v>68</v>
      </c>
      <c r="D1052" t="s">
        <v>39</v>
      </c>
      <c r="E1052">
        <v>55</v>
      </c>
      <c r="F1052" t="s">
        <v>21</v>
      </c>
      <c r="G1052" t="s">
        <v>21</v>
      </c>
      <c r="H1052" t="s">
        <v>62</v>
      </c>
      <c r="I1052" t="s">
        <v>63</v>
      </c>
      <c r="J1052" t="s">
        <v>24</v>
      </c>
      <c r="K1052">
        <v>4</v>
      </c>
      <c r="L1052" s="4">
        <v>8300</v>
      </c>
      <c r="M1052">
        <v>15</v>
      </c>
      <c r="N1052" s="4">
        <v>28220</v>
      </c>
      <c r="O1052" t="s">
        <v>25</v>
      </c>
      <c r="P1052">
        <v>3</v>
      </c>
      <c r="Q1052" t="s">
        <v>65</v>
      </c>
      <c r="R1052">
        <v>0</v>
      </c>
    </row>
    <row r="1053" spans="1:18" x14ac:dyDescent="0.3">
      <c r="A1053" t="s">
        <v>2432</v>
      </c>
      <c r="B1053" s="1">
        <v>45973</v>
      </c>
      <c r="C1053" t="s">
        <v>94</v>
      </c>
      <c r="D1053" t="s">
        <v>20</v>
      </c>
      <c r="E1053">
        <v>52</v>
      </c>
      <c r="F1053" t="s">
        <v>21</v>
      </c>
      <c r="G1053" t="s">
        <v>21</v>
      </c>
      <c r="H1053" t="s">
        <v>62</v>
      </c>
      <c r="I1053" t="s">
        <v>63</v>
      </c>
      <c r="J1053" t="s">
        <v>34</v>
      </c>
      <c r="K1053">
        <v>4</v>
      </c>
      <c r="L1053" s="4">
        <v>45600</v>
      </c>
      <c r="M1053">
        <v>15</v>
      </c>
      <c r="N1053" s="4">
        <v>155040</v>
      </c>
      <c r="O1053" t="s">
        <v>85</v>
      </c>
      <c r="P1053">
        <v>1</v>
      </c>
      <c r="Q1053" t="s">
        <v>41</v>
      </c>
      <c r="R1053">
        <v>1</v>
      </c>
    </row>
    <row r="1054" spans="1:18" x14ac:dyDescent="0.3">
      <c r="A1054" t="s">
        <v>2434</v>
      </c>
      <c r="B1054" s="1">
        <v>45913</v>
      </c>
      <c r="C1054" t="s">
        <v>94</v>
      </c>
      <c r="D1054" t="s">
        <v>20</v>
      </c>
      <c r="E1054">
        <v>26</v>
      </c>
      <c r="F1054" t="s">
        <v>51</v>
      </c>
      <c r="G1054" t="s">
        <v>104</v>
      </c>
      <c r="H1054" t="s">
        <v>62</v>
      </c>
      <c r="I1054" t="s">
        <v>140</v>
      </c>
      <c r="J1054" t="s">
        <v>34</v>
      </c>
      <c r="K1054">
        <v>5</v>
      </c>
      <c r="L1054" s="4">
        <v>9700</v>
      </c>
      <c r="M1054">
        <v>5</v>
      </c>
      <c r="N1054" s="4">
        <v>46075</v>
      </c>
      <c r="O1054" t="s">
        <v>25</v>
      </c>
      <c r="P1054">
        <v>1</v>
      </c>
      <c r="Q1054" t="s">
        <v>41</v>
      </c>
      <c r="R1054">
        <v>1</v>
      </c>
    </row>
    <row r="1055" spans="1:18" x14ac:dyDescent="0.3">
      <c r="A1055" t="s">
        <v>2435</v>
      </c>
      <c r="B1055" s="1">
        <v>45972</v>
      </c>
      <c r="C1055" t="s">
        <v>121</v>
      </c>
      <c r="D1055" t="s">
        <v>3292</v>
      </c>
      <c r="E1055">
        <v>56</v>
      </c>
      <c r="F1055" t="s">
        <v>77</v>
      </c>
      <c r="G1055" t="s">
        <v>78</v>
      </c>
      <c r="H1055" t="s">
        <v>62</v>
      </c>
      <c r="I1055" t="s">
        <v>63</v>
      </c>
      <c r="J1055" t="s">
        <v>64</v>
      </c>
      <c r="K1055">
        <v>9</v>
      </c>
      <c r="L1055" s="4">
        <v>35000</v>
      </c>
      <c r="M1055">
        <v>10</v>
      </c>
      <c r="N1055" s="4">
        <v>283500</v>
      </c>
      <c r="O1055" t="s">
        <v>85</v>
      </c>
      <c r="P1055">
        <v>5</v>
      </c>
      <c r="Q1055" t="s">
        <v>41</v>
      </c>
      <c r="R1055">
        <v>1</v>
      </c>
    </row>
    <row r="1056" spans="1:18" x14ac:dyDescent="0.3">
      <c r="A1056" t="s">
        <v>2436</v>
      </c>
      <c r="B1056" s="1">
        <v>46135</v>
      </c>
      <c r="C1056" t="s">
        <v>38</v>
      </c>
      <c r="D1056" t="s">
        <v>39</v>
      </c>
      <c r="E1056">
        <v>50</v>
      </c>
      <c r="F1056" t="s">
        <v>30</v>
      </c>
      <c r="G1056" t="s">
        <v>31</v>
      </c>
      <c r="H1056" t="s">
        <v>62</v>
      </c>
      <c r="I1056" t="s">
        <v>140</v>
      </c>
      <c r="J1056" t="s">
        <v>80</v>
      </c>
      <c r="K1056">
        <v>5</v>
      </c>
      <c r="L1056" s="4">
        <v>37900</v>
      </c>
      <c r="M1056">
        <v>10</v>
      </c>
      <c r="N1056" s="4">
        <v>170550</v>
      </c>
      <c r="O1056" t="s">
        <v>25</v>
      </c>
      <c r="P1056">
        <v>4</v>
      </c>
      <c r="Q1056" t="s">
        <v>74</v>
      </c>
      <c r="R1056">
        <v>0</v>
      </c>
    </row>
    <row r="1057" spans="1:18" x14ac:dyDescent="0.3">
      <c r="A1057" t="s">
        <v>2437</v>
      </c>
      <c r="B1057" s="1">
        <v>46018</v>
      </c>
      <c r="C1057" t="s">
        <v>19</v>
      </c>
      <c r="D1057" t="s">
        <v>39</v>
      </c>
      <c r="E1057">
        <v>56</v>
      </c>
      <c r="F1057" t="s">
        <v>21</v>
      </c>
      <c r="G1057" t="s">
        <v>21</v>
      </c>
      <c r="H1057" t="s">
        <v>32</v>
      </c>
      <c r="I1057" t="s">
        <v>33</v>
      </c>
      <c r="J1057" t="s">
        <v>34</v>
      </c>
      <c r="K1057">
        <v>9</v>
      </c>
      <c r="L1057" s="4">
        <v>39100</v>
      </c>
      <c r="M1057">
        <v>10</v>
      </c>
      <c r="N1057" s="4">
        <v>316710</v>
      </c>
      <c r="O1057" t="s">
        <v>73</v>
      </c>
      <c r="P1057">
        <v>1</v>
      </c>
      <c r="Q1057" t="s">
        <v>41</v>
      </c>
      <c r="R1057">
        <v>1</v>
      </c>
    </row>
    <row r="1058" spans="1:18" x14ac:dyDescent="0.3">
      <c r="A1058" t="s">
        <v>2439</v>
      </c>
      <c r="B1058" s="1">
        <v>45844</v>
      </c>
      <c r="C1058" t="s">
        <v>71</v>
      </c>
      <c r="D1058" t="s">
        <v>20</v>
      </c>
      <c r="E1058">
        <v>62</v>
      </c>
      <c r="F1058" t="s">
        <v>77</v>
      </c>
      <c r="G1058" t="s">
        <v>78</v>
      </c>
      <c r="H1058" t="s">
        <v>32</v>
      </c>
      <c r="I1058" t="s">
        <v>53</v>
      </c>
      <c r="J1058" t="s">
        <v>89</v>
      </c>
      <c r="K1058">
        <v>9</v>
      </c>
      <c r="L1058" s="4">
        <v>48000</v>
      </c>
      <c r="M1058">
        <v>25</v>
      </c>
      <c r="N1058" s="4">
        <v>324000</v>
      </c>
      <c r="O1058" t="s">
        <v>25</v>
      </c>
      <c r="P1058">
        <v>4</v>
      </c>
      <c r="Q1058" t="s">
        <v>74</v>
      </c>
      <c r="R1058">
        <v>0</v>
      </c>
    </row>
    <row r="1059" spans="1:18" x14ac:dyDescent="0.3">
      <c r="A1059" t="s">
        <v>2442</v>
      </c>
      <c r="B1059" s="1">
        <v>45967</v>
      </c>
      <c r="C1059" t="s">
        <v>19</v>
      </c>
      <c r="D1059" t="s">
        <v>20</v>
      </c>
      <c r="E1059">
        <v>57</v>
      </c>
      <c r="F1059" t="s">
        <v>30</v>
      </c>
      <c r="G1059" t="s">
        <v>57</v>
      </c>
      <c r="H1059" t="s">
        <v>46</v>
      </c>
      <c r="I1059" t="s">
        <v>79</v>
      </c>
      <c r="J1059" t="s">
        <v>34</v>
      </c>
      <c r="K1059">
        <v>9</v>
      </c>
      <c r="L1059" s="4">
        <v>10300</v>
      </c>
      <c r="M1059">
        <v>15</v>
      </c>
      <c r="N1059" s="4">
        <v>78795</v>
      </c>
      <c r="O1059" t="s">
        <v>25</v>
      </c>
      <c r="P1059">
        <v>5</v>
      </c>
      <c r="Q1059" t="s">
        <v>41</v>
      </c>
      <c r="R1059">
        <v>1</v>
      </c>
    </row>
    <row r="1060" spans="1:18" x14ac:dyDescent="0.3">
      <c r="A1060" t="s">
        <v>2445</v>
      </c>
      <c r="B1060" s="1">
        <v>45846</v>
      </c>
      <c r="C1060" t="s">
        <v>121</v>
      </c>
      <c r="D1060" t="s">
        <v>20</v>
      </c>
      <c r="E1060">
        <v>30</v>
      </c>
      <c r="F1060" t="s">
        <v>44</v>
      </c>
      <c r="G1060" t="s">
        <v>100</v>
      </c>
      <c r="H1060" t="s">
        <v>22</v>
      </c>
      <c r="I1060" t="s">
        <v>84</v>
      </c>
      <c r="J1060" t="s">
        <v>34</v>
      </c>
      <c r="K1060">
        <v>7</v>
      </c>
      <c r="L1060" s="4">
        <v>4100</v>
      </c>
      <c r="M1060">
        <v>25</v>
      </c>
      <c r="N1060" s="4">
        <v>21525</v>
      </c>
      <c r="O1060" t="s">
        <v>85</v>
      </c>
      <c r="Q1060" t="s">
        <v>65</v>
      </c>
      <c r="R1060">
        <v>0</v>
      </c>
    </row>
    <row r="1061" spans="1:18" x14ac:dyDescent="0.3">
      <c r="A1061" t="s">
        <v>2446</v>
      </c>
      <c r="B1061" s="1">
        <v>45755</v>
      </c>
      <c r="C1061" t="s">
        <v>38</v>
      </c>
      <c r="D1061" t="s">
        <v>3292</v>
      </c>
      <c r="E1061">
        <v>35</v>
      </c>
      <c r="F1061" t="s">
        <v>44</v>
      </c>
      <c r="G1061" t="s">
        <v>45</v>
      </c>
      <c r="H1061" t="s">
        <v>32</v>
      </c>
      <c r="I1061" t="s">
        <v>53</v>
      </c>
      <c r="J1061" t="s">
        <v>34</v>
      </c>
      <c r="K1061">
        <v>1</v>
      </c>
      <c r="L1061" s="4">
        <v>6100</v>
      </c>
      <c r="M1061">
        <v>0</v>
      </c>
      <c r="N1061" s="4">
        <v>6100</v>
      </c>
      <c r="O1061" t="s">
        <v>85</v>
      </c>
      <c r="Q1061" t="s">
        <v>74</v>
      </c>
      <c r="R1061">
        <v>0</v>
      </c>
    </row>
    <row r="1062" spans="1:18" x14ac:dyDescent="0.3">
      <c r="A1062" t="s">
        <v>2448</v>
      </c>
      <c r="B1062" s="1">
        <v>46360</v>
      </c>
      <c r="C1062" t="s">
        <v>29</v>
      </c>
      <c r="D1062" t="s">
        <v>39</v>
      </c>
      <c r="E1062">
        <v>52</v>
      </c>
      <c r="F1062" t="s">
        <v>77</v>
      </c>
      <c r="G1062" t="s">
        <v>95</v>
      </c>
      <c r="H1062" t="s">
        <v>22</v>
      </c>
      <c r="I1062" t="s">
        <v>84</v>
      </c>
      <c r="J1062" t="s">
        <v>72</v>
      </c>
      <c r="K1062">
        <v>7</v>
      </c>
      <c r="L1062" s="4">
        <v>48800</v>
      </c>
      <c r="M1062">
        <v>0</v>
      </c>
      <c r="N1062" s="4">
        <v>341600</v>
      </c>
      <c r="O1062" t="s">
        <v>85</v>
      </c>
      <c r="P1062">
        <v>2</v>
      </c>
      <c r="Q1062" t="s">
        <v>74</v>
      </c>
      <c r="R1062">
        <v>0</v>
      </c>
    </row>
    <row r="1063" spans="1:18" x14ac:dyDescent="0.3">
      <c r="A1063" t="s">
        <v>2449</v>
      </c>
      <c r="B1063" s="1">
        <v>46198</v>
      </c>
      <c r="C1063" t="s">
        <v>38</v>
      </c>
      <c r="D1063" t="s">
        <v>3292</v>
      </c>
      <c r="E1063">
        <v>62</v>
      </c>
      <c r="F1063" t="s">
        <v>30</v>
      </c>
      <c r="G1063" t="s">
        <v>57</v>
      </c>
      <c r="H1063" t="s">
        <v>46</v>
      </c>
      <c r="I1063" t="s">
        <v>79</v>
      </c>
      <c r="J1063" t="s">
        <v>24</v>
      </c>
      <c r="K1063">
        <v>6</v>
      </c>
      <c r="L1063" s="4">
        <v>46600</v>
      </c>
      <c r="M1063">
        <v>25</v>
      </c>
      <c r="N1063" s="4">
        <v>209700</v>
      </c>
      <c r="O1063" t="s">
        <v>73</v>
      </c>
      <c r="P1063">
        <v>5</v>
      </c>
      <c r="Q1063" t="s">
        <v>41</v>
      </c>
      <c r="R1063">
        <v>1</v>
      </c>
    </row>
    <row r="1064" spans="1:18" x14ac:dyDescent="0.3">
      <c r="A1064" t="s">
        <v>2450</v>
      </c>
      <c r="B1064" s="1">
        <v>45759</v>
      </c>
      <c r="C1064" t="s">
        <v>71</v>
      </c>
      <c r="D1064" t="s">
        <v>20</v>
      </c>
      <c r="E1064">
        <v>25</v>
      </c>
      <c r="F1064" t="s">
        <v>21</v>
      </c>
      <c r="G1064" t="s">
        <v>21</v>
      </c>
      <c r="H1064" t="s">
        <v>32</v>
      </c>
      <c r="I1064" t="s">
        <v>53</v>
      </c>
      <c r="J1064" t="s">
        <v>72</v>
      </c>
      <c r="K1064">
        <v>10</v>
      </c>
      <c r="L1064" s="4">
        <v>38600</v>
      </c>
      <c r="M1064">
        <v>5</v>
      </c>
      <c r="N1064" s="4">
        <v>366700</v>
      </c>
      <c r="O1064" t="s">
        <v>85</v>
      </c>
      <c r="P1064">
        <v>4</v>
      </c>
      <c r="Q1064" t="s">
        <v>74</v>
      </c>
      <c r="R1064">
        <v>0</v>
      </c>
    </row>
    <row r="1065" spans="1:18" x14ac:dyDescent="0.3">
      <c r="A1065" t="s">
        <v>2452</v>
      </c>
      <c r="B1065" s="1">
        <v>46157</v>
      </c>
      <c r="C1065" t="s">
        <v>29</v>
      </c>
      <c r="D1065" t="s">
        <v>39</v>
      </c>
      <c r="E1065">
        <v>62</v>
      </c>
      <c r="F1065" t="s">
        <v>21</v>
      </c>
      <c r="G1065" t="s">
        <v>21</v>
      </c>
      <c r="H1065" t="s">
        <v>62</v>
      </c>
      <c r="I1065" t="s">
        <v>140</v>
      </c>
      <c r="J1065" t="s">
        <v>89</v>
      </c>
      <c r="K1065">
        <v>3</v>
      </c>
      <c r="L1065" s="4">
        <v>8400</v>
      </c>
      <c r="M1065">
        <v>5</v>
      </c>
      <c r="N1065" s="4">
        <v>23940</v>
      </c>
      <c r="O1065" t="s">
        <v>25</v>
      </c>
      <c r="P1065">
        <v>2</v>
      </c>
      <c r="Q1065" t="s">
        <v>26</v>
      </c>
      <c r="R1065">
        <v>0</v>
      </c>
    </row>
    <row r="1066" spans="1:18" x14ac:dyDescent="0.3">
      <c r="A1066" t="s">
        <v>2453</v>
      </c>
      <c r="B1066" s="1">
        <v>46090</v>
      </c>
      <c r="C1066" t="s">
        <v>113</v>
      </c>
      <c r="D1066" t="s">
        <v>20</v>
      </c>
      <c r="E1066">
        <v>43</v>
      </c>
      <c r="F1066" t="s">
        <v>44</v>
      </c>
      <c r="G1066" t="s">
        <v>100</v>
      </c>
      <c r="H1066" t="s">
        <v>62</v>
      </c>
      <c r="I1066" t="s">
        <v>63</v>
      </c>
      <c r="J1066" t="s">
        <v>34</v>
      </c>
      <c r="K1066">
        <v>7</v>
      </c>
      <c r="L1066" s="4">
        <v>49600</v>
      </c>
      <c r="M1066">
        <v>20</v>
      </c>
      <c r="N1066" s="4">
        <v>277760</v>
      </c>
      <c r="O1066" t="s">
        <v>85</v>
      </c>
      <c r="Q1066" t="s">
        <v>41</v>
      </c>
      <c r="R1066">
        <v>1</v>
      </c>
    </row>
    <row r="1067" spans="1:18" x14ac:dyDescent="0.3">
      <c r="A1067" t="s">
        <v>2454</v>
      </c>
      <c r="B1067" s="1">
        <v>45836</v>
      </c>
      <c r="C1067" t="s">
        <v>113</v>
      </c>
      <c r="D1067" t="s">
        <v>3292</v>
      </c>
      <c r="E1067">
        <v>39</v>
      </c>
      <c r="F1067" t="s">
        <v>77</v>
      </c>
      <c r="G1067" t="s">
        <v>78</v>
      </c>
      <c r="H1067" t="s">
        <v>62</v>
      </c>
      <c r="I1067" t="s">
        <v>140</v>
      </c>
      <c r="J1067" t="s">
        <v>89</v>
      </c>
      <c r="K1067">
        <v>10</v>
      </c>
      <c r="L1067" s="4">
        <v>9000</v>
      </c>
      <c r="M1067">
        <v>5</v>
      </c>
      <c r="N1067" s="4">
        <v>85500</v>
      </c>
      <c r="O1067" t="s">
        <v>85</v>
      </c>
      <c r="P1067">
        <v>5</v>
      </c>
      <c r="Q1067" t="s">
        <v>65</v>
      </c>
      <c r="R1067">
        <v>0</v>
      </c>
    </row>
    <row r="1068" spans="1:18" x14ac:dyDescent="0.3">
      <c r="A1068" t="s">
        <v>2456</v>
      </c>
      <c r="B1068" s="1">
        <v>45818</v>
      </c>
      <c r="C1068" t="s">
        <v>29</v>
      </c>
      <c r="D1068" t="s">
        <v>20</v>
      </c>
      <c r="E1068">
        <v>53</v>
      </c>
      <c r="F1068" t="s">
        <v>61</v>
      </c>
      <c r="G1068" t="s">
        <v>61</v>
      </c>
      <c r="H1068" t="s">
        <v>32</v>
      </c>
      <c r="I1068" t="s">
        <v>53</v>
      </c>
      <c r="J1068" t="s">
        <v>64</v>
      </c>
      <c r="K1068">
        <v>1</v>
      </c>
      <c r="L1068" s="4">
        <v>42500</v>
      </c>
      <c r="M1068">
        <v>20</v>
      </c>
      <c r="N1068" s="4">
        <v>34000</v>
      </c>
      <c r="O1068" t="s">
        <v>73</v>
      </c>
      <c r="P1068">
        <v>3</v>
      </c>
      <c r="Q1068" t="s">
        <v>41</v>
      </c>
      <c r="R1068">
        <v>1</v>
      </c>
    </row>
    <row r="1069" spans="1:18" x14ac:dyDescent="0.3">
      <c r="A1069" t="s">
        <v>2457</v>
      </c>
      <c r="B1069" s="1">
        <v>45916</v>
      </c>
      <c r="C1069" t="s">
        <v>113</v>
      </c>
      <c r="D1069" t="s">
        <v>3292</v>
      </c>
      <c r="E1069">
        <v>31</v>
      </c>
      <c r="F1069" t="s">
        <v>51</v>
      </c>
      <c r="G1069" t="s">
        <v>104</v>
      </c>
      <c r="H1069" t="s">
        <v>46</v>
      </c>
      <c r="I1069" t="s">
        <v>47</v>
      </c>
      <c r="J1069" t="s">
        <v>80</v>
      </c>
      <c r="K1069">
        <v>5</v>
      </c>
      <c r="L1069" s="4">
        <v>22800</v>
      </c>
      <c r="M1069">
        <v>15</v>
      </c>
      <c r="N1069" s="4">
        <v>96900</v>
      </c>
      <c r="O1069" t="s">
        <v>73</v>
      </c>
      <c r="P1069">
        <v>1</v>
      </c>
      <c r="Q1069" t="s">
        <v>65</v>
      </c>
      <c r="R1069">
        <v>0</v>
      </c>
    </row>
    <row r="1070" spans="1:18" x14ac:dyDescent="0.3">
      <c r="A1070" t="s">
        <v>2458</v>
      </c>
      <c r="B1070" s="1">
        <v>45820</v>
      </c>
      <c r="C1070" t="s">
        <v>121</v>
      </c>
      <c r="D1070" t="s">
        <v>39</v>
      </c>
      <c r="E1070">
        <v>63</v>
      </c>
      <c r="F1070" t="s">
        <v>44</v>
      </c>
      <c r="G1070" t="s">
        <v>100</v>
      </c>
      <c r="H1070" t="s">
        <v>32</v>
      </c>
      <c r="I1070" t="s">
        <v>53</v>
      </c>
      <c r="J1070" t="s">
        <v>80</v>
      </c>
      <c r="K1070">
        <v>5</v>
      </c>
      <c r="L1070" s="4">
        <v>37200</v>
      </c>
      <c r="M1070">
        <v>10</v>
      </c>
      <c r="N1070" s="4">
        <v>167400</v>
      </c>
      <c r="O1070" t="s">
        <v>85</v>
      </c>
      <c r="Q1070" t="s">
        <v>65</v>
      </c>
      <c r="R1070">
        <v>0</v>
      </c>
    </row>
    <row r="1071" spans="1:18" x14ac:dyDescent="0.3">
      <c r="A1071" t="s">
        <v>2459</v>
      </c>
      <c r="B1071" s="1">
        <v>45994</v>
      </c>
      <c r="C1071" t="s">
        <v>121</v>
      </c>
      <c r="D1071" t="s">
        <v>39</v>
      </c>
      <c r="E1071">
        <v>61</v>
      </c>
      <c r="F1071" t="s">
        <v>21</v>
      </c>
      <c r="G1071" t="s">
        <v>21</v>
      </c>
      <c r="H1071" t="s">
        <v>46</v>
      </c>
      <c r="I1071" t="s">
        <v>79</v>
      </c>
      <c r="J1071" t="s">
        <v>80</v>
      </c>
      <c r="K1071">
        <v>3</v>
      </c>
      <c r="L1071" s="4">
        <v>21700</v>
      </c>
      <c r="M1071">
        <v>10</v>
      </c>
      <c r="N1071" s="4">
        <v>58590</v>
      </c>
      <c r="O1071" t="s">
        <v>73</v>
      </c>
      <c r="Q1071" t="s">
        <v>26</v>
      </c>
      <c r="R1071">
        <v>0</v>
      </c>
    </row>
    <row r="1072" spans="1:18" x14ac:dyDescent="0.3">
      <c r="A1072" t="s">
        <v>2460</v>
      </c>
      <c r="B1072" s="1">
        <v>46066</v>
      </c>
      <c r="C1072" t="s">
        <v>94</v>
      </c>
      <c r="D1072" t="s">
        <v>20</v>
      </c>
      <c r="E1072">
        <v>33</v>
      </c>
      <c r="F1072" t="s">
        <v>30</v>
      </c>
      <c r="G1072" t="s">
        <v>31</v>
      </c>
      <c r="H1072" t="s">
        <v>62</v>
      </c>
      <c r="I1072" t="s">
        <v>63</v>
      </c>
      <c r="J1072" t="s">
        <v>64</v>
      </c>
      <c r="K1072">
        <v>9</v>
      </c>
      <c r="L1072" s="4">
        <v>45500</v>
      </c>
      <c r="M1072">
        <v>10</v>
      </c>
      <c r="N1072" s="4">
        <v>368550</v>
      </c>
      <c r="O1072" t="s">
        <v>25</v>
      </c>
      <c r="P1072">
        <v>1</v>
      </c>
      <c r="Q1072" t="s">
        <v>74</v>
      </c>
      <c r="R1072">
        <v>0</v>
      </c>
    </row>
    <row r="1073" spans="1:18" x14ac:dyDescent="0.3">
      <c r="A1073" t="s">
        <v>2461</v>
      </c>
      <c r="B1073" s="1">
        <v>46195</v>
      </c>
      <c r="C1073" t="s">
        <v>38</v>
      </c>
      <c r="D1073" t="s">
        <v>39</v>
      </c>
      <c r="E1073">
        <v>48</v>
      </c>
      <c r="F1073" t="s">
        <v>30</v>
      </c>
      <c r="G1073" t="s">
        <v>57</v>
      </c>
      <c r="H1073" t="s">
        <v>46</v>
      </c>
      <c r="I1073" t="s">
        <v>79</v>
      </c>
      <c r="J1073" t="s">
        <v>89</v>
      </c>
      <c r="K1073">
        <v>5</v>
      </c>
      <c r="L1073" s="4">
        <v>9400</v>
      </c>
      <c r="M1073">
        <v>5</v>
      </c>
      <c r="N1073" s="4">
        <v>44650</v>
      </c>
      <c r="O1073" t="s">
        <v>73</v>
      </c>
      <c r="Q1073" t="s">
        <v>41</v>
      </c>
      <c r="R1073">
        <v>1</v>
      </c>
    </row>
    <row r="1074" spans="1:18" x14ac:dyDescent="0.3">
      <c r="A1074" t="s">
        <v>2462</v>
      </c>
      <c r="B1074" s="1">
        <v>45964</v>
      </c>
      <c r="C1074" t="s">
        <v>38</v>
      </c>
      <c r="D1074" t="s">
        <v>20</v>
      </c>
      <c r="E1074">
        <v>51</v>
      </c>
      <c r="F1074" t="s">
        <v>21</v>
      </c>
      <c r="G1074" t="s">
        <v>21</v>
      </c>
      <c r="H1074" t="s">
        <v>32</v>
      </c>
      <c r="I1074" t="s">
        <v>53</v>
      </c>
      <c r="J1074" t="s">
        <v>72</v>
      </c>
      <c r="K1074">
        <v>8</v>
      </c>
      <c r="L1074" s="4">
        <v>16000</v>
      </c>
      <c r="M1074">
        <v>20</v>
      </c>
      <c r="N1074" s="4">
        <v>102400</v>
      </c>
      <c r="O1074" t="s">
        <v>25</v>
      </c>
      <c r="P1074">
        <v>1</v>
      </c>
      <c r="Q1074" t="s">
        <v>41</v>
      </c>
      <c r="R1074">
        <v>1</v>
      </c>
    </row>
    <row r="1075" spans="1:18" x14ac:dyDescent="0.3">
      <c r="A1075" t="s">
        <v>2464</v>
      </c>
      <c r="B1075" s="1">
        <v>46000</v>
      </c>
      <c r="C1075" t="s">
        <v>68</v>
      </c>
      <c r="D1075" t="s">
        <v>39</v>
      </c>
      <c r="E1075">
        <v>30</v>
      </c>
      <c r="F1075" t="s">
        <v>51</v>
      </c>
      <c r="G1075" t="s">
        <v>52</v>
      </c>
      <c r="H1075" t="s">
        <v>32</v>
      </c>
      <c r="I1075" t="s">
        <v>33</v>
      </c>
      <c r="J1075" t="s">
        <v>72</v>
      </c>
      <c r="K1075">
        <v>9</v>
      </c>
      <c r="L1075" s="4">
        <v>47700</v>
      </c>
      <c r="M1075">
        <v>25</v>
      </c>
      <c r="N1075" s="4">
        <v>321975</v>
      </c>
      <c r="O1075" t="s">
        <v>73</v>
      </c>
      <c r="P1075">
        <v>2</v>
      </c>
      <c r="Q1075" t="s">
        <v>26</v>
      </c>
      <c r="R1075">
        <v>0</v>
      </c>
    </row>
    <row r="1076" spans="1:18" x14ac:dyDescent="0.3">
      <c r="A1076" t="s">
        <v>2465</v>
      </c>
      <c r="B1076" s="1">
        <v>45823</v>
      </c>
      <c r="C1076" t="s">
        <v>113</v>
      </c>
      <c r="D1076" t="s">
        <v>3292</v>
      </c>
      <c r="E1076">
        <v>21</v>
      </c>
      <c r="F1076" t="s">
        <v>30</v>
      </c>
      <c r="G1076" t="s">
        <v>57</v>
      </c>
      <c r="H1076" t="s">
        <v>62</v>
      </c>
      <c r="I1076" t="s">
        <v>63</v>
      </c>
      <c r="J1076" t="s">
        <v>89</v>
      </c>
      <c r="K1076">
        <v>7</v>
      </c>
      <c r="L1076" s="4">
        <v>36900</v>
      </c>
      <c r="M1076">
        <v>5</v>
      </c>
      <c r="N1076" s="4">
        <v>245385</v>
      </c>
      <c r="O1076" t="s">
        <v>73</v>
      </c>
      <c r="P1076">
        <v>1</v>
      </c>
      <c r="Q1076" t="s">
        <v>41</v>
      </c>
      <c r="R1076">
        <v>1</v>
      </c>
    </row>
    <row r="1077" spans="1:18" x14ac:dyDescent="0.3">
      <c r="A1077" t="s">
        <v>2466</v>
      </c>
      <c r="B1077" s="1">
        <v>46091</v>
      </c>
      <c r="C1077" t="s">
        <v>19</v>
      </c>
      <c r="D1077" t="s">
        <v>3292</v>
      </c>
      <c r="E1077">
        <v>29</v>
      </c>
      <c r="F1077" t="s">
        <v>77</v>
      </c>
      <c r="G1077" t="s">
        <v>78</v>
      </c>
      <c r="H1077" t="s">
        <v>46</v>
      </c>
      <c r="I1077" t="s">
        <v>79</v>
      </c>
      <c r="J1077" t="s">
        <v>80</v>
      </c>
      <c r="K1077">
        <v>2</v>
      </c>
      <c r="L1077" s="4">
        <v>7900</v>
      </c>
      <c r="M1077">
        <v>25</v>
      </c>
      <c r="N1077" s="4">
        <v>11850</v>
      </c>
      <c r="O1077" t="s">
        <v>85</v>
      </c>
      <c r="P1077">
        <v>3</v>
      </c>
      <c r="Q1077" t="s">
        <v>65</v>
      </c>
      <c r="R1077">
        <v>0</v>
      </c>
    </row>
    <row r="1078" spans="1:18" x14ac:dyDescent="0.3">
      <c r="A1078" t="s">
        <v>2468</v>
      </c>
      <c r="B1078" s="1">
        <v>45660</v>
      </c>
      <c r="C1078" t="s">
        <v>94</v>
      </c>
      <c r="D1078" t="s">
        <v>20</v>
      </c>
      <c r="E1078">
        <v>61</v>
      </c>
      <c r="F1078" t="s">
        <v>51</v>
      </c>
      <c r="G1078" t="s">
        <v>52</v>
      </c>
      <c r="H1078" t="s">
        <v>32</v>
      </c>
      <c r="I1078" t="s">
        <v>53</v>
      </c>
      <c r="J1078" t="s">
        <v>24</v>
      </c>
      <c r="K1078">
        <v>7</v>
      </c>
      <c r="L1078" s="4">
        <v>49300</v>
      </c>
      <c r="M1078">
        <v>25</v>
      </c>
      <c r="N1078" s="4">
        <v>258825</v>
      </c>
      <c r="O1078" t="s">
        <v>73</v>
      </c>
      <c r="Q1078" t="s">
        <v>41</v>
      </c>
      <c r="R1078">
        <v>1</v>
      </c>
    </row>
    <row r="1079" spans="1:18" x14ac:dyDescent="0.3">
      <c r="A1079" t="s">
        <v>2469</v>
      </c>
      <c r="B1079" s="1">
        <v>45863</v>
      </c>
      <c r="C1079" t="s">
        <v>94</v>
      </c>
      <c r="D1079" t="s">
        <v>3292</v>
      </c>
      <c r="E1079">
        <v>52</v>
      </c>
      <c r="F1079" t="s">
        <v>21</v>
      </c>
      <c r="G1079" t="s">
        <v>21</v>
      </c>
      <c r="H1079" t="s">
        <v>22</v>
      </c>
      <c r="I1079" t="s">
        <v>84</v>
      </c>
      <c r="J1079" t="s">
        <v>34</v>
      </c>
      <c r="K1079">
        <v>6</v>
      </c>
      <c r="L1079" s="4">
        <v>6500</v>
      </c>
      <c r="M1079">
        <v>5</v>
      </c>
      <c r="N1079" s="4">
        <v>37050</v>
      </c>
      <c r="O1079" t="s">
        <v>25</v>
      </c>
      <c r="P1079">
        <v>4</v>
      </c>
      <c r="Q1079" t="s">
        <v>26</v>
      </c>
      <c r="R1079">
        <v>0</v>
      </c>
    </row>
    <row r="1080" spans="1:18" x14ac:dyDescent="0.3">
      <c r="A1080" t="s">
        <v>2470</v>
      </c>
      <c r="B1080" s="1">
        <v>45833</v>
      </c>
      <c r="C1080" t="s">
        <v>94</v>
      </c>
      <c r="D1080" t="s">
        <v>20</v>
      </c>
      <c r="E1080">
        <v>48</v>
      </c>
      <c r="F1080" t="s">
        <v>61</v>
      </c>
      <c r="G1080" t="s">
        <v>61</v>
      </c>
      <c r="H1080" t="s">
        <v>32</v>
      </c>
      <c r="I1080" t="s">
        <v>33</v>
      </c>
      <c r="J1080" t="s">
        <v>72</v>
      </c>
      <c r="K1080">
        <v>8</v>
      </c>
      <c r="L1080" s="4">
        <v>36200</v>
      </c>
      <c r="M1080">
        <v>15</v>
      </c>
      <c r="N1080" s="4">
        <v>246160</v>
      </c>
      <c r="O1080" t="s">
        <v>85</v>
      </c>
      <c r="P1080">
        <v>2</v>
      </c>
      <c r="Q1080" t="s">
        <v>65</v>
      </c>
      <c r="R1080">
        <v>0</v>
      </c>
    </row>
    <row r="1081" spans="1:18" x14ac:dyDescent="0.3">
      <c r="A1081" t="s">
        <v>2472</v>
      </c>
      <c r="B1081" s="1">
        <v>46157</v>
      </c>
      <c r="C1081" t="s">
        <v>38</v>
      </c>
      <c r="D1081" t="s">
        <v>20</v>
      </c>
      <c r="E1081">
        <v>44</v>
      </c>
      <c r="F1081" t="s">
        <v>51</v>
      </c>
      <c r="G1081" t="s">
        <v>104</v>
      </c>
      <c r="H1081" t="s">
        <v>62</v>
      </c>
      <c r="I1081" t="s">
        <v>63</v>
      </c>
      <c r="J1081" t="s">
        <v>72</v>
      </c>
      <c r="K1081">
        <v>5</v>
      </c>
      <c r="L1081" s="4">
        <v>2900</v>
      </c>
      <c r="M1081">
        <v>5</v>
      </c>
      <c r="N1081" s="4">
        <v>13775</v>
      </c>
      <c r="O1081" t="s">
        <v>85</v>
      </c>
      <c r="P1081">
        <v>1</v>
      </c>
      <c r="Q1081" t="s">
        <v>65</v>
      </c>
      <c r="R1081">
        <v>0</v>
      </c>
    </row>
    <row r="1082" spans="1:18" x14ac:dyDescent="0.3">
      <c r="A1082" t="s">
        <v>2473</v>
      </c>
      <c r="B1082" s="1">
        <v>45690</v>
      </c>
      <c r="C1082" t="s">
        <v>38</v>
      </c>
      <c r="D1082" t="s">
        <v>3292</v>
      </c>
      <c r="E1082">
        <v>23</v>
      </c>
      <c r="F1082" t="s">
        <v>30</v>
      </c>
      <c r="G1082" t="s">
        <v>31</v>
      </c>
      <c r="H1082" t="s">
        <v>62</v>
      </c>
      <c r="I1082" t="s">
        <v>140</v>
      </c>
      <c r="J1082" t="s">
        <v>72</v>
      </c>
      <c r="K1082">
        <v>6</v>
      </c>
      <c r="L1082" s="4">
        <v>11600</v>
      </c>
      <c r="M1082">
        <v>20</v>
      </c>
      <c r="N1082" s="4">
        <v>55680</v>
      </c>
      <c r="O1082" t="s">
        <v>85</v>
      </c>
      <c r="Q1082" t="s">
        <v>65</v>
      </c>
      <c r="R1082">
        <v>0</v>
      </c>
    </row>
    <row r="1083" spans="1:18" x14ac:dyDescent="0.3">
      <c r="A1083" t="s">
        <v>2477</v>
      </c>
      <c r="B1083" s="1">
        <v>45697</v>
      </c>
      <c r="C1083" t="s">
        <v>113</v>
      </c>
      <c r="D1083" t="s">
        <v>39</v>
      </c>
      <c r="E1083">
        <v>48</v>
      </c>
      <c r="F1083" t="s">
        <v>61</v>
      </c>
      <c r="G1083" t="s">
        <v>61</v>
      </c>
      <c r="H1083" t="s">
        <v>22</v>
      </c>
      <c r="I1083" t="s">
        <v>23</v>
      </c>
      <c r="J1083" t="s">
        <v>80</v>
      </c>
      <c r="K1083">
        <v>9</v>
      </c>
      <c r="L1083" s="4">
        <v>34600</v>
      </c>
      <c r="M1083">
        <v>10</v>
      </c>
      <c r="N1083" s="4">
        <v>280260</v>
      </c>
      <c r="O1083" t="s">
        <v>25</v>
      </c>
      <c r="P1083">
        <v>4</v>
      </c>
      <c r="Q1083" t="s">
        <v>26</v>
      </c>
      <c r="R1083">
        <v>0</v>
      </c>
    </row>
    <row r="1084" spans="1:18" x14ac:dyDescent="0.3">
      <c r="A1084" t="s">
        <v>2480</v>
      </c>
      <c r="B1084" s="1">
        <v>45748</v>
      </c>
      <c r="C1084" t="s">
        <v>71</v>
      </c>
      <c r="D1084" t="s">
        <v>20</v>
      </c>
      <c r="E1084">
        <v>24</v>
      </c>
      <c r="F1084" t="s">
        <v>30</v>
      </c>
      <c r="G1084" t="s">
        <v>31</v>
      </c>
      <c r="H1084" t="s">
        <v>32</v>
      </c>
      <c r="I1084" t="s">
        <v>53</v>
      </c>
      <c r="J1084" t="s">
        <v>24</v>
      </c>
      <c r="K1084">
        <v>9</v>
      </c>
      <c r="L1084" s="4">
        <v>27100</v>
      </c>
      <c r="M1084">
        <v>10</v>
      </c>
      <c r="N1084" s="4">
        <v>219510</v>
      </c>
      <c r="O1084" t="s">
        <v>85</v>
      </c>
      <c r="Q1084" t="s">
        <v>65</v>
      </c>
      <c r="R1084">
        <v>0</v>
      </c>
    </row>
    <row r="1085" spans="1:18" x14ac:dyDescent="0.3">
      <c r="A1085" t="s">
        <v>2485</v>
      </c>
      <c r="B1085" s="1">
        <v>46034</v>
      </c>
      <c r="C1085" t="s">
        <v>68</v>
      </c>
      <c r="D1085" t="s">
        <v>20</v>
      </c>
      <c r="E1085">
        <v>22</v>
      </c>
      <c r="F1085" t="s">
        <v>21</v>
      </c>
      <c r="G1085" t="s">
        <v>21</v>
      </c>
      <c r="H1085" t="s">
        <v>32</v>
      </c>
      <c r="I1085" t="s">
        <v>53</v>
      </c>
      <c r="J1085" t="s">
        <v>34</v>
      </c>
      <c r="K1085">
        <v>2</v>
      </c>
      <c r="L1085" s="4">
        <v>2400</v>
      </c>
      <c r="M1085">
        <v>20</v>
      </c>
      <c r="N1085" s="4">
        <v>3840</v>
      </c>
      <c r="O1085" t="s">
        <v>85</v>
      </c>
      <c r="Q1085" t="s">
        <v>65</v>
      </c>
      <c r="R1085">
        <v>0</v>
      </c>
    </row>
    <row r="1086" spans="1:18" x14ac:dyDescent="0.3">
      <c r="A1086" t="s">
        <v>2489</v>
      </c>
      <c r="B1086" s="1">
        <v>45813</v>
      </c>
      <c r="C1086" t="s">
        <v>38</v>
      </c>
      <c r="D1086" t="s">
        <v>20</v>
      </c>
      <c r="E1086">
        <v>52</v>
      </c>
      <c r="F1086" t="s">
        <v>51</v>
      </c>
      <c r="G1086" t="s">
        <v>52</v>
      </c>
      <c r="H1086" t="s">
        <v>32</v>
      </c>
      <c r="I1086" t="s">
        <v>53</v>
      </c>
      <c r="J1086" t="s">
        <v>24</v>
      </c>
      <c r="K1086">
        <v>2</v>
      </c>
      <c r="L1086" s="4">
        <v>30000</v>
      </c>
      <c r="M1086">
        <v>20</v>
      </c>
      <c r="N1086" s="4">
        <v>48000</v>
      </c>
      <c r="O1086" t="s">
        <v>85</v>
      </c>
      <c r="P1086">
        <v>5</v>
      </c>
      <c r="Q1086" t="s">
        <v>74</v>
      </c>
      <c r="R1086">
        <v>0</v>
      </c>
    </row>
    <row r="1087" spans="1:18" x14ac:dyDescent="0.3">
      <c r="A1087" t="s">
        <v>2490</v>
      </c>
      <c r="B1087" s="1">
        <v>46123</v>
      </c>
      <c r="C1087" t="s">
        <v>113</v>
      </c>
      <c r="D1087" t="s">
        <v>39</v>
      </c>
      <c r="E1087">
        <v>57</v>
      </c>
      <c r="F1087" t="s">
        <v>61</v>
      </c>
      <c r="G1087" t="s">
        <v>61</v>
      </c>
      <c r="H1087" t="s">
        <v>22</v>
      </c>
      <c r="I1087" t="s">
        <v>23</v>
      </c>
      <c r="J1087" t="s">
        <v>34</v>
      </c>
      <c r="K1087">
        <v>7</v>
      </c>
      <c r="L1087" s="4">
        <v>28900</v>
      </c>
      <c r="M1087">
        <v>15</v>
      </c>
      <c r="N1087" s="4">
        <v>171955</v>
      </c>
      <c r="O1087" t="s">
        <v>73</v>
      </c>
      <c r="P1087">
        <v>1</v>
      </c>
      <c r="Q1087" t="s">
        <v>74</v>
      </c>
      <c r="R1087">
        <v>0</v>
      </c>
    </row>
    <row r="1088" spans="1:18" x14ac:dyDescent="0.3">
      <c r="A1088" t="s">
        <v>2491</v>
      </c>
      <c r="B1088" s="1">
        <v>45779</v>
      </c>
      <c r="C1088" t="s">
        <v>94</v>
      </c>
      <c r="D1088" t="s">
        <v>20</v>
      </c>
      <c r="E1088">
        <v>31</v>
      </c>
      <c r="F1088" t="s">
        <v>44</v>
      </c>
      <c r="G1088" t="s">
        <v>45</v>
      </c>
      <c r="H1088" t="s">
        <v>62</v>
      </c>
      <c r="I1088" t="s">
        <v>63</v>
      </c>
      <c r="J1088" t="s">
        <v>72</v>
      </c>
      <c r="K1088">
        <v>9</v>
      </c>
      <c r="L1088" s="4">
        <v>21200</v>
      </c>
      <c r="M1088">
        <v>25</v>
      </c>
      <c r="N1088" s="4">
        <v>143100</v>
      </c>
      <c r="O1088" t="s">
        <v>85</v>
      </c>
      <c r="Q1088" t="s">
        <v>74</v>
      </c>
      <c r="R1088">
        <v>0</v>
      </c>
    </row>
    <row r="1089" spans="1:18" x14ac:dyDescent="0.3">
      <c r="A1089" t="s">
        <v>2492</v>
      </c>
      <c r="B1089" s="1">
        <v>46044</v>
      </c>
      <c r="C1089" t="s">
        <v>71</v>
      </c>
      <c r="D1089" t="s">
        <v>39</v>
      </c>
      <c r="E1089">
        <v>28</v>
      </c>
      <c r="F1089" t="s">
        <v>51</v>
      </c>
      <c r="G1089" t="s">
        <v>104</v>
      </c>
      <c r="H1089" t="s">
        <v>22</v>
      </c>
      <c r="I1089" t="s">
        <v>23</v>
      </c>
      <c r="J1089" t="s">
        <v>72</v>
      </c>
      <c r="K1089">
        <v>4</v>
      </c>
      <c r="L1089" s="4">
        <v>36100</v>
      </c>
      <c r="M1089">
        <v>5</v>
      </c>
      <c r="N1089" s="4">
        <v>137180</v>
      </c>
      <c r="O1089" t="s">
        <v>85</v>
      </c>
      <c r="P1089">
        <v>4</v>
      </c>
      <c r="Q1089" t="s">
        <v>41</v>
      </c>
      <c r="R1089">
        <v>1</v>
      </c>
    </row>
    <row r="1090" spans="1:18" x14ac:dyDescent="0.3">
      <c r="A1090" t="s">
        <v>2493</v>
      </c>
      <c r="B1090" s="1">
        <v>45895</v>
      </c>
      <c r="C1090" t="s">
        <v>88</v>
      </c>
      <c r="D1090" t="s">
        <v>3292</v>
      </c>
      <c r="E1090">
        <v>64</v>
      </c>
      <c r="F1090" t="s">
        <v>21</v>
      </c>
      <c r="G1090" t="s">
        <v>21</v>
      </c>
      <c r="H1090" t="s">
        <v>62</v>
      </c>
      <c r="I1090" t="s">
        <v>63</v>
      </c>
      <c r="J1090" t="s">
        <v>34</v>
      </c>
      <c r="K1090">
        <v>1</v>
      </c>
      <c r="L1090" s="4">
        <v>7000</v>
      </c>
      <c r="M1090">
        <v>10</v>
      </c>
      <c r="N1090" s="4">
        <v>6300</v>
      </c>
      <c r="O1090" t="s">
        <v>73</v>
      </c>
      <c r="P1090">
        <v>1</v>
      </c>
      <c r="Q1090" t="s">
        <v>65</v>
      </c>
      <c r="R1090">
        <v>0</v>
      </c>
    </row>
    <row r="1091" spans="1:18" x14ac:dyDescent="0.3">
      <c r="A1091" t="s">
        <v>2494</v>
      </c>
      <c r="B1091" s="1">
        <v>45831</v>
      </c>
      <c r="C1091" t="s">
        <v>113</v>
      </c>
      <c r="D1091" t="s">
        <v>20</v>
      </c>
      <c r="E1091">
        <v>29</v>
      </c>
      <c r="F1091" t="s">
        <v>44</v>
      </c>
      <c r="G1091" t="s">
        <v>100</v>
      </c>
      <c r="H1091" t="s">
        <v>62</v>
      </c>
      <c r="I1091" t="s">
        <v>63</v>
      </c>
      <c r="J1091" t="s">
        <v>24</v>
      </c>
      <c r="K1091">
        <v>10</v>
      </c>
      <c r="L1091" s="4">
        <v>48100</v>
      </c>
      <c r="M1091">
        <v>0</v>
      </c>
      <c r="N1091" s="4">
        <v>481000</v>
      </c>
      <c r="O1091" t="s">
        <v>73</v>
      </c>
      <c r="P1091">
        <v>1</v>
      </c>
      <c r="Q1091" t="s">
        <v>26</v>
      </c>
      <c r="R1091">
        <v>0</v>
      </c>
    </row>
    <row r="1092" spans="1:18" x14ac:dyDescent="0.3">
      <c r="A1092" t="s">
        <v>2496</v>
      </c>
      <c r="B1092" s="1">
        <v>45885</v>
      </c>
      <c r="C1092" t="s">
        <v>29</v>
      </c>
      <c r="D1092" t="s">
        <v>39</v>
      </c>
      <c r="E1092">
        <v>37</v>
      </c>
      <c r="F1092" t="s">
        <v>77</v>
      </c>
      <c r="G1092" t="s">
        <v>95</v>
      </c>
      <c r="H1092" t="s">
        <v>32</v>
      </c>
      <c r="I1092" t="s">
        <v>53</v>
      </c>
      <c r="J1092" t="s">
        <v>24</v>
      </c>
      <c r="K1092">
        <v>2</v>
      </c>
      <c r="L1092" s="4">
        <v>25700</v>
      </c>
      <c r="M1092">
        <v>0</v>
      </c>
      <c r="N1092" s="4">
        <v>51400</v>
      </c>
      <c r="O1092" t="s">
        <v>85</v>
      </c>
      <c r="P1092">
        <v>5</v>
      </c>
      <c r="Q1092" t="s">
        <v>74</v>
      </c>
      <c r="R1092">
        <v>0</v>
      </c>
    </row>
    <row r="1093" spans="1:18" x14ac:dyDescent="0.3">
      <c r="A1093" t="s">
        <v>2499</v>
      </c>
      <c r="B1093" s="1">
        <v>46192</v>
      </c>
      <c r="C1093" t="s">
        <v>71</v>
      </c>
      <c r="D1093" t="s">
        <v>3292</v>
      </c>
      <c r="E1093">
        <v>18</v>
      </c>
      <c r="F1093" t="s">
        <v>44</v>
      </c>
      <c r="G1093" t="s">
        <v>100</v>
      </c>
      <c r="H1093" t="s">
        <v>62</v>
      </c>
      <c r="I1093" t="s">
        <v>63</v>
      </c>
      <c r="J1093" t="s">
        <v>64</v>
      </c>
      <c r="K1093">
        <v>7</v>
      </c>
      <c r="L1093" s="4">
        <v>26600</v>
      </c>
      <c r="M1093">
        <v>15</v>
      </c>
      <c r="N1093" s="4">
        <v>158270</v>
      </c>
      <c r="O1093" t="s">
        <v>73</v>
      </c>
      <c r="P1093">
        <v>3</v>
      </c>
      <c r="Q1093" t="s">
        <v>65</v>
      </c>
      <c r="R1093">
        <v>0</v>
      </c>
    </row>
    <row r="1094" spans="1:18" x14ac:dyDescent="0.3">
      <c r="A1094" t="s">
        <v>2500</v>
      </c>
      <c r="B1094" s="1">
        <v>46139</v>
      </c>
      <c r="C1094" t="s">
        <v>38</v>
      </c>
      <c r="D1094" t="s">
        <v>39</v>
      </c>
      <c r="E1094">
        <v>55</v>
      </c>
      <c r="F1094" t="s">
        <v>30</v>
      </c>
      <c r="G1094" t="s">
        <v>31</v>
      </c>
      <c r="H1094" t="s">
        <v>62</v>
      </c>
      <c r="I1094" t="s">
        <v>140</v>
      </c>
      <c r="J1094" t="s">
        <v>72</v>
      </c>
      <c r="K1094">
        <v>1</v>
      </c>
      <c r="L1094" s="4">
        <v>28800</v>
      </c>
      <c r="M1094">
        <v>10</v>
      </c>
      <c r="N1094" s="4">
        <v>25920</v>
      </c>
      <c r="O1094" t="s">
        <v>3293</v>
      </c>
      <c r="P1094">
        <v>4</v>
      </c>
      <c r="Q1094" t="s">
        <v>26</v>
      </c>
      <c r="R1094">
        <v>0</v>
      </c>
    </row>
    <row r="1095" spans="1:18" x14ac:dyDescent="0.3">
      <c r="A1095" t="s">
        <v>2502</v>
      </c>
      <c r="B1095" s="1">
        <v>45871</v>
      </c>
      <c r="C1095" t="s">
        <v>88</v>
      </c>
      <c r="D1095" t="s">
        <v>20</v>
      </c>
      <c r="E1095">
        <v>35</v>
      </c>
      <c r="F1095" t="s">
        <v>21</v>
      </c>
      <c r="G1095" t="s">
        <v>21</v>
      </c>
      <c r="H1095" t="s">
        <v>32</v>
      </c>
      <c r="I1095" t="s">
        <v>33</v>
      </c>
      <c r="J1095" t="s">
        <v>89</v>
      </c>
      <c r="K1095">
        <v>9</v>
      </c>
      <c r="L1095" s="4">
        <v>47600</v>
      </c>
      <c r="M1095">
        <v>25</v>
      </c>
      <c r="N1095" s="4">
        <v>321300</v>
      </c>
      <c r="O1095" t="s">
        <v>25</v>
      </c>
      <c r="P1095">
        <v>4</v>
      </c>
      <c r="Q1095" t="s">
        <v>26</v>
      </c>
      <c r="R1095">
        <v>0</v>
      </c>
    </row>
    <row r="1096" spans="1:18" x14ac:dyDescent="0.3">
      <c r="A1096" t="s">
        <v>2506</v>
      </c>
      <c r="B1096" s="1">
        <v>45881</v>
      </c>
      <c r="C1096" t="s">
        <v>113</v>
      </c>
      <c r="D1096" t="s">
        <v>39</v>
      </c>
      <c r="E1096">
        <v>38</v>
      </c>
      <c r="F1096" t="s">
        <v>77</v>
      </c>
      <c r="G1096" t="s">
        <v>78</v>
      </c>
      <c r="H1096" t="s">
        <v>22</v>
      </c>
      <c r="I1096" t="s">
        <v>23</v>
      </c>
      <c r="J1096" t="s">
        <v>72</v>
      </c>
      <c r="K1096">
        <v>5</v>
      </c>
      <c r="L1096" s="4">
        <v>24400</v>
      </c>
      <c r="M1096">
        <v>20</v>
      </c>
      <c r="N1096" s="4">
        <v>97600</v>
      </c>
      <c r="O1096" t="s">
        <v>25</v>
      </c>
      <c r="P1096">
        <v>2</v>
      </c>
      <c r="Q1096" t="s">
        <v>74</v>
      </c>
      <c r="R1096">
        <v>0</v>
      </c>
    </row>
    <row r="1097" spans="1:18" x14ac:dyDescent="0.3">
      <c r="A1097" t="s">
        <v>2507</v>
      </c>
      <c r="B1097" s="1">
        <v>46094</v>
      </c>
      <c r="C1097" t="s">
        <v>60</v>
      </c>
      <c r="D1097" t="s">
        <v>39</v>
      </c>
      <c r="E1097">
        <v>20</v>
      </c>
      <c r="F1097" t="s">
        <v>44</v>
      </c>
      <c r="G1097" t="s">
        <v>45</v>
      </c>
      <c r="H1097" t="s">
        <v>46</v>
      </c>
      <c r="I1097" t="s">
        <v>47</v>
      </c>
      <c r="J1097" t="s">
        <v>80</v>
      </c>
      <c r="K1097">
        <v>1</v>
      </c>
      <c r="L1097" s="4">
        <v>12300</v>
      </c>
      <c r="M1097">
        <v>15</v>
      </c>
      <c r="N1097" s="4">
        <v>10455</v>
      </c>
      <c r="O1097" t="s">
        <v>85</v>
      </c>
      <c r="P1097">
        <v>4</v>
      </c>
      <c r="Q1097" t="s">
        <v>41</v>
      </c>
      <c r="R1097">
        <v>1</v>
      </c>
    </row>
    <row r="1098" spans="1:18" x14ac:dyDescent="0.3">
      <c r="A1098" t="s">
        <v>2509</v>
      </c>
      <c r="B1098" s="1">
        <v>45715</v>
      </c>
      <c r="C1098" t="s">
        <v>71</v>
      </c>
      <c r="D1098" t="s">
        <v>3292</v>
      </c>
      <c r="E1098">
        <v>35</v>
      </c>
      <c r="F1098" t="s">
        <v>61</v>
      </c>
      <c r="G1098" t="s">
        <v>61</v>
      </c>
      <c r="H1098" t="s">
        <v>22</v>
      </c>
      <c r="I1098" t="s">
        <v>84</v>
      </c>
      <c r="J1098" t="s">
        <v>34</v>
      </c>
      <c r="K1098">
        <v>1</v>
      </c>
      <c r="L1098" s="4">
        <v>49700</v>
      </c>
      <c r="M1098">
        <v>25</v>
      </c>
      <c r="N1098" s="4">
        <v>37275</v>
      </c>
      <c r="O1098" t="s">
        <v>25</v>
      </c>
      <c r="P1098">
        <v>1</v>
      </c>
      <c r="Q1098" t="s">
        <v>41</v>
      </c>
      <c r="R1098">
        <v>1</v>
      </c>
    </row>
    <row r="1099" spans="1:18" x14ac:dyDescent="0.3">
      <c r="A1099" t="s">
        <v>2510</v>
      </c>
      <c r="B1099" s="1">
        <v>46152</v>
      </c>
      <c r="C1099" t="s">
        <v>68</v>
      </c>
      <c r="D1099" t="s">
        <v>3292</v>
      </c>
      <c r="E1099">
        <v>35</v>
      </c>
      <c r="F1099" t="s">
        <v>51</v>
      </c>
      <c r="G1099" t="s">
        <v>104</v>
      </c>
      <c r="H1099" t="s">
        <v>32</v>
      </c>
      <c r="I1099" t="s">
        <v>53</v>
      </c>
      <c r="J1099" t="s">
        <v>80</v>
      </c>
      <c r="K1099">
        <v>5</v>
      </c>
      <c r="L1099" s="4">
        <v>46200</v>
      </c>
      <c r="M1099">
        <v>25</v>
      </c>
      <c r="N1099" s="4">
        <v>173250</v>
      </c>
      <c r="O1099" t="s">
        <v>85</v>
      </c>
      <c r="P1099">
        <v>4</v>
      </c>
      <c r="Q1099" t="s">
        <v>26</v>
      </c>
      <c r="R1099">
        <v>0</v>
      </c>
    </row>
    <row r="1100" spans="1:18" x14ac:dyDescent="0.3">
      <c r="A1100" t="s">
        <v>2512</v>
      </c>
      <c r="B1100" s="1">
        <v>45737</v>
      </c>
      <c r="C1100" t="s">
        <v>113</v>
      </c>
      <c r="D1100" t="s">
        <v>20</v>
      </c>
      <c r="E1100">
        <v>59</v>
      </c>
      <c r="F1100" t="s">
        <v>30</v>
      </c>
      <c r="G1100" t="s">
        <v>57</v>
      </c>
      <c r="H1100" t="s">
        <v>62</v>
      </c>
      <c r="I1100" t="s">
        <v>63</v>
      </c>
      <c r="J1100" t="s">
        <v>80</v>
      </c>
      <c r="K1100">
        <v>5</v>
      </c>
      <c r="L1100" s="4">
        <v>4600</v>
      </c>
      <c r="M1100">
        <v>5</v>
      </c>
      <c r="N1100" s="4">
        <v>21850</v>
      </c>
      <c r="O1100" t="s">
        <v>25</v>
      </c>
      <c r="Q1100" t="s">
        <v>26</v>
      </c>
      <c r="R1100">
        <v>0</v>
      </c>
    </row>
    <row r="1101" spans="1:18" x14ac:dyDescent="0.3">
      <c r="A1101" t="s">
        <v>2514</v>
      </c>
      <c r="B1101" s="1">
        <v>46144</v>
      </c>
      <c r="C1101" t="s">
        <v>94</v>
      </c>
      <c r="D1101" t="s">
        <v>3292</v>
      </c>
      <c r="E1101">
        <v>31</v>
      </c>
      <c r="F1101" t="s">
        <v>21</v>
      </c>
      <c r="G1101" t="s">
        <v>21</v>
      </c>
      <c r="H1101" t="s">
        <v>22</v>
      </c>
      <c r="I1101" t="s">
        <v>84</v>
      </c>
      <c r="J1101" t="s">
        <v>24</v>
      </c>
      <c r="K1101">
        <v>5</v>
      </c>
      <c r="L1101" s="4">
        <v>18700</v>
      </c>
      <c r="M1101">
        <v>25</v>
      </c>
      <c r="N1101" s="4">
        <v>70125</v>
      </c>
      <c r="O1101" t="s">
        <v>25</v>
      </c>
      <c r="P1101">
        <v>1</v>
      </c>
      <c r="Q1101" t="s">
        <v>65</v>
      </c>
      <c r="R1101">
        <v>0</v>
      </c>
    </row>
    <row r="1102" spans="1:18" x14ac:dyDescent="0.3">
      <c r="A1102" t="s">
        <v>2515</v>
      </c>
      <c r="B1102" s="1">
        <v>45732</v>
      </c>
      <c r="C1102" t="s">
        <v>113</v>
      </c>
      <c r="D1102" t="s">
        <v>20</v>
      </c>
      <c r="E1102">
        <v>59</v>
      </c>
      <c r="F1102" t="s">
        <v>30</v>
      </c>
      <c r="G1102" t="s">
        <v>31</v>
      </c>
      <c r="H1102" t="s">
        <v>46</v>
      </c>
      <c r="I1102" t="s">
        <v>47</v>
      </c>
      <c r="J1102" t="s">
        <v>64</v>
      </c>
      <c r="K1102">
        <v>1</v>
      </c>
      <c r="L1102" s="4">
        <v>37400</v>
      </c>
      <c r="M1102">
        <v>0</v>
      </c>
      <c r="N1102" s="4">
        <v>37400</v>
      </c>
      <c r="O1102" t="s">
        <v>73</v>
      </c>
      <c r="Q1102" t="s">
        <v>41</v>
      </c>
      <c r="R1102">
        <v>1</v>
      </c>
    </row>
    <row r="1103" spans="1:18" x14ac:dyDescent="0.3">
      <c r="A1103" t="s">
        <v>2517</v>
      </c>
      <c r="B1103" s="1">
        <v>45822</v>
      </c>
      <c r="C1103" t="s">
        <v>113</v>
      </c>
      <c r="D1103" t="s">
        <v>3292</v>
      </c>
      <c r="E1103">
        <v>52</v>
      </c>
      <c r="F1103" t="s">
        <v>61</v>
      </c>
      <c r="G1103" t="s">
        <v>61</v>
      </c>
      <c r="H1103" t="s">
        <v>32</v>
      </c>
      <c r="I1103" t="s">
        <v>33</v>
      </c>
      <c r="J1103" t="s">
        <v>24</v>
      </c>
      <c r="K1103">
        <v>1</v>
      </c>
      <c r="L1103" s="4">
        <v>5300</v>
      </c>
      <c r="M1103">
        <v>15</v>
      </c>
      <c r="N1103" s="4">
        <v>4505</v>
      </c>
      <c r="O1103" t="s">
        <v>25</v>
      </c>
      <c r="P1103">
        <v>4</v>
      </c>
      <c r="Q1103" t="s">
        <v>74</v>
      </c>
      <c r="R1103">
        <v>0</v>
      </c>
    </row>
    <row r="1104" spans="1:18" x14ac:dyDescent="0.3">
      <c r="A1104" t="s">
        <v>2518</v>
      </c>
      <c r="B1104" s="1">
        <v>45755</v>
      </c>
      <c r="C1104" t="s">
        <v>88</v>
      </c>
      <c r="D1104" t="s">
        <v>39</v>
      </c>
      <c r="E1104">
        <v>65</v>
      </c>
      <c r="F1104" t="s">
        <v>44</v>
      </c>
      <c r="G1104" t="s">
        <v>45</v>
      </c>
      <c r="H1104" t="s">
        <v>32</v>
      </c>
      <c r="I1104" t="s">
        <v>33</v>
      </c>
      <c r="J1104" t="s">
        <v>80</v>
      </c>
      <c r="K1104">
        <v>3</v>
      </c>
      <c r="L1104" s="4">
        <v>24600</v>
      </c>
      <c r="M1104">
        <v>10</v>
      </c>
      <c r="N1104" s="4">
        <v>66420</v>
      </c>
      <c r="O1104" t="s">
        <v>73</v>
      </c>
      <c r="P1104">
        <v>4</v>
      </c>
      <c r="Q1104" t="s">
        <v>65</v>
      </c>
      <c r="R1104">
        <v>0</v>
      </c>
    </row>
    <row r="1105" spans="1:18" x14ac:dyDescent="0.3">
      <c r="A1105" t="s">
        <v>2520</v>
      </c>
      <c r="B1105" s="1">
        <v>45809</v>
      </c>
      <c r="C1105" t="s">
        <v>19</v>
      </c>
      <c r="D1105" t="s">
        <v>39</v>
      </c>
      <c r="E1105">
        <v>43</v>
      </c>
      <c r="F1105" t="s">
        <v>77</v>
      </c>
      <c r="G1105" t="s">
        <v>78</v>
      </c>
      <c r="H1105" t="s">
        <v>32</v>
      </c>
      <c r="I1105" t="s">
        <v>53</v>
      </c>
      <c r="J1105" t="s">
        <v>72</v>
      </c>
      <c r="K1105">
        <v>4</v>
      </c>
      <c r="L1105" s="4">
        <v>2200</v>
      </c>
      <c r="M1105">
        <v>10</v>
      </c>
      <c r="N1105" s="4">
        <v>7920</v>
      </c>
      <c r="O1105" t="s">
        <v>73</v>
      </c>
      <c r="P1105">
        <v>5</v>
      </c>
      <c r="Q1105" t="s">
        <v>41</v>
      </c>
      <c r="R1105">
        <v>1</v>
      </c>
    </row>
    <row r="1106" spans="1:18" x14ac:dyDescent="0.3">
      <c r="A1106" t="s">
        <v>2521</v>
      </c>
      <c r="B1106" s="1">
        <v>45701</v>
      </c>
      <c r="C1106" t="s">
        <v>121</v>
      </c>
      <c r="D1106" t="s">
        <v>20</v>
      </c>
      <c r="E1106">
        <v>24</v>
      </c>
      <c r="F1106" t="s">
        <v>44</v>
      </c>
      <c r="G1106" t="s">
        <v>100</v>
      </c>
      <c r="H1106" t="s">
        <v>22</v>
      </c>
      <c r="I1106" t="s">
        <v>84</v>
      </c>
      <c r="J1106" t="s">
        <v>64</v>
      </c>
      <c r="K1106">
        <v>1</v>
      </c>
      <c r="L1106" s="4">
        <v>42800</v>
      </c>
      <c r="M1106">
        <v>0</v>
      </c>
      <c r="N1106" s="4">
        <v>42800</v>
      </c>
      <c r="O1106" t="s">
        <v>73</v>
      </c>
      <c r="P1106">
        <v>1</v>
      </c>
      <c r="Q1106" t="s">
        <v>65</v>
      </c>
      <c r="R1106">
        <v>0</v>
      </c>
    </row>
    <row r="1107" spans="1:18" x14ac:dyDescent="0.3">
      <c r="A1107" t="s">
        <v>2522</v>
      </c>
      <c r="B1107" s="1">
        <v>45728</v>
      </c>
      <c r="C1107" t="s">
        <v>94</v>
      </c>
      <c r="D1107" t="s">
        <v>20</v>
      </c>
      <c r="E1107">
        <v>50</v>
      </c>
      <c r="F1107" t="s">
        <v>21</v>
      </c>
      <c r="G1107" t="s">
        <v>21</v>
      </c>
      <c r="H1107" t="s">
        <v>62</v>
      </c>
      <c r="I1107" t="s">
        <v>63</v>
      </c>
      <c r="J1107" t="s">
        <v>89</v>
      </c>
      <c r="K1107">
        <v>1</v>
      </c>
      <c r="L1107" s="4">
        <v>3800</v>
      </c>
      <c r="M1107">
        <v>10</v>
      </c>
      <c r="N1107" s="4">
        <v>3420</v>
      </c>
      <c r="O1107" t="s">
        <v>85</v>
      </c>
      <c r="Q1107" t="s">
        <v>74</v>
      </c>
      <c r="R1107">
        <v>0</v>
      </c>
    </row>
    <row r="1108" spans="1:18" x14ac:dyDescent="0.3">
      <c r="A1108" t="s">
        <v>2526</v>
      </c>
      <c r="B1108" s="1">
        <v>45924</v>
      </c>
      <c r="C1108" t="s">
        <v>19</v>
      </c>
      <c r="D1108" t="s">
        <v>20</v>
      </c>
      <c r="E1108">
        <v>18</v>
      </c>
      <c r="F1108" t="s">
        <v>21</v>
      </c>
      <c r="G1108" t="s">
        <v>21</v>
      </c>
      <c r="H1108" t="s">
        <v>46</v>
      </c>
      <c r="I1108" t="s">
        <v>47</v>
      </c>
      <c r="J1108" t="s">
        <v>80</v>
      </c>
      <c r="K1108">
        <v>7</v>
      </c>
      <c r="L1108" s="4">
        <v>23800</v>
      </c>
      <c r="M1108">
        <v>25</v>
      </c>
      <c r="N1108" s="4">
        <v>124950</v>
      </c>
      <c r="O1108" t="s">
        <v>73</v>
      </c>
      <c r="P1108">
        <v>2</v>
      </c>
      <c r="Q1108" t="s">
        <v>74</v>
      </c>
      <c r="R1108">
        <v>0</v>
      </c>
    </row>
    <row r="1109" spans="1:18" x14ac:dyDescent="0.3">
      <c r="A1109" t="s">
        <v>2529</v>
      </c>
      <c r="B1109" s="1">
        <v>45667</v>
      </c>
      <c r="C1109" t="s">
        <v>94</v>
      </c>
      <c r="D1109" t="s">
        <v>20</v>
      </c>
      <c r="E1109">
        <v>45</v>
      </c>
      <c r="F1109" t="s">
        <v>21</v>
      </c>
      <c r="G1109" t="s">
        <v>21</v>
      </c>
      <c r="H1109" t="s">
        <v>32</v>
      </c>
      <c r="I1109" t="s">
        <v>33</v>
      </c>
      <c r="J1109" t="s">
        <v>80</v>
      </c>
      <c r="K1109">
        <v>5</v>
      </c>
      <c r="L1109" s="4">
        <v>45500</v>
      </c>
      <c r="M1109">
        <v>10</v>
      </c>
      <c r="N1109" s="4">
        <v>204750</v>
      </c>
      <c r="O1109" t="s">
        <v>25</v>
      </c>
      <c r="Q1109" t="s">
        <v>74</v>
      </c>
      <c r="R1109">
        <v>0</v>
      </c>
    </row>
    <row r="1110" spans="1:18" x14ac:dyDescent="0.3">
      <c r="A1110" t="s">
        <v>2531</v>
      </c>
      <c r="B1110" s="1">
        <v>45831</v>
      </c>
      <c r="C1110" t="s">
        <v>121</v>
      </c>
      <c r="D1110" t="s">
        <v>3292</v>
      </c>
      <c r="E1110">
        <v>23</v>
      </c>
      <c r="F1110" t="s">
        <v>51</v>
      </c>
      <c r="G1110" t="s">
        <v>52</v>
      </c>
      <c r="H1110" t="s">
        <v>46</v>
      </c>
      <c r="I1110" t="s">
        <v>47</v>
      </c>
      <c r="J1110" t="s">
        <v>80</v>
      </c>
      <c r="K1110">
        <v>6</v>
      </c>
      <c r="L1110" s="4">
        <v>19100</v>
      </c>
      <c r="M1110">
        <v>25</v>
      </c>
      <c r="N1110" s="4">
        <v>85950</v>
      </c>
      <c r="O1110" t="s">
        <v>25</v>
      </c>
      <c r="Q1110" t="s">
        <v>41</v>
      </c>
      <c r="R1110">
        <v>1</v>
      </c>
    </row>
    <row r="1111" spans="1:18" x14ac:dyDescent="0.3">
      <c r="A1111" t="s">
        <v>2532</v>
      </c>
      <c r="B1111" s="1">
        <v>45844</v>
      </c>
      <c r="C1111" t="s">
        <v>68</v>
      </c>
      <c r="D1111" t="s">
        <v>39</v>
      </c>
      <c r="E1111">
        <v>42</v>
      </c>
      <c r="F1111" t="s">
        <v>51</v>
      </c>
      <c r="G1111" t="s">
        <v>104</v>
      </c>
      <c r="H1111" t="s">
        <v>32</v>
      </c>
      <c r="I1111" t="s">
        <v>33</v>
      </c>
      <c r="J1111" t="s">
        <v>34</v>
      </c>
      <c r="K1111">
        <v>7</v>
      </c>
      <c r="L1111" s="4">
        <v>18500</v>
      </c>
      <c r="M1111">
        <v>25</v>
      </c>
      <c r="N1111" s="4">
        <v>97125</v>
      </c>
      <c r="O1111" t="s">
        <v>85</v>
      </c>
      <c r="P1111">
        <v>2</v>
      </c>
      <c r="Q1111" t="s">
        <v>26</v>
      </c>
      <c r="R1111">
        <v>0</v>
      </c>
    </row>
    <row r="1112" spans="1:18" x14ac:dyDescent="0.3">
      <c r="A1112" t="s">
        <v>2535</v>
      </c>
      <c r="B1112" s="1">
        <v>45902</v>
      </c>
      <c r="C1112" t="s">
        <v>71</v>
      </c>
      <c r="D1112" t="s">
        <v>20</v>
      </c>
      <c r="E1112">
        <v>18</v>
      </c>
      <c r="F1112" t="s">
        <v>30</v>
      </c>
      <c r="G1112" t="s">
        <v>31</v>
      </c>
      <c r="H1112" t="s">
        <v>32</v>
      </c>
      <c r="I1112" t="s">
        <v>33</v>
      </c>
      <c r="J1112" t="s">
        <v>89</v>
      </c>
      <c r="K1112">
        <v>9</v>
      </c>
      <c r="L1112" s="4">
        <v>15900</v>
      </c>
      <c r="M1112">
        <v>15</v>
      </c>
      <c r="N1112" s="4">
        <v>121635</v>
      </c>
      <c r="O1112" t="s">
        <v>85</v>
      </c>
      <c r="P1112">
        <v>2</v>
      </c>
      <c r="Q1112" t="s">
        <v>41</v>
      </c>
      <c r="R1112">
        <v>1</v>
      </c>
    </row>
    <row r="1113" spans="1:18" x14ac:dyDescent="0.3">
      <c r="A1113" t="s">
        <v>2538</v>
      </c>
      <c r="B1113" s="1">
        <v>46091</v>
      </c>
      <c r="C1113" t="s">
        <v>88</v>
      </c>
      <c r="D1113" t="s">
        <v>20</v>
      </c>
      <c r="E1113">
        <v>44</v>
      </c>
      <c r="F1113" t="s">
        <v>30</v>
      </c>
      <c r="G1113" t="s">
        <v>57</v>
      </c>
      <c r="H1113" t="s">
        <v>62</v>
      </c>
      <c r="I1113" t="s">
        <v>63</v>
      </c>
      <c r="J1113" t="s">
        <v>72</v>
      </c>
      <c r="K1113">
        <v>9</v>
      </c>
      <c r="L1113" s="4">
        <v>43900</v>
      </c>
      <c r="M1113">
        <v>20</v>
      </c>
      <c r="N1113" s="4">
        <v>316080</v>
      </c>
      <c r="O1113" t="s">
        <v>85</v>
      </c>
      <c r="P1113">
        <v>1</v>
      </c>
      <c r="Q1113" t="s">
        <v>41</v>
      </c>
      <c r="R1113">
        <v>1</v>
      </c>
    </row>
    <row r="1114" spans="1:18" x14ac:dyDescent="0.3">
      <c r="A1114" t="s">
        <v>2539</v>
      </c>
      <c r="B1114" s="1">
        <v>45706</v>
      </c>
      <c r="C1114" t="s">
        <v>19</v>
      </c>
      <c r="D1114" t="s">
        <v>20</v>
      </c>
      <c r="E1114">
        <v>27</v>
      </c>
      <c r="F1114" t="s">
        <v>77</v>
      </c>
      <c r="G1114" t="s">
        <v>78</v>
      </c>
      <c r="H1114" t="s">
        <v>32</v>
      </c>
      <c r="I1114" t="s">
        <v>33</v>
      </c>
      <c r="J1114" t="s">
        <v>72</v>
      </c>
      <c r="K1114">
        <v>2</v>
      </c>
      <c r="L1114" s="4">
        <v>38100</v>
      </c>
      <c r="M1114">
        <v>15</v>
      </c>
      <c r="N1114" s="4">
        <v>64770</v>
      </c>
      <c r="O1114" t="s">
        <v>73</v>
      </c>
      <c r="P1114">
        <v>1</v>
      </c>
      <c r="Q1114" t="s">
        <v>74</v>
      </c>
      <c r="R1114">
        <v>0</v>
      </c>
    </row>
    <row r="1115" spans="1:18" x14ac:dyDescent="0.3">
      <c r="A1115" t="s">
        <v>2540</v>
      </c>
      <c r="B1115" s="1">
        <v>45695</v>
      </c>
      <c r="C1115" t="s">
        <v>68</v>
      </c>
      <c r="D1115" t="s">
        <v>39</v>
      </c>
      <c r="E1115">
        <v>24</v>
      </c>
      <c r="F1115" t="s">
        <v>30</v>
      </c>
      <c r="G1115" t="s">
        <v>31</v>
      </c>
      <c r="H1115" t="s">
        <v>62</v>
      </c>
      <c r="I1115" t="s">
        <v>63</v>
      </c>
      <c r="J1115" t="s">
        <v>72</v>
      </c>
      <c r="K1115">
        <v>5</v>
      </c>
      <c r="L1115" s="4">
        <v>43100</v>
      </c>
      <c r="M1115">
        <v>10</v>
      </c>
      <c r="N1115" s="4">
        <v>193950</v>
      </c>
      <c r="O1115" t="s">
        <v>25</v>
      </c>
      <c r="P1115">
        <v>1</v>
      </c>
      <c r="Q1115" t="s">
        <v>41</v>
      </c>
      <c r="R1115">
        <v>1</v>
      </c>
    </row>
    <row r="1116" spans="1:18" x14ac:dyDescent="0.3">
      <c r="A1116" t="s">
        <v>2543</v>
      </c>
      <c r="B1116" s="1">
        <v>46145</v>
      </c>
      <c r="C1116" t="s">
        <v>121</v>
      </c>
      <c r="D1116" t="s">
        <v>3292</v>
      </c>
      <c r="E1116">
        <v>58</v>
      </c>
      <c r="F1116" t="s">
        <v>77</v>
      </c>
      <c r="G1116" t="s">
        <v>95</v>
      </c>
      <c r="H1116" t="s">
        <v>62</v>
      </c>
      <c r="I1116" t="s">
        <v>140</v>
      </c>
      <c r="J1116" t="s">
        <v>89</v>
      </c>
      <c r="K1116">
        <v>10</v>
      </c>
      <c r="L1116" s="4">
        <v>6800</v>
      </c>
      <c r="M1116">
        <v>5</v>
      </c>
      <c r="N1116" s="4">
        <v>64600</v>
      </c>
      <c r="O1116" t="s">
        <v>85</v>
      </c>
      <c r="P1116">
        <v>2</v>
      </c>
      <c r="Q1116" t="s">
        <v>74</v>
      </c>
      <c r="R1116">
        <v>0</v>
      </c>
    </row>
    <row r="1117" spans="1:18" x14ac:dyDescent="0.3">
      <c r="A1117" t="s">
        <v>2545</v>
      </c>
      <c r="B1117" s="1">
        <v>45856</v>
      </c>
      <c r="C1117" t="s">
        <v>88</v>
      </c>
      <c r="D1117" t="s">
        <v>39</v>
      </c>
      <c r="E1117">
        <v>45</v>
      </c>
      <c r="F1117" t="s">
        <v>30</v>
      </c>
      <c r="G1117" t="s">
        <v>31</v>
      </c>
      <c r="H1117" t="s">
        <v>22</v>
      </c>
      <c r="I1117" t="s">
        <v>23</v>
      </c>
      <c r="J1117" t="s">
        <v>64</v>
      </c>
      <c r="K1117">
        <v>9</v>
      </c>
      <c r="L1117" s="4">
        <v>42600</v>
      </c>
      <c r="M1117">
        <v>10</v>
      </c>
      <c r="N1117" s="4">
        <v>345060</v>
      </c>
      <c r="O1117" t="s">
        <v>85</v>
      </c>
      <c r="Q1117" t="s">
        <v>41</v>
      </c>
      <c r="R1117">
        <v>1</v>
      </c>
    </row>
    <row r="1118" spans="1:18" x14ac:dyDescent="0.3">
      <c r="A1118" t="s">
        <v>2549</v>
      </c>
      <c r="B1118" s="1">
        <v>45899</v>
      </c>
      <c r="C1118" t="s">
        <v>19</v>
      </c>
      <c r="D1118" t="s">
        <v>3292</v>
      </c>
      <c r="E1118">
        <v>48</v>
      </c>
      <c r="F1118" t="s">
        <v>30</v>
      </c>
      <c r="G1118" t="s">
        <v>31</v>
      </c>
      <c r="H1118" t="s">
        <v>46</v>
      </c>
      <c r="I1118" t="s">
        <v>47</v>
      </c>
      <c r="J1118" t="s">
        <v>64</v>
      </c>
      <c r="K1118">
        <v>5</v>
      </c>
      <c r="L1118" s="4">
        <v>29900</v>
      </c>
      <c r="M1118">
        <v>10</v>
      </c>
      <c r="N1118" s="4">
        <v>134550</v>
      </c>
      <c r="O1118" t="s">
        <v>85</v>
      </c>
      <c r="P1118">
        <v>2</v>
      </c>
      <c r="Q1118" t="s">
        <v>41</v>
      </c>
      <c r="R1118">
        <v>1</v>
      </c>
    </row>
    <row r="1119" spans="1:18" x14ac:dyDescent="0.3">
      <c r="A1119" t="s">
        <v>2550</v>
      </c>
      <c r="B1119" s="1">
        <v>45802</v>
      </c>
      <c r="C1119" t="s">
        <v>29</v>
      </c>
      <c r="D1119" t="s">
        <v>39</v>
      </c>
      <c r="E1119">
        <v>56</v>
      </c>
      <c r="F1119" t="s">
        <v>44</v>
      </c>
      <c r="G1119" t="s">
        <v>45</v>
      </c>
      <c r="H1119" t="s">
        <v>46</v>
      </c>
      <c r="I1119" t="s">
        <v>79</v>
      </c>
      <c r="J1119" t="s">
        <v>24</v>
      </c>
      <c r="K1119">
        <v>1</v>
      </c>
      <c r="L1119" s="4">
        <v>37700</v>
      </c>
      <c r="M1119">
        <v>15</v>
      </c>
      <c r="N1119" s="4">
        <v>32045</v>
      </c>
      <c r="O1119" t="s">
        <v>85</v>
      </c>
      <c r="P1119">
        <v>4</v>
      </c>
      <c r="Q1119" t="s">
        <v>41</v>
      </c>
      <c r="R1119">
        <v>1</v>
      </c>
    </row>
    <row r="1120" spans="1:18" x14ac:dyDescent="0.3">
      <c r="A1120" t="s">
        <v>2551</v>
      </c>
      <c r="B1120" s="1">
        <v>45875</v>
      </c>
      <c r="C1120" t="s">
        <v>60</v>
      </c>
      <c r="D1120" t="s">
        <v>39</v>
      </c>
      <c r="E1120">
        <v>22</v>
      </c>
      <c r="F1120" t="s">
        <v>30</v>
      </c>
      <c r="G1120" t="s">
        <v>31</v>
      </c>
      <c r="H1120" t="s">
        <v>62</v>
      </c>
      <c r="I1120" t="s">
        <v>63</v>
      </c>
      <c r="J1120" t="s">
        <v>64</v>
      </c>
      <c r="K1120">
        <v>9</v>
      </c>
      <c r="L1120" s="4">
        <v>13500</v>
      </c>
      <c r="M1120">
        <v>15</v>
      </c>
      <c r="N1120" s="4">
        <v>103275</v>
      </c>
      <c r="O1120" t="s">
        <v>85</v>
      </c>
      <c r="Q1120" t="s">
        <v>41</v>
      </c>
      <c r="R1120">
        <v>1</v>
      </c>
    </row>
    <row r="1121" spans="1:18" x14ac:dyDescent="0.3">
      <c r="A1121" t="s">
        <v>2553</v>
      </c>
      <c r="B1121" s="1">
        <v>45999</v>
      </c>
      <c r="C1121" t="s">
        <v>71</v>
      </c>
      <c r="D1121" t="s">
        <v>20</v>
      </c>
      <c r="E1121">
        <v>22</v>
      </c>
      <c r="F1121" t="s">
        <v>44</v>
      </c>
      <c r="G1121" t="s">
        <v>100</v>
      </c>
      <c r="H1121" t="s">
        <v>62</v>
      </c>
      <c r="I1121" t="s">
        <v>140</v>
      </c>
      <c r="J1121" t="s">
        <v>89</v>
      </c>
      <c r="K1121">
        <v>8</v>
      </c>
      <c r="L1121" s="4">
        <v>37700</v>
      </c>
      <c r="M1121">
        <v>0</v>
      </c>
      <c r="N1121" s="4">
        <v>301600</v>
      </c>
      <c r="O1121" t="s">
        <v>73</v>
      </c>
      <c r="Q1121" t="s">
        <v>74</v>
      </c>
      <c r="R1121">
        <v>0</v>
      </c>
    </row>
    <row r="1122" spans="1:18" x14ac:dyDescent="0.3">
      <c r="A1122" t="s">
        <v>2555</v>
      </c>
      <c r="B1122" s="1">
        <v>45871</v>
      </c>
      <c r="C1122" t="s">
        <v>60</v>
      </c>
      <c r="D1122" t="s">
        <v>20</v>
      </c>
      <c r="E1122">
        <v>22</v>
      </c>
      <c r="F1122" t="s">
        <v>44</v>
      </c>
      <c r="G1122" t="s">
        <v>100</v>
      </c>
      <c r="H1122" t="s">
        <v>22</v>
      </c>
      <c r="I1122" t="s">
        <v>84</v>
      </c>
      <c r="J1122" t="s">
        <v>64</v>
      </c>
      <c r="K1122">
        <v>1</v>
      </c>
      <c r="L1122" s="4">
        <v>10700</v>
      </c>
      <c r="M1122">
        <v>10</v>
      </c>
      <c r="N1122" s="4">
        <v>9630</v>
      </c>
      <c r="O1122" t="s">
        <v>25</v>
      </c>
      <c r="P1122">
        <v>1</v>
      </c>
      <c r="Q1122" t="s">
        <v>74</v>
      </c>
      <c r="R1122">
        <v>0</v>
      </c>
    </row>
    <row r="1123" spans="1:18" x14ac:dyDescent="0.3">
      <c r="A1123" t="s">
        <v>2556</v>
      </c>
      <c r="B1123" s="1">
        <v>45849</v>
      </c>
      <c r="C1123" t="s">
        <v>121</v>
      </c>
      <c r="D1123" t="s">
        <v>39</v>
      </c>
      <c r="E1123">
        <v>37</v>
      </c>
      <c r="F1123" t="s">
        <v>61</v>
      </c>
      <c r="G1123" t="s">
        <v>61</v>
      </c>
      <c r="H1123" t="s">
        <v>62</v>
      </c>
      <c r="I1123" t="s">
        <v>140</v>
      </c>
      <c r="J1123" t="s">
        <v>24</v>
      </c>
      <c r="K1123">
        <v>5</v>
      </c>
      <c r="L1123" s="4">
        <v>39700</v>
      </c>
      <c r="M1123">
        <v>15</v>
      </c>
      <c r="N1123" s="4">
        <v>168725</v>
      </c>
      <c r="O1123" t="s">
        <v>85</v>
      </c>
      <c r="P1123">
        <v>5</v>
      </c>
      <c r="Q1123" t="s">
        <v>26</v>
      </c>
      <c r="R1123">
        <v>0</v>
      </c>
    </row>
    <row r="1124" spans="1:18" x14ac:dyDescent="0.3">
      <c r="A1124" t="s">
        <v>2558</v>
      </c>
      <c r="B1124" s="1">
        <v>45719</v>
      </c>
      <c r="C1124" t="s">
        <v>60</v>
      </c>
      <c r="D1124" t="s">
        <v>20</v>
      </c>
      <c r="E1124">
        <v>40</v>
      </c>
      <c r="F1124" t="s">
        <v>51</v>
      </c>
      <c r="G1124" t="s">
        <v>52</v>
      </c>
      <c r="H1124" t="s">
        <v>32</v>
      </c>
      <c r="I1124" t="s">
        <v>33</v>
      </c>
      <c r="J1124" t="s">
        <v>80</v>
      </c>
      <c r="K1124">
        <v>2</v>
      </c>
      <c r="L1124" s="4">
        <v>2000</v>
      </c>
      <c r="M1124">
        <v>5</v>
      </c>
      <c r="N1124" s="4">
        <v>3800</v>
      </c>
      <c r="O1124" t="s">
        <v>3293</v>
      </c>
      <c r="P1124">
        <v>5</v>
      </c>
      <c r="Q1124" t="s">
        <v>65</v>
      </c>
      <c r="R1124">
        <v>0</v>
      </c>
    </row>
    <row r="1125" spans="1:18" x14ac:dyDescent="0.3">
      <c r="A1125" t="s">
        <v>2560</v>
      </c>
      <c r="B1125" s="1">
        <v>45743</v>
      </c>
      <c r="C1125" t="s">
        <v>88</v>
      </c>
      <c r="D1125" t="s">
        <v>3292</v>
      </c>
      <c r="E1125">
        <v>45</v>
      </c>
      <c r="F1125" t="s">
        <v>51</v>
      </c>
      <c r="G1125" t="s">
        <v>52</v>
      </c>
      <c r="H1125" t="s">
        <v>22</v>
      </c>
      <c r="I1125" t="s">
        <v>84</v>
      </c>
      <c r="J1125" t="s">
        <v>64</v>
      </c>
      <c r="K1125">
        <v>4</v>
      </c>
      <c r="L1125" s="4">
        <v>3800</v>
      </c>
      <c r="M1125">
        <v>20</v>
      </c>
      <c r="N1125" s="4">
        <v>12160</v>
      </c>
      <c r="O1125" t="s">
        <v>85</v>
      </c>
      <c r="Q1125" t="s">
        <v>74</v>
      </c>
      <c r="R1125">
        <v>0</v>
      </c>
    </row>
    <row r="1126" spans="1:18" x14ac:dyDescent="0.3">
      <c r="A1126" t="s">
        <v>2562</v>
      </c>
      <c r="B1126" s="1">
        <v>45717</v>
      </c>
      <c r="C1126" t="s">
        <v>60</v>
      </c>
      <c r="D1126" t="s">
        <v>39</v>
      </c>
      <c r="E1126">
        <v>23</v>
      </c>
      <c r="F1126" t="s">
        <v>51</v>
      </c>
      <c r="G1126" t="s">
        <v>104</v>
      </c>
      <c r="H1126" t="s">
        <v>62</v>
      </c>
      <c r="I1126" t="s">
        <v>63</v>
      </c>
      <c r="J1126" t="s">
        <v>80</v>
      </c>
      <c r="K1126">
        <v>7</v>
      </c>
      <c r="L1126" s="4">
        <v>36100</v>
      </c>
      <c r="M1126">
        <v>5</v>
      </c>
      <c r="N1126" s="4">
        <v>240065</v>
      </c>
      <c r="O1126" t="s">
        <v>85</v>
      </c>
      <c r="Q1126" t="s">
        <v>41</v>
      </c>
      <c r="R1126">
        <v>1</v>
      </c>
    </row>
    <row r="1127" spans="1:18" x14ac:dyDescent="0.3">
      <c r="A1127" t="s">
        <v>2564</v>
      </c>
      <c r="B1127" s="1">
        <v>46109</v>
      </c>
      <c r="C1127" t="s">
        <v>60</v>
      </c>
      <c r="D1127" t="s">
        <v>39</v>
      </c>
      <c r="E1127">
        <v>42</v>
      </c>
      <c r="F1127" t="s">
        <v>51</v>
      </c>
      <c r="G1127" t="s">
        <v>52</v>
      </c>
      <c r="H1127" t="s">
        <v>32</v>
      </c>
      <c r="I1127" t="s">
        <v>33</v>
      </c>
      <c r="J1127" t="s">
        <v>64</v>
      </c>
      <c r="K1127">
        <v>4</v>
      </c>
      <c r="L1127" s="4">
        <v>23000</v>
      </c>
      <c r="M1127">
        <v>20</v>
      </c>
      <c r="N1127" s="4">
        <v>73600</v>
      </c>
      <c r="O1127" t="s">
        <v>25</v>
      </c>
      <c r="P1127">
        <v>3</v>
      </c>
      <c r="Q1127" t="s">
        <v>26</v>
      </c>
      <c r="R1127">
        <v>0</v>
      </c>
    </row>
    <row r="1128" spans="1:18" x14ac:dyDescent="0.3">
      <c r="A1128" t="s">
        <v>2565</v>
      </c>
      <c r="B1128" s="1">
        <v>45690</v>
      </c>
      <c r="C1128" t="s">
        <v>29</v>
      </c>
      <c r="D1128" t="s">
        <v>20</v>
      </c>
      <c r="E1128">
        <v>22</v>
      </c>
      <c r="F1128" t="s">
        <v>30</v>
      </c>
      <c r="G1128" t="s">
        <v>31</v>
      </c>
      <c r="H1128" t="s">
        <v>46</v>
      </c>
      <c r="I1128" t="s">
        <v>79</v>
      </c>
      <c r="J1128" t="s">
        <v>24</v>
      </c>
      <c r="K1128">
        <v>10</v>
      </c>
      <c r="L1128" s="4">
        <v>39800</v>
      </c>
      <c r="M1128">
        <v>20</v>
      </c>
      <c r="N1128" s="4">
        <v>318400</v>
      </c>
      <c r="O1128" t="s">
        <v>25</v>
      </c>
      <c r="P1128">
        <v>3</v>
      </c>
      <c r="Q1128" t="s">
        <v>65</v>
      </c>
      <c r="R1128">
        <v>0</v>
      </c>
    </row>
    <row r="1129" spans="1:18" x14ac:dyDescent="0.3">
      <c r="A1129" t="s">
        <v>2566</v>
      </c>
      <c r="B1129" s="1">
        <v>45968</v>
      </c>
      <c r="C1129" t="s">
        <v>60</v>
      </c>
      <c r="D1129" t="s">
        <v>20</v>
      </c>
      <c r="E1129">
        <v>40</v>
      </c>
      <c r="F1129" t="s">
        <v>44</v>
      </c>
      <c r="G1129" t="s">
        <v>100</v>
      </c>
      <c r="H1129" t="s">
        <v>62</v>
      </c>
      <c r="I1129" t="s">
        <v>63</v>
      </c>
      <c r="J1129" t="s">
        <v>80</v>
      </c>
      <c r="K1129">
        <v>6</v>
      </c>
      <c r="L1129" s="4">
        <v>23700</v>
      </c>
      <c r="M1129">
        <v>20</v>
      </c>
      <c r="N1129" s="4">
        <v>113760</v>
      </c>
      <c r="O1129" t="s">
        <v>73</v>
      </c>
      <c r="Q1129" t="s">
        <v>26</v>
      </c>
      <c r="R1129">
        <v>0</v>
      </c>
    </row>
    <row r="1130" spans="1:18" x14ac:dyDescent="0.3">
      <c r="A1130" t="s">
        <v>2567</v>
      </c>
      <c r="B1130" s="1">
        <v>45940</v>
      </c>
      <c r="C1130" t="s">
        <v>38</v>
      </c>
      <c r="D1130" t="s">
        <v>39</v>
      </c>
      <c r="E1130">
        <v>61</v>
      </c>
      <c r="F1130" t="s">
        <v>21</v>
      </c>
      <c r="G1130" t="s">
        <v>21</v>
      </c>
      <c r="H1130" t="s">
        <v>22</v>
      </c>
      <c r="I1130" t="s">
        <v>23</v>
      </c>
      <c r="J1130" t="s">
        <v>24</v>
      </c>
      <c r="K1130">
        <v>1</v>
      </c>
      <c r="L1130" s="4">
        <v>28500</v>
      </c>
      <c r="M1130">
        <v>5</v>
      </c>
      <c r="N1130" s="4">
        <v>27075</v>
      </c>
      <c r="O1130" t="s">
        <v>73</v>
      </c>
      <c r="P1130">
        <v>1</v>
      </c>
      <c r="Q1130" t="s">
        <v>65</v>
      </c>
      <c r="R1130">
        <v>0</v>
      </c>
    </row>
    <row r="1131" spans="1:18" x14ac:dyDescent="0.3">
      <c r="A1131" t="s">
        <v>2568</v>
      </c>
      <c r="B1131" s="1">
        <v>46135</v>
      </c>
      <c r="C1131" t="s">
        <v>19</v>
      </c>
      <c r="D1131" t="s">
        <v>39</v>
      </c>
      <c r="E1131">
        <v>19</v>
      </c>
      <c r="F1131" t="s">
        <v>77</v>
      </c>
      <c r="G1131" t="s">
        <v>95</v>
      </c>
      <c r="H1131" t="s">
        <v>32</v>
      </c>
      <c r="I1131" t="s">
        <v>53</v>
      </c>
      <c r="J1131" t="s">
        <v>34</v>
      </c>
      <c r="K1131">
        <v>2</v>
      </c>
      <c r="L1131" s="4">
        <v>12000</v>
      </c>
      <c r="M1131">
        <v>15</v>
      </c>
      <c r="N1131" s="4">
        <v>20400</v>
      </c>
      <c r="O1131" t="s">
        <v>73</v>
      </c>
      <c r="P1131">
        <v>2</v>
      </c>
      <c r="Q1131" t="s">
        <v>26</v>
      </c>
      <c r="R1131">
        <v>0</v>
      </c>
    </row>
    <row r="1132" spans="1:18" x14ac:dyDescent="0.3">
      <c r="A1132" t="s">
        <v>2570</v>
      </c>
      <c r="B1132" s="1">
        <v>46134</v>
      </c>
      <c r="C1132" t="s">
        <v>19</v>
      </c>
      <c r="D1132" t="s">
        <v>39</v>
      </c>
      <c r="E1132">
        <v>21</v>
      </c>
      <c r="F1132" t="s">
        <v>77</v>
      </c>
      <c r="G1132" t="s">
        <v>95</v>
      </c>
      <c r="H1132" t="s">
        <v>46</v>
      </c>
      <c r="I1132" t="s">
        <v>47</v>
      </c>
      <c r="J1132" t="s">
        <v>89</v>
      </c>
      <c r="K1132">
        <v>2</v>
      </c>
      <c r="L1132" s="4">
        <v>13600</v>
      </c>
      <c r="M1132">
        <v>20</v>
      </c>
      <c r="N1132" s="4">
        <v>21760</v>
      </c>
      <c r="O1132" t="s">
        <v>73</v>
      </c>
      <c r="P1132">
        <v>5</v>
      </c>
      <c r="Q1132" t="s">
        <v>41</v>
      </c>
      <c r="R1132">
        <v>1</v>
      </c>
    </row>
    <row r="1133" spans="1:18" x14ac:dyDescent="0.3">
      <c r="A1133" t="s">
        <v>2574</v>
      </c>
      <c r="B1133" s="1">
        <v>46010</v>
      </c>
      <c r="C1133" t="s">
        <v>38</v>
      </c>
      <c r="D1133" t="s">
        <v>20</v>
      </c>
      <c r="E1133">
        <v>24</v>
      </c>
      <c r="F1133" t="s">
        <v>51</v>
      </c>
      <c r="G1133" t="s">
        <v>52</v>
      </c>
      <c r="H1133" t="s">
        <v>46</v>
      </c>
      <c r="I1133" t="s">
        <v>79</v>
      </c>
      <c r="J1133" t="s">
        <v>89</v>
      </c>
      <c r="K1133">
        <v>1</v>
      </c>
      <c r="L1133" s="4">
        <v>7600</v>
      </c>
      <c r="M1133">
        <v>15</v>
      </c>
      <c r="N1133" s="4">
        <v>6460</v>
      </c>
      <c r="O1133" t="s">
        <v>73</v>
      </c>
      <c r="Q1133" t="s">
        <v>65</v>
      </c>
      <c r="R1133">
        <v>0</v>
      </c>
    </row>
    <row r="1134" spans="1:18" x14ac:dyDescent="0.3">
      <c r="A1134" t="s">
        <v>2576</v>
      </c>
      <c r="B1134" s="1">
        <v>46001</v>
      </c>
      <c r="C1134" t="s">
        <v>88</v>
      </c>
      <c r="D1134" t="s">
        <v>39</v>
      </c>
      <c r="E1134">
        <v>52</v>
      </c>
      <c r="F1134" t="s">
        <v>30</v>
      </c>
      <c r="G1134" t="s">
        <v>31</v>
      </c>
      <c r="H1134" t="s">
        <v>22</v>
      </c>
      <c r="I1134" t="s">
        <v>84</v>
      </c>
      <c r="J1134" t="s">
        <v>80</v>
      </c>
      <c r="K1134">
        <v>6</v>
      </c>
      <c r="L1134" s="4">
        <v>17900</v>
      </c>
      <c r="M1134">
        <v>5</v>
      </c>
      <c r="N1134" s="4">
        <v>102030</v>
      </c>
      <c r="O1134" t="s">
        <v>85</v>
      </c>
      <c r="P1134">
        <v>1</v>
      </c>
      <c r="Q1134" t="s">
        <v>26</v>
      </c>
      <c r="R1134">
        <v>0</v>
      </c>
    </row>
    <row r="1135" spans="1:18" x14ac:dyDescent="0.3">
      <c r="A1135" t="s">
        <v>2577</v>
      </c>
      <c r="B1135" s="1">
        <v>45856</v>
      </c>
      <c r="C1135" t="s">
        <v>88</v>
      </c>
      <c r="D1135" t="s">
        <v>39</v>
      </c>
      <c r="E1135">
        <v>37</v>
      </c>
      <c r="F1135" t="s">
        <v>44</v>
      </c>
      <c r="G1135" t="s">
        <v>45</v>
      </c>
      <c r="H1135" t="s">
        <v>62</v>
      </c>
      <c r="I1135" t="s">
        <v>63</v>
      </c>
      <c r="J1135" t="s">
        <v>64</v>
      </c>
      <c r="K1135">
        <v>5</v>
      </c>
      <c r="L1135" s="4">
        <v>6300</v>
      </c>
      <c r="M1135">
        <v>10</v>
      </c>
      <c r="N1135" s="4">
        <v>28350</v>
      </c>
      <c r="O1135" t="s">
        <v>73</v>
      </c>
      <c r="P1135">
        <v>5</v>
      </c>
      <c r="Q1135" t="s">
        <v>41</v>
      </c>
      <c r="R1135">
        <v>1</v>
      </c>
    </row>
    <row r="1136" spans="1:18" x14ac:dyDescent="0.3">
      <c r="A1136" t="s">
        <v>2579</v>
      </c>
      <c r="B1136" s="1">
        <v>45822</v>
      </c>
      <c r="C1136" t="s">
        <v>29</v>
      </c>
      <c r="D1136" t="s">
        <v>3292</v>
      </c>
      <c r="E1136">
        <v>29</v>
      </c>
      <c r="F1136" t="s">
        <v>21</v>
      </c>
      <c r="G1136" t="s">
        <v>21</v>
      </c>
      <c r="H1136" t="s">
        <v>22</v>
      </c>
      <c r="I1136" t="s">
        <v>23</v>
      </c>
      <c r="J1136" t="s">
        <v>89</v>
      </c>
      <c r="K1136">
        <v>8</v>
      </c>
      <c r="L1136" s="4">
        <v>3800</v>
      </c>
      <c r="M1136">
        <v>15</v>
      </c>
      <c r="N1136" s="4">
        <v>25840</v>
      </c>
      <c r="O1136" t="s">
        <v>25</v>
      </c>
      <c r="Q1136" t="s">
        <v>65</v>
      </c>
      <c r="R1136">
        <v>0</v>
      </c>
    </row>
    <row r="1137" spans="1:18" x14ac:dyDescent="0.3">
      <c r="A1137" t="s">
        <v>2580</v>
      </c>
      <c r="B1137" s="1">
        <v>45841</v>
      </c>
      <c r="C1137" t="s">
        <v>29</v>
      </c>
      <c r="D1137" t="s">
        <v>39</v>
      </c>
      <c r="E1137">
        <v>27</v>
      </c>
      <c r="F1137" t="s">
        <v>30</v>
      </c>
      <c r="G1137" t="s">
        <v>31</v>
      </c>
      <c r="H1137" t="s">
        <v>62</v>
      </c>
      <c r="I1137" t="s">
        <v>63</v>
      </c>
      <c r="J1137" t="s">
        <v>80</v>
      </c>
      <c r="K1137">
        <v>1</v>
      </c>
      <c r="L1137" s="4">
        <v>41000</v>
      </c>
      <c r="M1137">
        <v>20</v>
      </c>
      <c r="N1137" s="4">
        <v>32800</v>
      </c>
      <c r="O1137" t="s">
        <v>73</v>
      </c>
      <c r="P1137">
        <v>1</v>
      </c>
      <c r="Q1137" t="s">
        <v>65</v>
      </c>
      <c r="R1137">
        <v>0</v>
      </c>
    </row>
    <row r="1138" spans="1:18" x14ac:dyDescent="0.3">
      <c r="A1138" t="s">
        <v>2581</v>
      </c>
      <c r="B1138" s="1">
        <v>46058</v>
      </c>
      <c r="C1138" t="s">
        <v>29</v>
      </c>
      <c r="D1138" t="s">
        <v>20</v>
      </c>
      <c r="E1138">
        <v>36</v>
      </c>
      <c r="F1138" t="s">
        <v>30</v>
      </c>
      <c r="G1138" t="s">
        <v>31</v>
      </c>
      <c r="H1138" t="s">
        <v>46</v>
      </c>
      <c r="I1138" t="s">
        <v>79</v>
      </c>
      <c r="J1138" t="s">
        <v>24</v>
      </c>
      <c r="K1138">
        <v>2</v>
      </c>
      <c r="L1138" s="4">
        <v>20200</v>
      </c>
      <c r="M1138">
        <v>15</v>
      </c>
      <c r="N1138" s="4">
        <v>34340</v>
      </c>
      <c r="O1138" t="s">
        <v>25</v>
      </c>
      <c r="P1138">
        <v>3</v>
      </c>
      <c r="Q1138" t="s">
        <v>41</v>
      </c>
      <c r="R1138">
        <v>1</v>
      </c>
    </row>
    <row r="1139" spans="1:18" x14ac:dyDescent="0.3">
      <c r="A1139" t="s">
        <v>2583</v>
      </c>
      <c r="B1139" s="1">
        <v>45857</v>
      </c>
      <c r="C1139" t="s">
        <v>71</v>
      </c>
      <c r="D1139" t="s">
        <v>39</v>
      </c>
      <c r="E1139">
        <v>18</v>
      </c>
      <c r="F1139" t="s">
        <v>44</v>
      </c>
      <c r="G1139" t="s">
        <v>100</v>
      </c>
      <c r="H1139" t="s">
        <v>62</v>
      </c>
      <c r="I1139" t="s">
        <v>63</v>
      </c>
      <c r="J1139" t="s">
        <v>24</v>
      </c>
      <c r="K1139">
        <v>10</v>
      </c>
      <c r="L1139" s="4">
        <v>43200</v>
      </c>
      <c r="M1139">
        <v>15</v>
      </c>
      <c r="N1139" s="4">
        <v>367200</v>
      </c>
      <c r="O1139" t="s">
        <v>25</v>
      </c>
      <c r="P1139">
        <v>5</v>
      </c>
      <c r="Q1139" t="s">
        <v>26</v>
      </c>
      <c r="R1139">
        <v>0</v>
      </c>
    </row>
    <row r="1140" spans="1:18" x14ac:dyDescent="0.3">
      <c r="A1140" t="s">
        <v>2584</v>
      </c>
      <c r="B1140" s="1">
        <v>46067</v>
      </c>
      <c r="C1140" t="s">
        <v>19</v>
      </c>
      <c r="D1140" t="s">
        <v>20</v>
      </c>
      <c r="E1140">
        <v>64</v>
      </c>
      <c r="F1140" t="s">
        <v>77</v>
      </c>
      <c r="G1140" t="s">
        <v>78</v>
      </c>
      <c r="H1140" t="s">
        <v>22</v>
      </c>
      <c r="I1140" t="s">
        <v>84</v>
      </c>
      <c r="J1140" t="s">
        <v>64</v>
      </c>
      <c r="K1140">
        <v>10</v>
      </c>
      <c r="L1140" s="4">
        <v>16400</v>
      </c>
      <c r="M1140">
        <v>15</v>
      </c>
      <c r="N1140" s="4">
        <v>139400</v>
      </c>
      <c r="O1140" t="s">
        <v>85</v>
      </c>
      <c r="Q1140" t="s">
        <v>26</v>
      </c>
      <c r="R1140">
        <v>0</v>
      </c>
    </row>
    <row r="1141" spans="1:18" x14ac:dyDescent="0.3">
      <c r="A1141" t="s">
        <v>2585</v>
      </c>
      <c r="B1141" s="1">
        <v>45932</v>
      </c>
      <c r="C1141" t="s">
        <v>38</v>
      </c>
      <c r="D1141" t="s">
        <v>39</v>
      </c>
      <c r="E1141">
        <v>20</v>
      </c>
      <c r="F1141" t="s">
        <v>61</v>
      </c>
      <c r="G1141" t="s">
        <v>61</v>
      </c>
      <c r="H1141" t="s">
        <v>22</v>
      </c>
      <c r="I1141" t="s">
        <v>84</v>
      </c>
      <c r="J1141" t="s">
        <v>89</v>
      </c>
      <c r="K1141">
        <v>5</v>
      </c>
      <c r="L1141" s="4">
        <v>40000</v>
      </c>
      <c r="M1141">
        <v>0</v>
      </c>
      <c r="N1141" s="4">
        <v>200000</v>
      </c>
      <c r="O1141" t="s">
        <v>25</v>
      </c>
      <c r="P1141">
        <v>2</v>
      </c>
      <c r="Q1141" t="s">
        <v>41</v>
      </c>
      <c r="R1141">
        <v>1</v>
      </c>
    </row>
    <row r="1142" spans="1:18" x14ac:dyDescent="0.3">
      <c r="A1142" t="s">
        <v>2586</v>
      </c>
      <c r="B1142" s="1">
        <v>45913</v>
      </c>
      <c r="C1142" t="s">
        <v>71</v>
      </c>
      <c r="D1142" t="s">
        <v>39</v>
      </c>
      <c r="E1142">
        <v>20</v>
      </c>
      <c r="F1142" t="s">
        <v>44</v>
      </c>
      <c r="G1142" t="s">
        <v>45</v>
      </c>
      <c r="H1142" t="s">
        <v>32</v>
      </c>
      <c r="I1142" t="s">
        <v>53</v>
      </c>
      <c r="J1142" t="s">
        <v>80</v>
      </c>
      <c r="K1142">
        <v>7</v>
      </c>
      <c r="L1142" s="4">
        <v>41800</v>
      </c>
      <c r="M1142">
        <v>10</v>
      </c>
      <c r="N1142" s="4">
        <v>263340</v>
      </c>
      <c r="O1142" t="s">
        <v>73</v>
      </c>
      <c r="Q1142" t="s">
        <v>26</v>
      </c>
      <c r="R1142">
        <v>0</v>
      </c>
    </row>
    <row r="1143" spans="1:18" x14ac:dyDescent="0.3">
      <c r="A1143" t="s">
        <v>2590</v>
      </c>
      <c r="B1143" s="1">
        <v>45764</v>
      </c>
      <c r="C1143" t="s">
        <v>38</v>
      </c>
      <c r="D1143" t="s">
        <v>3292</v>
      </c>
      <c r="E1143">
        <v>47</v>
      </c>
      <c r="F1143" t="s">
        <v>61</v>
      </c>
      <c r="G1143" t="s">
        <v>61</v>
      </c>
      <c r="H1143" t="s">
        <v>62</v>
      </c>
      <c r="I1143" t="s">
        <v>63</v>
      </c>
      <c r="J1143" t="s">
        <v>72</v>
      </c>
      <c r="K1143">
        <v>7</v>
      </c>
      <c r="L1143" s="4">
        <v>44500</v>
      </c>
      <c r="M1143">
        <v>20</v>
      </c>
      <c r="N1143" s="4">
        <v>249200</v>
      </c>
      <c r="O1143" t="s">
        <v>25</v>
      </c>
      <c r="Q1143" t="s">
        <v>26</v>
      </c>
      <c r="R1143">
        <v>0</v>
      </c>
    </row>
    <row r="1144" spans="1:18" x14ac:dyDescent="0.3">
      <c r="A1144" t="s">
        <v>2591</v>
      </c>
      <c r="B1144" s="1">
        <v>46197</v>
      </c>
      <c r="C1144" t="s">
        <v>38</v>
      </c>
      <c r="D1144" t="s">
        <v>20</v>
      </c>
      <c r="E1144">
        <v>21</v>
      </c>
      <c r="F1144" t="s">
        <v>44</v>
      </c>
      <c r="G1144" t="s">
        <v>45</v>
      </c>
      <c r="H1144" t="s">
        <v>46</v>
      </c>
      <c r="I1144" t="s">
        <v>79</v>
      </c>
      <c r="J1144" t="s">
        <v>80</v>
      </c>
      <c r="K1144">
        <v>6</v>
      </c>
      <c r="L1144" s="4">
        <v>12100</v>
      </c>
      <c r="M1144">
        <v>10</v>
      </c>
      <c r="N1144" s="4">
        <v>65340</v>
      </c>
      <c r="O1144" t="s">
        <v>3293</v>
      </c>
      <c r="Q1144" t="s">
        <v>65</v>
      </c>
      <c r="R1144">
        <v>0</v>
      </c>
    </row>
    <row r="1145" spans="1:18" x14ac:dyDescent="0.3">
      <c r="A1145" t="s">
        <v>2593</v>
      </c>
      <c r="B1145" s="1">
        <v>45927</v>
      </c>
      <c r="C1145" t="s">
        <v>121</v>
      </c>
      <c r="D1145" t="s">
        <v>39</v>
      </c>
      <c r="E1145">
        <v>45</v>
      </c>
      <c r="F1145" t="s">
        <v>77</v>
      </c>
      <c r="G1145" t="s">
        <v>78</v>
      </c>
      <c r="H1145" t="s">
        <v>46</v>
      </c>
      <c r="I1145" t="s">
        <v>79</v>
      </c>
      <c r="J1145" t="s">
        <v>64</v>
      </c>
      <c r="K1145">
        <v>10</v>
      </c>
      <c r="L1145" s="4">
        <v>44500</v>
      </c>
      <c r="M1145">
        <v>5</v>
      </c>
      <c r="N1145" s="4">
        <v>422750</v>
      </c>
      <c r="O1145" t="s">
        <v>85</v>
      </c>
      <c r="P1145">
        <v>2</v>
      </c>
      <c r="Q1145" t="s">
        <v>26</v>
      </c>
      <c r="R1145">
        <v>0</v>
      </c>
    </row>
    <row r="1146" spans="1:18" x14ac:dyDescent="0.3">
      <c r="A1146" t="s">
        <v>2594</v>
      </c>
      <c r="B1146" s="1">
        <v>45791</v>
      </c>
      <c r="C1146" t="s">
        <v>38</v>
      </c>
      <c r="D1146" t="s">
        <v>39</v>
      </c>
      <c r="E1146">
        <v>49</v>
      </c>
      <c r="F1146" t="s">
        <v>21</v>
      </c>
      <c r="G1146" t="s">
        <v>21</v>
      </c>
      <c r="H1146" t="s">
        <v>32</v>
      </c>
      <c r="I1146" t="s">
        <v>53</v>
      </c>
      <c r="J1146" t="s">
        <v>64</v>
      </c>
      <c r="K1146">
        <v>9</v>
      </c>
      <c r="L1146" s="4">
        <v>43400</v>
      </c>
      <c r="M1146">
        <v>0</v>
      </c>
      <c r="N1146" s="4">
        <v>390600</v>
      </c>
      <c r="O1146" t="s">
        <v>85</v>
      </c>
      <c r="P1146">
        <v>3</v>
      </c>
      <c r="Q1146" t="s">
        <v>26</v>
      </c>
      <c r="R1146">
        <v>0</v>
      </c>
    </row>
    <row r="1147" spans="1:18" x14ac:dyDescent="0.3">
      <c r="A1147" t="s">
        <v>2596</v>
      </c>
      <c r="B1147" s="1">
        <v>45984</v>
      </c>
      <c r="C1147" t="s">
        <v>60</v>
      </c>
      <c r="D1147" t="s">
        <v>20</v>
      </c>
      <c r="E1147">
        <v>21</v>
      </c>
      <c r="F1147" t="s">
        <v>61</v>
      </c>
      <c r="G1147" t="s">
        <v>61</v>
      </c>
      <c r="H1147" t="s">
        <v>46</v>
      </c>
      <c r="I1147" t="s">
        <v>79</v>
      </c>
      <c r="J1147" t="s">
        <v>64</v>
      </c>
      <c r="K1147">
        <v>10</v>
      </c>
      <c r="L1147" s="4">
        <v>35000</v>
      </c>
      <c r="M1147">
        <v>20</v>
      </c>
      <c r="N1147" s="4">
        <v>280000</v>
      </c>
      <c r="O1147" t="s">
        <v>85</v>
      </c>
      <c r="P1147">
        <v>2</v>
      </c>
      <c r="Q1147" t="s">
        <v>41</v>
      </c>
      <c r="R1147">
        <v>1</v>
      </c>
    </row>
    <row r="1148" spans="1:18" x14ac:dyDescent="0.3">
      <c r="A1148" t="s">
        <v>2597</v>
      </c>
      <c r="B1148" s="1">
        <v>46113</v>
      </c>
      <c r="C1148" t="s">
        <v>19</v>
      </c>
      <c r="D1148" t="s">
        <v>39</v>
      </c>
      <c r="E1148">
        <v>50</v>
      </c>
      <c r="F1148" t="s">
        <v>51</v>
      </c>
      <c r="G1148" t="s">
        <v>52</v>
      </c>
      <c r="H1148" t="s">
        <v>32</v>
      </c>
      <c r="I1148" t="s">
        <v>53</v>
      </c>
      <c r="J1148" t="s">
        <v>72</v>
      </c>
      <c r="K1148">
        <v>6</v>
      </c>
      <c r="L1148" s="4">
        <v>19500</v>
      </c>
      <c r="M1148">
        <v>0</v>
      </c>
      <c r="N1148" s="4">
        <v>117000</v>
      </c>
      <c r="O1148" t="s">
        <v>25</v>
      </c>
      <c r="Q1148" t="s">
        <v>74</v>
      </c>
      <c r="R1148">
        <v>0</v>
      </c>
    </row>
    <row r="1149" spans="1:18" x14ac:dyDescent="0.3">
      <c r="A1149" t="s">
        <v>2598</v>
      </c>
      <c r="B1149" s="1">
        <v>46109</v>
      </c>
      <c r="C1149" t="s">
        <v>94</v>
      </c>
      <c r="D1149" t="s">
        <v>39</v>
      </c>
      <c r="E1149">
        <v>47</v>
      </c>
      <c r="F1149" t="s">
        <v>44</v>
      </c>
      <c r="G1149" t="s">
        <v>45</v>
      </c>
      <c r="H1149" t="s">
        <v>32</v>
      </c>
      <c r="I1149" t="s">
        <v>53</v>
      </c>
      <c r="J1149" t="s">
        <v>34</v>
      </c>
      <c r="K1149">
        <v>9</v>
      </c>
      <c r="L1149" s="4">
        <v>30100</v>
      </c>
      <c r="M1149">
        <v>20</v>
      </c>
      <c r="N1149" s="4">
        <v>216720</v>
      </c>
      <c r="O1149" t="s">
        <v>25</v>
      </c>
      <c r="P1149">
        <v>2</v>
      </c>
      <c r="Q1149" t="s">
        <v>65</v>
      </c>
      <c r="R1149">
        <v>0</v>
      </c>
    </row>
    <row r="1150" spans="1:18" x14ac:dyDescent="0.3">
      <c r="A1150" t="s">
        <v>2599</v>
      </c>
      <c r="B1150" s="1">
        <v>46102</v>
      </c>
      <c r="C1150" t="s">
        <v>94</v>
      </c>
      <c r="D1150" t="s">
        <v>20</v>
      </c>
      <c r="E1150">
        <v>49</v>
      </c>
      <c r="F1150" t="s">
        <v>51</v>
      </c>
      <c r="G1150" t="s">
        <v>52</v>
      </c>
      <c r="H1150" t="s">
        <v>22</v>
      </c>
      <c r="I1150" t="s">
        <v>84</v>
      </c>
      <c r="J1150" t="s">
        <v>24</v>
      </c>
      <c r="K1150">
        <v>10</v>
      </c>
      <c r="L1150" s="4">
        <v>9600</v>
      </c>
      <c r="M1150">
        <v>0</v>
      </c>
      <c r="N1150" s="4">
        <v>96000</v>
      </c>
      <c r="O1150" t="s">
        <v>25</v>
      </c>
      <c r="P1150">
        <v>2</v>
      </c>
      <c r="Q1150" t="s">
        <v>26</v>
      </c>
      <c r="R1150">
        <v>0</v>
      </c>
    </row>
    <row r="1151" spans="1:18" x14ac:dyDescent="0.3">
      <c r="A1151" t="s">
        <v>2602</v>
      </c>
      <c r="B1151" s="1">
        <v>46148</v>
      </c>
      <c r="C1151" t="s">
        <v>60</v>
      </c>
      <c r="D1151" t="s">
        <v>20</v>
      </c>
      <c r="E1151">
        <v>49</v>
      </c>
      <c r="F1151" t="s">
        <v>44</v>
      </c>
      <c r="G1151" t="s">
        <v>100</v>
      </c>
      <c r="H1151" t="s">
        <v>22</v>
      </c>
      <c r="I1151" t="s">
        <v>23</v>
      </c>
      <c r="J1151" t="s">
        <v>72</v>
      </c>
      <c r="K1151">
        <v>8</v>
      </c>
      <c r="L1151" s="4">
        <v>14200</v>
      </c>
      <c r="M1151">
        <v>5</v>
      </c>
      <c r="N1151" s="4">
        <v>107920</v>
      </c>
      <c r="O1151" t="s">
        <v>25</v>
      </c>
      <c r="Q1151" t="s">
        <v>26</v>
      </c>
      <c r="R1151">
        <v>0</v>
      </c>
    </row>
    <row r="1152" spans="1:18" x14ac:dyDescent="0.3">
      <c r="A1152" t="s">
        <v>2604</v>
      </c>
      <c r="B1152" s="1">
        <v>45980</v>
      </c>
      <c r="C1152" t="s">
        <v>121</v>
      </c>
      <c r="D1152" t="s">
        <v>20</v>
      </c>
      <c r="E1152">
        <v>58</v>
      </c>
      <c r="F1152" t="s">
        <v>44</v>
      </c>
      <c r="G1152" t="s">
        <v>100</v>
      </c>
      <c r="H1152" t="s">
        <v>46</v>
      </c>
      <c r="I1152" t="s">
        <v>47</v>
      </c>
      <c r="J1152" t="s">
        <v>64</v>
      </c>
      <c r="K1152">
        <v>6</v>
      </c>
      <c r="L1152" s="4">
        <v>20400</v>
      </c>
      <c r="M1152">
        <v>15</v>
      </c>
      <c r="N1152" s="4">
        <v>104040</v>
      </c>
      <c r="O1152" t="s">
        <v>73</v>
      </c>
      <c r="P1152">
        <v>2</v>
      </c>
      <c r="Q1152" t="s">
        <v>41</v>
      </c>
      <c r="R1152">
        <v>1</v>
      </c>
    </row>
    <row r="1153" spans="1:18" x14ac:dyDescent="0.3">
      <c r="A1153" t="s">
        <v>2605</v>
      </c>
      <c r="B1153" s="1">
        <v>46028</v>
      </c>
      <c r="C1153" t="s">
        <v>60</v>
      </c>
      <c r="D1153" t="s">
        <v>20</v>
      </c>
      <c r="E1153">
        <v>40</v>
      </c>
      <c r="F1153" t="s">
        <v>51</v>
      </c>
      <c r="G1153" t="s">
        <v>104</v>
      </c>
      <c r="H1153" t="s">
        <v>62</v>
      </c>
      <c r="I1153" t="s">
        <v>140</v>
      </c>
      <c r="J1153" t="s">
        <v>72</v>
      </c>
      <c r="K1153">
        <v>3</v>
      </c>
      <c r="L1153" s="4">
        <v>32400</v>
      </c>
      <c r="M1153">
        <v>5</v>
      </c>
      <c r="N1153" s="4">
        <v>92340</v>
      </c>
      <c r="O1153" t="s">
        <v>85</v>
      </c>
      <c r="P1153">
        <v>1</v>
      </c>
      <c r="Q1153" t="s">
        <v>26</v>
      </c>
      <c r="R1153">
        <v>0</v>
      </c>
    </row>
    <row r="1154" spans="1:18" x14ac:dyDescent="0.3">
      <c r="A1154" t="s">
        <v>2607</v>
      </c>
      <c r="B1154" s="1">
        <v>45702</v>
      </c>
      <c r="C1154" t="s">
        <v>94</v>
      </c>
      <c r="D1154" t="s">
        <v>3292</v>
      </c>
      <c r="E1154">
        <v>42</v>
      </c>
      <c r="F1154" t="s">
        <v>30</v>
      </c>
      <c r="G1154" t="s">
        <v>57</v>
      </c>
      <c r="H1154" t="s">
        <v>22</v>
      </c>
      <c r="I1154" t="s">
        <v>84</v>
      </c>
      <c r="J1154" t="s">
        <v>80</v>
      </c>
      <c r="K1154">
        <v>5</v>
      </c>
      <c r="L1154" s="4">
        <v>16700</v>
      </c>
      <c r="M1154">
        <v>0</v>
      </c>
      <c r="N1154" s="4">
        <v>83500</v>
      </c>
      <c r="O1154" t="s">
        <v>73</v>
      </c>
      <c r="P1154">
        <v>5</v>
      </c>
      <c r="Q1154" t="s">
        <v>74</v>
      </c>
      <c r="R1154">
        <v>0</v>
      </c>
    </row>
    <row r="1155" spans="1:18" x14ac:dyDescent="0.3">
      <c r="A1155" t="s">
        <v>2609</v>
      </c>
      <c r="B1155" s="1">
        <v>46042</v>
      </c>
      <c r="C1155" t="s">
        <v>94</v>
      </c>
      <c r="D1155" t="s">
        <v>20</v>
      </c>
      <c r="E1155">
        <v>27</v>
      </c>
      <c r="F1155" t="s">
        <v>44</v>
      </c>
      <c r="G1155" t="s">
        <v>100</v>
      </c>
      <c r="H1155" t="s">
        <v>46</v>
      </c>
      <c r="I1155" t="s">
        <v>79</v>
      </c>
      <c r="J1155" t="s">
        <v>34</v>
      </c>
      <c r="K1155">
        <v>6</v>
      </c>
      <c r="L1155" s="4">
        <v>7600</v>
      </c>
      <c r="M1155">
        <v>0</v>
      </c>
      <c r="N1155" s="4">
        <v>45600</v>
      </c>
      <c r="O1155" t="s">
        <v>73</v>
      </c>
      <c r="P1155">
        <v>2</v>
      </c>
      <c r="Q1155" t="s">
        <v>65</v>
      </c>
      <c r="R1155">
        <v>0</v>
      </c>
    </row>
    <row r="1156" spans="1:18" x14ac:dyDescent="0.3">
      <c r="A1156" t="s">
        <v>2611</v>
      </c>
      <c r="B1156" s="1">
        <v>45758</v>
      </c>
      <c r="C1156" t="s">
        <v>68</v>
      </c>
      <c r="D1156" t="s">
        <v>20</v>
      </c>
      <c r="E1156">
        <v>52</v>
      </c>
      <c r="F1156" t="s">
        <v>44</v>
      </c>
      <c r="G1156" t="s">
        <v>45</v>
      </c>
      <c r="H1156" t="s">
        <v>62</v>
      </c>
      <c r="I1156" t="s">
        <v>140</v>
      </c>
      <c r="J1156" t="s">
        <v>72</v>
      </c>
      <c r="K1156">
        <v>7</v>
      </c>
      <c r="L1156" s="4">
        <v>37100</v>
      </c>
      <c r="M1156">
        <v>5</v>
      </c>
      <c r="N1156" s="4">
        <v>246715</v>
      </c>
      <c r="O1156" t="s">
        <v>73</v>
      </c>
      <c r="P1156">
        <v>3</v>
      </c>
      <c r="Q1156" t="s">
        <v>65</v>
      </c>
      <c r="R1156">
        <v>0</v>
      </c>
    </row>
    <row r="1157" spans="1:18" x14ac:dyDescent="0.3">
      <c r="A1157" t="s">
        <v>2612</v>
      </c>
      <c r="B1157" s="1">
        <v>46137</v>
      </c>
      <c r="C1157" t="s">
        <v>38</v>
      </c>
      <c r="D1157" t="s">
        <v>20</v>
      </c>
      <c r="E1157">
        <v>37</v>
      </c>
      <c r="F1157" t="s">
        <v>61</v>
      </c>
      <c r="G1157" t="s">
        <v>61</v>
      </c>
      <c r="H1157" t="s">
        <v>32</v>
      </c>
      <c r="I1157" t="s">
        <v>53</v>
      </c>
      <c r="J1157" t="s">
        <v>34</v>
      </c>
      <c r="K1157">
        <v>10</v>
      </c>
      <c r="L1157" s="4">
        <v>8000</v>
      </c>
      <c r="M1157">
        <v>20</v>
      </c>
      <c r="N1157" s="4">
        <v>64000</v>
      </c>
      <c r="O1157" t="s">
        <v>73</v>
      </c>
      <c r="P1157">
        <v>1</v>
      </c>
      <c r="Q1157" t="s">
        <v>65</v>
      </c>
      <c r="R1157">
        <v>0</v>
      </c>
    </row>
    <row r="1158" spans="1:18" x14ac:dyDescent="0.3">
      <c r="A1158" t="s">
        <v>2616</v>
      </c>
      <c r="B1158" s="1">
        <v>45675</v>
      </c>
      <c r="C1158" t="s">
        <v>29</v>
      </c>
      <c r="D1158" t="s">
        <v>20</v>
      </c>
      <c r="E1158">
        <v>46</v>
      </c>
      <c r="F1158" t="s">
        <v>44</v>
      </c>
      <c r="G1158" t="s">
        <v>100</v>
      </c>
      <c r="H1158" t="s">
        <v>62</v>
      </c>
      <c r="I1158" t="s">
        <v>63</v>
      </c>
      <c r="J1158" t="s">
        <v>64</v>
      </c>
      <c r="K1158">
        <v>6</v>
      </c>
      <c r="L1158" s="4">
        <v>17700</v>
      </c>
      <c r="M1158">
        <v>5</v>
      </c>
      <c r="N1158" s="4">
        <v>100890</v>
      </c>
      <c r="O1158" t="s">
        <v>73</v>
      </c>
      <c r="P1158">
        <v>2</v>
      </c>
      <c r="Q1158" t="s">
        <v>65</v>
      </c>
      <c r="R1158">
        <v>0</v>
      </c>
    </row>
    <row r="1159" spans="1:18" x14ac:dyDescent="0.3">
      <c r="A1159" t="s">
        <v>2620</v>
      </c>
      <c r="B1159" s="1">
        <v>45698</v>
      </c>
      <c r="C1159" t="s">
        <v>113</v>
      </c>
      <c r="D1159" t="s">
        <v>3292</v>
      </c>
      <c r="E1159">
        <v>36</v>
      </c>
      <c r="F1159" t="s">
        <v>30</v>
      </c>
      <c r="G1159" t="s">
        <v>31</v>
      </c>
      <c r="H1159" t="s">
        <v>46</v>
      </c>
      <c r="I1159" t="s">
        <v>47</v>
      </c>
      <c r="J1159" t="s">
        <v>24</v>
      </c>
      <c r="K1159">
        <v>7</v>
      </c>
      <c r="L1159" s="4">
        <v>31400</v>
      </c>
      <c r="M1159">
        <v>20</v>
      </c>
      <c r="N1159" s="4">
        <v>175840</v>
      </c>
      <c r="O1159" t="s">
        <v>73</v>
      </c>
      <c r="Q1159" t="s">
        <v>41</v>
      </c>
      <c r="R1159">
        <v>1</v>
      </c>
    </row>
    <row r="1160" spans="1:18" x14ac:dyDescent="0.3">
      <c r="A1160" t="s">
        <v>2621</v>
      </c>
      <c r="B1160" s="1">
        <v>46063</v>
      </c>
      <c r="C1160" t="s">
        <v>94</v>
      </c>
      <c r="D1160" t="s">
        <v>20</v>
      </c>
      <c r="E1160">
        <v>59</v>
      </c>
      <c r="F1160" t="s">
        <v>21</v>
      </c>
      <c r="G1160" t="s">
        <v>21</v>
      </c>
      <c r="H1160" t="s">
        <v>62</v>
      </c>
      <c r="I1160" t="s">
        <v>140</v>
      </c>
      <c r="J1160" t="s">
        <v>24</v>
      </c>
      <c r="K1160">
        <v>8</v>
      </c>
      <c r="L1160" s="4">
        <v>14000</v>
      </c>
      <c r="M1160">
        <v>5</v>
      </c>
      <c r="N1160" s="4">
        <v>106400</v>
      </c>
      <c r="O1160" t="s">
        <v>73</v>
      </c>
      <c r="P1160">
        <v>5</v>
      </c>
      <c r="Q1160" t="s">
        <v>26</v>
      </c>
      <c r="R1160">
        <v>0</v>
      </c>
    </row>
    <row r="1161" spans="1:18" x14ac:dyDescent="0.3">
      <c r="A1161" t="s">
        <v>2623</v>
      </c>
      <c r="B1161" s="1">
        <v>46046</v>
      </c>
      <c r="C1161" t="s">
        <v>29</v>
      </c>
      <c r="D1161" t="s">
        <v>3292</v>
      </c>
      <c r="E1161">
        <v>24</v>
      </c>
      <c r="F1161" t="s">
        <v>51</v>
      </c>
      <c r="G1161" t="s">
        <v>104</v>
      </c>
      <c r="H1161" t="s">
        <v>22</v>
      </c>
      <c r="I1161" t="s">
        <v>84</v>
      </c>
      <c r="J1161" t="s">
        <v>64</v>
      </c>
      <c r="K1161">
        <v>5</v>
      </c>
      <c r="L1161" s="4">
        <v>16100</v>
      </c>
      <c r="M1161">
        <v>0</v>
      </c>
      <c r="N1161" s="4">
        <v>80500</v>
      </c>
      <c r="O1161" t="s">
        <v>85</v>
      </c>
      <c r="Q1161" t="s">
        <v>26</v>
      </c>
      <c r="R1161">
        <v>0</v>
      </c>
    </row>
    <row r="1162" spans="1:18" x14ac:dyDescent="0.3">
      <c r="A1162" t="s">
        <v>2625</v>
      </c>
      <c r="B1162" s="1">
        <v>45978</v>
      </c>
      <c r="C1162" t="s">
        <v>88</v>
      </c>
      <c r="D1162" t="s">
        <v>3292</v>
      </c>
      <c r="E1162">
        <v>43</v>
      </c>
      <c r="F1162" t="s">
        <v>77</v>
      </c>
      <c r="G1162" t="s">
        <v>78</v>
      </c>
      <c r="H1162" t="s">
        <v>22</v>
      </c>
      <c r="I1162" t="s">
        <v>84</v>
      </c>
      <c r="J1162" t="s">
        <v>24</v>
      </c>
      <c r="K1162">
        <v>3</v>
      </c>
      <c r="L1162" s="4">
        <v>28900</v>
      </c>
      <c r="M1162">
        <v>15</v>
      </c>
      <c r="N1162" s="4">
        <v>73695</v>
      </c>
      <c r="O1162" t="s">
        <v>73</v>
      </c>
      <c r="P1162">
        <v>4</v>
      </c>
      <c r="Q1162" t="s">
        <v>74</v>
      </c>
      <c r="R1162">
        <v>0</v>
      </c>
    </row>
    <row r="1163" spans="1:18" x14ac:dyDescent="0.3">
      <c r="A1163" t="s">
        <v>2626</v>
      </c>
      <c r="B1163" s="1">
        <v>45788</v>
      </c>
      <c r="C1163" t="s">
        <v>88</v>
      </c>
      <c r="D1163" t="s">
        <v>20</v>
      </c>
      <c r="E1163">
        <v>42</v>
      </c>
      <c r="F1163" t="s">
        <v>77</v>
      </c>
      <c r="G1163" t="s">
        <v>95</v>
      </c>
      <c r="H1163" t="s">
        <v>62</v>
      </c>
      <c r="I1163" t="s">
        <v>63</v>
      </c>
      <c r="J1163" t="s">
        <v>64</v>
      </c>
      <c r="K1163">
        <v>8</v>
      </c>
      <c r="L1163" s="4">
        <v>44500</v>
      </c>
      <c r="M1163">
        <v>0</v>
      </c>
      <c r="N1163" s="4">
        <v>356000</v>
      </c>
      <c r="O1163" t="s">
        <v>85</v>
      </c>
      <c r="P1163">
        <v>3</v>
      </c>
      <c r="Q1163" t="s">
        <v>41</v>
      </c>
      <c r="R1163">
        <v>1</v>
      </c>
    </row>
    <row r="1164" spans="1:18" x14ac:dyDescent="0.3">
      <c r="A1164" t="s">
        <v>2630</v>
      </c>
      <c r="B1164" s="1">
        <v>45899</v>
      </c>
      <c r="C1164" t="s">
        <v>19</v>
      </c>
      <c r="D1164" t="s">
        <v>20</v>
      </c>
      <c r="E1164">
        <v>36</v>
      </c>
      <c r="F1164" t="s">
        <v>77</v>
      </c>
      <c r="G1164" t="s">
        <v>95</v>
      </c>
      <c r="H1164" t="s">
        <v>46</v>
      </c>
      <c r="I1164" t="s">
        <v>47</v>
      </c>
      <c r="J1164" t="s">
        <v>80</v>
      </c>
      <c r="K1164">
        <v>10</v>
      </c>
      <c r="L1164" s="4">
        <v>47100</v>
      </c>
      <c r="M1164">
        <v>5</v>
      </c>
      <c r="N1164" s="4">
        <v>447450</v>
      </c>
      <c r="O1164" t="s">
        <v>25</v>
      </c>
      <c r="P1164">
        <v>2</v>
      </c>
      <c r="Q1164" t="s">
        <v>26</v>
      </c>
      <c r="R1164">
        <v>0</v>
      </c>
    </row>
    <row r="1165" spans="1:18" x14ac:dyDescent="0.3">
      <c r="A1165" t="s">
        <v>2633</v>
      </c>
      <c r="B1165" s="1">
        <v>45934</v>
      </c>
      <c r="C1165" t="s">
        <v>60</v>
      </c>
      <c r="D1165" t="s">
        <v>20</v>
      </c>
      <c r="E1165">
        <v>27</v>
      </c>
      <c r="F1165" t="s">
        <v>44</v>
      </c>
      <c r="G1165" t="s">
        <v>100</v>
      </c>
      <c r="H1165" t="s">
        <v>22</v>
      </c>
      <c r="I1165" t="s">
        <v>23</v>
      </c>
      <c r="J1165" t="s">
        <v>72</v>
      </c>
      <c r="K1165">
        <v>6</v>
      </c>
      <c r="L1165" s="4">
        <v>24600</v>
      </c>
      <c r="M1165">
        <v>10</v>
      </c>
      <c r="N1165" s="4">
        <v>132840</v>
      </c>
      <c r="O1165" t="s">
        <v>25</v>
      </c>
      <c r="P1165">
        <v>4</v>
      </c>
      <c r="Q1165" t="s">
        <v>65</v>
      </c>
      <c r="R1165">
        <v>0</v>
      </c>
    </row>
    <row r="1166" spans="1:18" x14ac:dyDescent="0.3">
      <c r="A1166" t="s">
        <v>2634</v>
      </c>
      <c r="B1166" s="1">
        <v>45923</v>
      </c>
      <c r="C1166" t="s">
        <v>68</v>
      </c>
      <c r="D1166" t="s">
        <v>20</v>
      </c>
      <c r="E1166">
        <v>60</v>
      </c>
      <c r="F1166" t="s">
        <v>44</v>
      </c>
      <c r="G1166" t="s">
        <v>100</v>
      </c>
      <c r="H1166" t="s">
        <v>46</v>
      </c>
      <c r="I1166" t="s">
        <v>79</v>
      </c>
      <c r="J1166" t="s">
        <v>72</v>
      </c>
      <c r="K1166">
        <v>10</v>
      </c>
      <c r="L1166" s="4">
        <v>37800</v>
      </c>
      <c r="M1166">
        <v>10</v>
      </c>
      <c r="N1166" s="4">
        <v>340200</v>
      </c>
      <c r="O1166" t="s">
        <v>85</v>
      </c>
      <c r="P1166">
        <v>5</v>
      </c>
      <c r="Q1166" t="s">
        <v>26</v>
      </c>
      <c r="R1166">
        <v>0</v>
      </c>
    </row>
    <row r="1167" spans="1:18" x14ac:dyDescent="0.3">
      <c r="A1167" t="s">
        <v>2635</v>
      </c>
      <c r="B1167" s="1">
        <v>45752</v>
      </c>
      <c r="C1167" t="s">
        <v>60</v>
      </c>
      <c r="D1167" t="s">
        <v>39</v>
      </c>
      <c r="E1167">
        <v>20</v>
      </c>
      <c r="F1167" t="s">
        <v>44</v>
      </c>
      <c r="G1167" t="s">
        <v>45</v>
      </c>
      <c r="H1167" t="s">
        <v>22</v>
      </c>
      <c r="I1167" t="s">
        <v>84</v>
      </c>
      <c r="J1167" t="s">
        <v>89</v>
      </c>
      <c r="K1167">
        <v>3</v>
      </c>
      <c r="L1167" s="4">
        <v>17300</v>
      </c>
      <c r="M1167">
        <v>10</v>
      </c>
      <c r="N1167" s="4">
        <v>46710</v>
      </c>
      <c r="O1167" t="s">
        <v>25</v>
      </c>
      <c r="P1167">
        <v>3</v>
      </c>
      <c r="Q1167" t="s">
        <v>65</v>
      </c>
      <c r="R1167">
        <v>0</v>
      </c>
    </row>
    <row r="1168" spans="1:18" x14ac:dyDescent="0.3">
      <c r="A1168" t="s">
        <v>2637</v>
      </c>
      <c r="B1168" s="1">
        <v>46197</v>
      </c>
      <c r="C1168" t="s">
        <v>29</v>
      </c>
      <c r="D1168" t="s">
        <v>39</v>
      </c>
      <c r="E1168">
        <v>53</v>
      </c>
      <c r="F1168" t="s">
        <v>44</v>
      </c>
      <c r="G1168" t="s">
        <v>100</v>
      </c>
      <c r="H1168" t="s">
        <v>46</v>
      </c>
      <c r="I1168" t="s">
        <v>47</v>
      </c>
      <c r="J1168" t="s">
        <v>64</v>
      </c>
      <c r="K1168">
        <v>9</v>
      </c>
      <c r="L1168" s="4">
        <v>26400</v>
      </c>
      <c r="M1168">
        <v>0</v>
      </c>
      <c r="N1168" s="4">
        <v>237600</v>
      </c>
      <c r="O1168" t="s">
        <v>85</v>
      </c>
      <c r="Q1168" t="s">
        <v>26</v>
      </c>
      <c r="R1168">
        <v>0</v>
      </c>
    </row>
    <row r="1169" spans="1:18" x14ac:dyDescent="0.3">
      <c r="A1169" t="s">
        <v>2638</v>
      </c>
      <c r="B1169" s="1">
        <v>46006</v>
      </c>
      <c r="C1169" t="s">
        <v>113</v>
      </c>
      <c r="D1169" t="s">
        <v>20</v>
      </c>
      <c r="E1169">
        <v>19</v>
      </c>
      <c r="F1169" t="s">
        <v>44</v>
      </c>
      <c r="G1169" t="s">
        <v>100</v>
      </c>
      <c r="H1169" t="s">
        <v>22</v>
      </c>
      <c r="I1169" t="s">
        <v>84</v>
      </c>
      <c r="J1169" t="s">
        <v>24</v>
      </c>
      <c r="K1169">
        <v>10</v>
      </c>
      <c r="L1169" s="4">
        <v>23200</v>
      </c>
      <c r="M1169">
        <v>15</v>
      </c>
      <c r="N1169" s="4">
        <v>197200</v>
      </c>
      <c r="O1169" t="s">
        <v>85</v>
      </c>
      <c r="P1169">
        <v>2</v>
      </c>
      <c r="Q1169" t="s">
        <v>41</v>
      </c>
      <c r="R1169">
        <v>1</v>
      </c>
    </row>
    <row r="1170" spans="1:18" x14ac:dyDescent="0.3">
      <c r="A1170" t="s">
        <v>2640</v>
      </c>
      <c r="B1170" s="1">
        <v>45785</v>
      </c>
      <c r="C1170" t="s">
        <v>88</v>
      </c>
      <c r="D1170" t="s">
        <v>39</v>
      </c>
      <c r="E1170">
        <v>50</v>
      </c>
      <c r="F1170" t="s">
        <v>30</v>
      </c>
      <c r="G1170" t="s">
        <v>31</v>
      </c>
      <c r="H1170" t="s">
        <v>62</v>
      </c>
      <c r="I1170" t="s">
        <v>140</v>
      </c>
      <c r="J1170" t="s">
        <v>24</v>
      </c>
      <c r="K1170">
        <v>1</v>
      </c>
      <c r="L1170" s="4">
        <v>9300</v>
      </c>
      <c r="M1170">
        <v>25</v>
      </c>
      <c r="N1170" s="4">
        <v>6975</v>
      </c>
      <c r="O1170" t="s">
        <v>73</v>
      </c>
      <c r="P1170">
        <v>4</v>
      </c>
      <c r="Q1170" t="s">
        <v>41</v>
      </c>
      <c r="R1170">
        <v>1</v>
      </c>
    </row>
    <row r="1171" spans="1:18" x14ac:dyDescent="0.3">
      <c r="A1171" t="s">
        <v>2641</v>
      </c>
      <c r="B1171" s="1">
        <v>45663</v>
      </c>
      <c r="C1171" t="s">
        <v>68</v>
      </c>
      <c r="D1171" t="s">
        <v>20</v>
      </c>
      <c r="E1171">
        <v>42</v>
      </c>
      <c r="F1171" t="s">
        <v>21</v>
      </c>
      <c r="G1171" t="s">
        <v>21</v>
      </c>
      <c r="H1171" t="s">
        <v>62</v>
      </c>
      <c r="I1171" t="s">
        <v>63</v>
      </c>
      <c r="J1171" t="s">
        <v>89</v>
      </c>
      <c r="K1171">
        <v>6</v>
      </c>
      <c r="L1171" s="4">
        <v>13000</v>
      </c>
      <c r="M1171">
        <v>15</v>
      </c>
      <c r="N1171" s="4">
        <v>66300</v>
      </c>
      <c r="O1171" t="s">
        <v>73</v>
      </c>
      <c r="P1171">
        <v>1</v>
      </c>
      <c r="Q1171" t="s">
        <v>26</v>
      </c>
      <c r="R1171">
        <v>0</v>
      </c>
    </row>
    <row r="1172" spans="1:18" x14ac:dyDescent="0.3">
      <c r="A1172" t="s">
        <v>2642</v>
      </c>
      <c r="B1172" s="1">
        <v>46025</v>
      </c>
      <c r="C1172" t="s">
        <v>68</v>
      </c>
      <c r="D1172" t="s">
        <v>3292</v>
      </c>
      <c r="E1172">
        <v>23</v>
      </c>
      <c r="F1172" t="s">
        <v>77</v>
      </c>
      <c r="G1172" t="s">
        <v>95</v>
      </c>
      <c r="H1172" t="s">
        <v>32</v>
      </c>
      <c r="I1172" t="s">
        <v>33</v>
      </c>
      <c r="J1172" t="s">
        <v>24</v>
      </c>
      <c r="K1172">
        <v>3</v>
      </c>
      <c r="L1172" s="4">
        <v>6700</v>
      </c>
      <c r="M1172">
        <v>5</v>
      </c>
      <c r="N1172" s="4">
        <v>19095</v>
      </c>
      <c r="O1172" t="s">
        <v>85</v>
      </c>
      <c r="P1172">
        <v>1</v>
      </c>
      <c r="Q1172" t="s">
        <v>26</v>
      </c>
      <c r="R1172">
        <v>0</v>
      </c>
    </row>
    <row r="1173" spans="1:18" x14ac:dyDescent="0.3">
      <c r="A1173" t="s">
        <v>2644</v>
      </c>
      <c r="B1173" s="1">
        <v>45713</v>
      </c>
      <c r="C1173" t="s">
        <v>38</v>
      </c>
      <c r="D1173" t="s">
        <v>3292</v>
      </c>
      <c r="E1173">
        <v>44</v>
      </c>
      <c r="F1173" t="s">
        <v>44</v>
      </c>
      <c r="G1173" t="s">
        <v>45</v>
      </c>
      <c r="H1173" t="s">
        <v>22</v>
      </c>
      <c r="I1173" t="s">
        <v>84</v>
      </c>
      <c r="J1173" t="s">
        <v>80</v>
      </c>
      <c r="K1173">
        <v>8</v>
      </c>
      <c r="L1173" s="4">
        <v>15800</v>
      </c>
      <c r="M1173">
        <v>25</v>
      </c>
      <c r="N1173" s="4">
        <v>94800</v>
      </c>
      <c r="O1173" t="s">
        <v>73</v>
      </c>
      <c r="Q1173" t="s">
        <v>74</v>
      </c>
      <c r="R1173">
        <v>0</v>
      </c>
    </row>
    <row r="1174" spans="1:18" x14ac:dyDescent="0.3">
      <c r="A1174" t="s">
        <v>2645</v>
      </c>
      <c r="B1174" s="1">
        <v>45726</v>
      </c>
      <c r="C1174" t="s">
        <v>113</v>
      </c>
      <c r="D1174" t="s">
        <v>39</v>
      </c>
      <c r="E1174">
        <v>49</v>
      </c>
      <c r="F1174" t="s">
        <v>21</v>
      </c>
      <c r="G1174" t="s">
        <v>21</v>
      </c>
      <c r="H1174" t="s">
        <v>32</v>
      </c>
      <c r="I1174" t="s">
        <v>53</v>
      </c>
      <c r="J1174" t="s">
        <v>34</v>
      </c>
      <c r="K1174">
        <v>2</v>
      </c>
      <c r="L1174" s="4">
        <v>34800</v>
      </c>
      <c r="M1174">
        <v>10</v>
      </c>
      <c r="N1174" s="4">
        <v>62640</v>
      </c>
      <c r="O1174" t="s">
        <v>73</v>
      </c>
      <c r="P1174">
        <v>5</v>
      </c>
      <c r="Q1174" t="s">
        <v>65</v>
      </c>
      <c r="R1174">
        <v>0</v>
      </c>
    </row>
    <row r="1175" spans="1:18" x14ac:dyDescent="0.3">
      <c r="A1175" t="s">
        <v>2647</v>
      </c>
      <c r="B1175" s="1">
        <v>46180</v>
      </c>
      <c r="C1175" t="s">
        <v>121</v>
      </c>
      <c r="D1175" t="s">
        <v>20</v>
      </c>
      <c r="E1175">
        <v>44</v>
      </c>
      <c r="F1175" t="s">
        <v>30</v>
      </c>
      <c r="G1175" t="s">
        <v>57</v>
      </c>
      <c r="H1175" t="s">
        <v>46</v>
      </c>
      <c r="I1175" t="s">
        <v>79</v>
      </c>
      <c r="J1175" t="s">
        <v>24</v>
      </c>
      <c r="K1175">
        <v>9</v>
      </c>
      <c r="L1175" s="4">
        <v>20600</v>
      </c>
      <c r="M1175">
        <v>15</v>
      </c>
      <c r="N1175" s="4">
        <v>157590</v>
      </c>
      <c r="O1175" t="s">
        <v>85</v>
      </c>
      <c r="P1175">
        <v>3</v>
      </c>
      <c r="Q1175" t="s">
        <v>65</v>
      </c>
      <c r="R1175">
        <v>0</v>
      </c>
    </row>
    <row r="1176" spans="1:18" x14ac:dyDescent="0.3">
      <c r="A1176" t="s">
        <v>2649</v>
      </c>
      <c r="B1176" s="1">
        <v>45973</v>
      </c>
      <c r="C1176" t="s">
        <v>121</v>
      </c>
      <c r="D1176" t="s">
        <v>3292</v>
      </c>
      <c r="E1176">
        <v>45</v>
      </c>
      <c r="F1176" t="s">
        <v>61</v>
      </c>
      <c r="G1176" t="s">
        <v>61</v>
      </c>
      <c r="H1176" t="s">
        <v>62</v>
      </c>
      <c r="I1176" t="s">
        <v>63</v>
      </c>
      <c r="J1176" t="s">
        <v>72</v>
      </c>
      <c r="K1176">
        <v>2</v>
      </c>
      <c r="L1176" s="4">
        <v>13400</v>
      </c>
      <c r="M1176">
        <v>0</v>
      </c>
      <c r="N1176" s="4">
        <v>26800</v>
      </c>
      <c r="O1176" t="s">
        <v>25</v>
      </c>
      <c r="P1176">
        <v>1</v>
      </c>
      <c r="Q1176" t="s">
        <v>26</v>
      </c>
      <c r="R1176">
        <v>0</v>
      </c>
    </row>
    <row r="1177" spans="1:18" x14ac:dyDescent="0.3">
      <c r="A1177" t="s">
        <v>2650</v>
      </c>
      <c r="B1177" s="1">
        <v>45845</v>
      </c>
      <c r="C1177" t="s">
        <v>113</v>
      </c>
      <c r="D1177" t="s">
        <v>20</v>
      </c>
      <c r="E1177">
        <v>31</v>
      </c>
      <c r="F1177" t="s">
        <v>30</v>
      </c>
      <c r="G1177" t="s">
        <v>57</v>
      </c>
      <c r="H1177" t="s">
        <v>22</v>
      </c>
      <c r="I1177" t="s">
        <v>23</v>
      </c>
      <c r="J1177" t="s">
        <v>80</v>
      </c>
      <c r="K1177">
        <v>4</v>
      </c>
      <c r="L1177" s="4">
        <v>25100</v>
      </c>
      <c r="M1177">
        <v>20</v>
      </c>
      <c r="N1177" s="4">
        <v>80320</v>
      </c>
      <c r="O1177" t="s">
        <v>73</v>
      </c>
      <c r="P1177">
        <v>3</v>
      </c>
      <c r="Q1177" t="s">
        <v>26</v>
      </c>
      <c r="R1177">
        <v>0</v>
      </c>
    </row>
    <row r="1178" spans="1:18" x14ac:dyDescent="0.3">
      <c r="A1178" t="s">
        <v>2651</v>
      </c>
      <c r="B1178" s="1">
        <v>45931</v>
      </c>
      <c r="C1178" t="s">
        <v>94</v>
      </c>
      <c r="D1178" t="s">
        <v>20</v>
      </c>
      <c r="E1178">
        <v>46</v>
      </c>
      <c r="F1178" t="s">
        <v>77</v>
      </c>
      <c r="G1178" t="s">
        <v>78</v>
      </c>
      <c r="H1178" t="s">
        <v>22</v>
      </c>
      <c r="I1178" t="s">
        <v>84</v>
      </c>
      <c r="J1178" t="s">
        <v>89</v>
      </c>
      <c r="K1178">
        <v>10</v>
      </c>
      <c r="L1178" s="4">
        <v>10700</v>
      </c>
      <c r="M1178">
        <v>15</v>
      </c>
      <c r="N1178" s="4">
        <v>90950</v>
      </c>
      <c r="O1178" t="s">
        <v>73</v>
      </c>
      <c r="P1178">
        <v>2</v>
      </c>
      <c r="Q1178" t="s">
        <v>41</v>
      </c>
      <c r="R1178">
        <v>1</v>
      </c>
    </row>
    <row r="1179" spans="1:18" x14ac:dyDescent="0.3">
      <c r="A1179" t="s">
        <v>2653</v>
      </c>
      <c r="B1179" s="1">
        <v>45997</v>
      </c>
      <c r="C1179" t="s">
        <v>113</v>
      </c>
      <c r="D1179" t="s">
        <v>39</v>
      </c>
      <c r="E1179">
        <v>46</v>
      </c>
      <c r="F1179" t="s">
        <v>77</v>
      </c>
      <c r="G1179" t="s">
        <v>78</v>
      </c>
      <c r="H1179" t="s">
        <v>62</v>
      </c>
      <c r="I1179" t="s">
        <v>140</v>
      </c>
      <c r="J1179" t="s">
        <v>34</v>
      </c>
      <c r="K1179">
        <v>2</v>
      </c>
      <c r="L1179" s="4">
        <v>12200</v>
      </c>
      <c r="M1179">
        <v>25</v>
      </c>
      <c r="N1179" s="4">
        <v>18300</v>
      </c>
      <c r="O1179" t="s">
        <v>25</v>
      </c>
      <c r="P1179">
        <v>1</v>
      </c>
      <c r="Q1179" t="s">
        <v>65</v>
      </c>
      <c r="R1179">
        <v>0</v>
      </c>
    </row>
    <row r="1180" spans="1:18" x14ac:dyDescent="0.3">
      <c r="A1180" t="s">
        <v>2654</v>
      </c>
      <c r="B1180" s="1">
        <v>46002</v>
      </c>
      <c r="C1180" t="s">
        <v>113</v>
      </c>
      <c r="D1180" t="s">
        <v>39</v>
      </c>
      <c r="E1180">
        <v>55</v>
      </c>
      <c r="F1180" t="s">
        <v>44</v>
      </c>
      <c r="G1180" t="s">
        <v>45</v>
      </c>
      <c r="H1180" t="s">
        <v>62</v>
      </c>
      <c r="I1180" t="s">
        <v>140</v>
      </c>
      <c r="J1180" t="s">
        <v>34</v>
      </c>
      <c r="K1180">
        <v>8</v>
      </c>
      <c r="L1180" s="4">
        <v>48900</v>
      </c>
      <c r="M1180">
        <v>20</v>
      </c>
      <c r="N1180" s="4">
        <v>312960</v>
      </c>
      <c r="O1180" t="s">
        <v>73</v>
      </c>
      <c r="P1180">
        <v>5</v>
      </c>
      <c r="Q1180" t="s">
        <v>74</v>
      </c>
      <c r="R1180">
        <v>0</v>
      </c>
    </row>
    <row r="1181" spans="1:18" x14ac:dyDescent="0.3">
      <c r="A1181" t="s">
        <v>2655</v>
      </c>
      <c r="B1181" s="1">
        <v>45747</v>
      </c>
      <c r="C1181" t="s">
        <v>113</v>
      </c>
      <c r="D1181" t="s">
        <v>20</v>
      </c>
      <c r="E1181">
        <v>39</v>
      </c>
      <c r="F1181" t="s">
        <v>21</v>
      </c>
      <c r="G1181" t="s">
        <v>21</v>
      </c>
      <c r="H1181" t="s">
        <v>22</v>
      </c>
      <c r="I1181" t="s">
        <v>23</v>
      </c>
      <c r="J1181" t="s">
        <v>72</v>
      </c>
      <c r="K1181">
        <v>4</v>
      </c>
      <c r="L1181" s="4">
        <v>5500</v>
      </c>
      <c r="M1181">
        <v>10</v>
      </c>
      <c r="N1181" s="4">
        <v>19800</v>
      </c>
      <c r="O1181" t="s">
        <v>73</v>
      </c>
      <c r="Q1181" t="s">
        <v>41</v>
      </c>
      <c r="R1181">
        <v>1</v>
      </c>
    </row>
    <row r="1182" spans="1:18" x14ac:dyDescent="0.3">
      <c r="A1182" t="s">
        <v>2656</v>
      </c>
      <c r="B1182" s="1">
        <v>46067</v>
      </c>
      <c r="C1182" t="s">
        <v>121</v>
      </c>
      <c r="D1182" t="s">
        <v>39</v>
      </c>
      <c r="E1182">
        <v>34</v>
      </c>
      <c r="F1182" t="s">
        <v>44</v>
      </c>
      <c r="G1182" t="s">
        <v>100</v>
      </c>
      <c r="H1182" t="s">
        <v>46</v>
      </c>
      <c r="I1182" t="s">
        <v>47</v>
      </c>
      <c r="J1182" t="s">
        <v>64</v>
      </c>
      <c r="K1182">
        <v>10</v>
      </c>
      <c r="L1182" s="4">
        <v>33500</v>
      </c>
      <c r="M1182">
        <v>20</v>
      </c>
      <c r="N1182" s="4">
        <v>268000</v>
      </c>
      <c r="O1182" t="s">
        <v>25</v>
      </c>
      <c r="P1182">
        <v>4</v>
      </c>
      <c r="Q1182" t="s">
        <v>74</v>
      </c>
      <c r="R1182">
        <v>0</v>
      </c>
    </row>
    <row r="1183" spans="1:18" x14ac:dyDescent="0.3">
      <c r="A1183" t="s">
        <v>2659</v>
      </c>
      <c r="B1183" s="1">
        <v>46206</v>
      </c>
      <c r="C1183" t="s">
        <v>38</v>
      </c>
      <c r="D1183" t="s">
        <v>20</v>
      </c>
      <c r="E1183">
        <v>49</v>
      </c>
      <c r="F1183" t="s">
        <v>21</v>
      </c>
      <c r="G1183" t="s">
        <v>21</v>
      </c>
      <c r="H1183" t="s">
        <v>22</v>
      </c>
      <c r="I1183" t="s">
        <v>84</v>
      </c>
      <c r="J1183" t="s">
        <v>24</v>
      </c>
      <c r="K1183">
        <v>7</v>
      </c>
      <c r="L1183" s="4">
        <v>41700</v>
      </c>
      <c r="M1183">
        <v>10</v>
      </c>
      <c r="N1183" s="4">
        <v>262710</v>
      </c>
      <c r="O1183" t="s">
        <v>25</v>
      </c>
      <c r="P1183">
        <v>5</v>
      </c>
      <c r="Q1183" t="s">
        <v>26</v>
      </c>
      <c r="R1183">
        <v>0</v>
      </c>
    </row>
    <row r="1184" spans="1:18" x14ac:dyDescent="0.3">
      <c r="A1184" t="s">
        <v>2660</v>
      </c>
      <c r="B1184" s="1">
        <v>46165</v>
      </c>
      <c r="C1184" t="s">
        <v>71</v>
      </c>
      <c r="D1184" t="s">
        <v>20</v>
      </c>
      <c r="E1184">
        <v>30</v>
      </c>
      <c r="F1184" t="s">
        <v>51</v>
      </c>
      <c r="G1184" t="s">
        <v>104</v>
      </c>
      <c r="H1184" t="s">
        <v>22</v>
      </c>
      <c r="I1184" t="s">
        <v>23</v>
      </c>
      <c r="J1184" t="s">
        <v>72</v>
      </c>
      <c r="K1184">
        <v>2</v>
      </c>
      <c r="L1184" s="4">
        <v>9200</v>
      </c>
      <c r="M1184">
        <v>15</v>
      </c>
      <c r="N1184" s="4">
        <v>15640</v>
      </c>
      <c r="O1184" t="s">
        <v>73</v>
      </c>
      <c r="P1184">
        <v>4</v>
      </c>
      <c r="Q1184" t="s">
        <v>26</v>
      </c>
      <c r="R1184">
        <v>0</v>
      </c>
    </row>
    <row r="1185" spans="1:18" x14ac:dyDescent="0.3">
      <c r="A1185" t="s">
        <v>2662</v>
      </c>
      <c r="B1185" s="1">
        <v>45974</v>
      </c>
      <c r="C1185" t="s">
        <v>38</v>
      </c>
      <c r="D1185" t="s">
        <v>20</v>
      </c>
      <c r="E1185">
        <v>46</v>
      </c>
      <c r="F1185" t="s">
        <v>30</v>
      </c>
      <c r="G1185" t="s">
        <v>31</v>
      </c>
      <c r="H1185" t="s">
        <v>46</v>
      </c>
      <c r="I1185" t="s">
        <v>79</v>
      </c>
      <c r="J1185" t="s">
        <v>34</v>
      </c>
      <c r="K1185">
        <v>5</v>
      </c>
      <c r="L1185" s="4">
        <v>11700</v>
      </c>
      <c r="M1185">
        <v>5</v>
      </c>
      <c r="N1185" s="4">
        <v>55575</v>
      </c>
      <c r="O1185" t="s">
        <v>85</v>
      </c>
      <c r="P1185">
        <v>5</v>
      </c>
      <c r="Q1185" t="s">
        <v>26</v>
      </c>
      <c r="R1185">
        <v>0</v>
      </c>
    </row>
    <row r="1186" spans="1:18" x14ac:dyDescent="0.3">
      <c r="A1186" t="s">
        <v>2663</v>
      </c>
      <c r="B1186" s="1">
        <v>45920</v>
      </c>
      <c r="C1186" t="s">
        <v>60</v>
      </c>
      <c r="D1186" t="s">
        <v>39</v>
      </c>
      <c r="E1186">
        <v>29</v>
      </c>
      <c r="F1186" t="s">
        <v>21</v>
      </c>
      <c r="G1186" t="s">
        <v>21</v>
      </c>
      <c r="H1186" t="s">
        <v>62</v>
      </c>
      <c r="I1186" t="s">
        <v>140</v>
      </c>
      <c r="J1186" t="s">
        <v>64</v>
      </c>
      <c r="K1186">
        <v>6</v>
      </c>
      <c r="L1186" s="4">
        <v>41000</v>
      </c>
      <c r="M1186">
        <v>20</v>
      </c>
      <c r="N1186" s="4">
        <v>196800</v>
      </c>
      <c r="O1186" t="s">
        <v>25</v>
      </c>
      <c r="P1186">
        <v>4</v>
      </c>
      <c r="Q1186" t="s">
        <v>65</v>
      </c>
      <c r="R1186">
        <v>0</v>
      </c>
    </row>
    <row r="1187" spans="1:18" x14ac:dyDescent="0.3">
      <c r="A1187" t="s">
        <v>2665</v>
      </c>
      <c r="B1187" s="1">
        <v>46069</v>
      </c>
      <c r="C1187" t="s">
        <v>60</v>
      </c>
      <c r="D1187" t="s">
        <v>39</v>
      </c>
      <c r="E1187">
        <v>61</v>
      </c>
      <c r="F1187" t="s">
        <v>21</v>
      </c>
      <c r="G1187" t="s">
        <v>21</v>
      </c>
      <c r="H1187" t="s">
        <v>62</v>
      </c>
      <c r="I1187" t="s">
        <v>140</v>
      </c>
      <c r="J1187" t="s">
        <v>72</v>
      </c>
      <c r="K1187">
        <v>1</v>
      </c>
      <c r="L1187" s="4">
        <v>47400</v>
      </c>
      <c r="M1187">
        <v>10</v>
      </c>
      <c r="N1187" s="4">
        <v>42660</v>
      </c>
      <c r="O1187" t="s">
        <v>25</v>
      </c>
      <c r="P1187">
        <v>1</v>
      </c>
      <c r="Q1187" t="s">
        <v>65</v>
      </c>
      <c r="R1187">
        <v>0</v>
      </c>
    </row>
    <row r="1188" spans="1:18" x14ac:dyDescent="0.3">
      <c r="A1188" t="s">
        <v>2666</v>
      </c>
      <c r="B1188" s="1">
        <v>46267</v>
      </c>
      <c r="C1188" t="s">
        <v>88</v>
      </c>
      <c r="D1188" t="s">
        <v>20</v>
      </c>
      <c r="E1188">
        <v>65</v>
      </c>
      <c r="F1188" t="s">
        <v>21</v>
      </c>
      <c r="G1188" t="s">
        <v>21</v>
      </c>
      <c r="H1188" t="s">
        <v>62</v>
      </c>
      <c r="I1188" t="s">
        <v>140</v>
      </c>
      <c r="J1188" t="s">
        <v>64</v>
      </c>
      <c r="K1188">
        <v>8</v>
      </c>
      <c r="L1188" s="4">
        <v>10100</v>
      </c>
      <c r="M1188">
        <v>25</v>
      </c>
      <c r="N1188" s="4">
        <v>60600</v>
      </c>
      <c r="O1188" t="s">
        <v>25</v>
      </c>
      <c r="P1188">
        <v>5</v>
      </c>
      <c r="Q1188" t="s">
        <v>41</v>
      </c>
      <c r="R1188">
        <v>1</v>
      </c>
    </row>
    <row r="1189" spans="1:18" x14ac:dyDescent="0.3">
      <c r="A1189" t="s">
        <v>2668</v>
      </c>
      <c r="B1189" s="1">
        <v>45939</v>
      </c>
      <c r="C1189" t="s">
        <v>19</v>
      </c>
      <c r="D1189" t="s">
        <v>39</v>
      </c>
      <c r="E1189">
        <v>53</v>
      </c>
      <c r="F1189" t="s">
        <v>51</v>
      </c>
      <c r="G1189" t="s">
        <v>52</v>
      </c>
      <c r="H1189" t="s">
        <v>32</v>
      </c>
      <c r="I1189" t="s">
        <v>53</v>
      </c>
      <c r="J1189" t="s">
        <v>80</v>
      </c>
      <c r="K1189">
        <v>8</v>
      </c>
      <c r="L1189" s="4">
        <v>47300</v>
      </c>
      <c r="M1189">
        <v>10</v>
      </c>
      <c r="N1189" s="4">
        <v>340560</v>
      </c>
      <c r="O1189" t="s">
        <v>25</v>
      </c>
      <c r="P1189">
        <v>4</v>
      </c>
      <c r="Q1189" t="s">
        <v>26</v>
      </c>
      <c r="R1189">
        <v>0</v>
      </c>
    </row>
    <row r="1190" spans="1:18" x14ac:dyDescent="0.3">
      <c r="A1190" t="s">
        <v>2669</v>
      </c>
      <c r="B1190" s="1">
        <v>45686</v>
      </c>
      <c r="C1190" t="s">
        <v>60</v>
      </c>
      <c r="D1190" t="s">
        <v>20</v>
      </c>
      <c r="E1190">
        <v>24</v>
      </c>
      <c r="F1190" t="s">
        <v>21</v>
      </c>
      <c r="G1190" t="s">
        <v>21</v>
      </c>
      <c r="H1190" t="s">
        <v>22</v>
      </c>
      <c r="I1190" t="s">
        <v>84</v>
      </c>
      <c r="J1190" t="s">
        <v>34</v>
      </c>
      <c r="K1190">
        <v>5</v>
      </c>
      <c r="L1190" s="4">
        <v>47100</v>
      </c>
      <c r="M1190">
        <v>0</v>
      </c>
      <c r="N1190" s="4">
        <v>235500</v>
      </c>
      <c r="O1190" t="s">
        <v>73</v>
      </c>
      <c r="P1190">
        <v>1</v>
      </c>
      <c r="Q1190" t="s">
        <v>74</v>
      </c>
      <c r="R1190">
        <v>0</v>
      </c>
    </row>
    <row r="1191" spans="1:18" x14ac:dyDescent="0.3">
      <c r="A1191" t="s">
        <v>2670</v>
      </c>
      <c r="B1191" s="1">
        <v>46117</v>
      </c>
      <c r="C1191" t="s">
        <v>68</v>
      </c>
      <c r="D1191" t="s">
        <v>20</v>
      </c>
      <c r="E1191">
        <v>21</v>
      </c>
      <c r="F1191" t="s">
        <v>77</v>
      </c>
      <c r="G1191" t="s">
        <v>95</v>
      </c>
      <c r="H1191" t="s">
        <v>32</v>
      </c>
      <c r="I1191" t="s">
        <v>53</v>
      </c>
      <c r="J1191" t="s">
        <v>24</v>
      </c>
      <c r="K1191">
        <v>6</v>
      </c>
      <c r="L1191" s="4">
        <v>2100</v>
      </c>
      <c r="M1191">
        <v>5</v>
      </c>
      <c r="N1191" s="4">
        <v>11970</v>
      </c>
      <c r="O1191" t="s">
        <v>85</v>
      </c>
      <c r="Q1191" t="s">
        <v>65</v>
      </c>
      <c r="R1191">
        <v>0</v>
      </c>
    </row>
    <row r="1192" spans="1:18" x14ac:dyDescent="0.3">
      <c r="A1192" t="s">
        <v>2671</v>
      </c>
      <c r="B1192" s="1">
        <v>45736</v>
      </c>
      <c r="C1192" t="s">
        <v>38</v>
      </c>
      <c r="D1192" t="s">
        <v>20</v>
      </c>
      <c r="E1192">
        <v>50</v>
      </c>
      <c r="F1192" t="s">
        <v>44</v>
      </c>
      <c r="G1192" t="s">
        <v>100</v>
      </c>
      <c r="H1192" t="s">
        <v>22</v>
      </c>
      <c r="I1192" t="s">
        <v>23</v>
      </c>
      <c r="J1192" t="s">
        <v>80</v>
      </c>
      <c r="K1192">
        <v>6</v>
      </c>
      <c r="L1192" s="4">
        <v>19400</v>
      </c>
      <c r="M1192">
        <v>0</v>
      </c>
      <c r="N1192" s="4">
        <v>116400</v>
      </c>
      <c r="O1192" t="s">
        <v>73</v>
      </c>
      <c r="P1192">
        <v>3</v>
      </c>
      <c r="Q1192" t="s">
        <v>74</v>
      </c>
      <c r="R1192">
        <v>0</v>
      </c>
    </row>
    <row r="1193" spans="1:18" x14ac:dyDescent="0.3">
      <c r="A1193" t="s">
        <v>2673</v>
      </c>
      <c r="B1193" s="1">
        <v>46099</v>
      </c>
      <c r="C1193" t="s">
        <v>29</v>
      </c>
      <c r="D1193" t="s">
        <v>20</v>
      </c>
      <c r="E1193">
        <v>25</v>
      </c>
      <c r="F1193" t="s">
        <v>61</v>
      </c>
      <c r="G1193" t="s">
        <v>61</v>
      </c>
      <c r="H1193" t="s">
        <v>32</v>
      </c>
      <c r="I1193" t="s">
        <v>33</v>
      </c>
      <c r="J1193" t="s">
        <v>89</v>
      </c>
      <c r="K1193">
        <v>9</v>
      </c>
      <c r="L1193" s="4">
        <v>49200</v>
      </c>
      <c r="M1193">
        <v>15</v>
      </c>
      <c r="N1193" s="4">
        <v>376380</v>
      </c>
      <c r="O1193" t="s">
        <v>85</v>
      </c>
      <c r="Q1193" t="s">
        <v>74</v>
      </c>
      <c r="R1193">
        <v>0</v>
      </c>
    </row>
    <row r="1194" spans="1:18" x14ac:dyDescent="0.3">
      <c r="A1194" t="s">
        <v>2675</v>
      </c>
      <c r="B1194" s="1">
        <v>45812</v>
      </c>
      <c r="C1194" t="s">
        <v>94</v>
      </c>
      <c r="D1194" t="s">
        <v>39</v>
      </c>
      <c r="E1194">
        <v>24</v>
      </c>
      <c r="F1194" t="s">
        <v>44</v>
      </c>
      <c r="G1194" t="s">
        <v>100</v>
      </c>
      <c r="H1194" t="s">
        <v>32</v>
      </c>
      <c r="I1194" t="s">
        <v>33</v>
      </c>
      <c r="J1194" t="s">
        <v>89</v>
      </c>
      <c r="K1194">
        <v>3</v>
      </c>
      <c r="L1194" s="4">
        <v>29000</v>
      </c>
      <c r="M1194">
        <v>25</v>
      </c>
      <c r="N1194" s="4">
        <v>65250</v>
      </c>
      <c r="O1194" t="s">
        <v>85</v>
      </c>
      <c r="Q1194" t="s">
        <v>26</v>
      </c>
      <c r="R1194">
        <v>0</v>
      </c>
    </row>
    <row r="1195" spans="1:18" x14ac:dyDescent="0.3">
      <c r="A1195" t="s">
        <v>2676</v>
      </c>
      <c r="B1195" s="1">
        <v>45831</v>
      </c>
      <c r="C1195" t="s">
        <v>121</v>
      </c>
      <c r="D1195" t="s">
        <v>39</v>
      </c>
      <c r="E1195">
        <v>29</v>
      </c>
      <c r="F1195" t="s">
        <v>30</v>
      </c>
      <c r="G1195" t="s">
        <v>31</v>
      </c>
      <c r="H1195" t="s">
        <v>62</v>
      </c>
      <c r="I1195" t="s">
        <v>63</v>
      </c>
      <c r="J1195" t="s">
        <v>89</v>
      </c>
      <c r="K1195">
        <v>4</v>
      </c>
      <c r="L1195" s="4">
        <v>5500</v>
      </c>
      <c r="M1195">
        <v>5</v>
      </c>
      <c r="N1195" s="4">
        <v>20900</v>
      </c>
      <c r="O1195" t="s">
        <v>73</v>
      </c>
      <c r="P1195">
        <v>3</v>
      </c>
      <c r="Q1195" t="s">
        <v>65</v>
      </c>
      <c r="R1195">
        <v>0</v>
      </c>
    </row>
    <row r="1196" spans="1:18" x14ac:dyDescent="0.3">
      <c r="A1196" t="s">
        <v>2679</v>
      </c>
      <c r="B1196" s="1">
        <v>45687</v>
      </c>
      <c r="C1196" t="s">
        <v>68</v>
      </c>
      <c r="D1196" t="s">
        <v>39</v>
      </c>
      <c r="E1196">
        <v>38</v>
      </c>
      <c r="F1196" t="s">
        <v>77</v>
      </c>
      <c r="G1196" t="s">
        <v>95</v>
      </c>
      <c r="H1196" t="s">
        <v>32</v>
      </c>
      <c r="I1196" t="s">
        <v>33</v>
      </c>
      <c r="J1196" t="s">
        <v>64</v>
      </c>
      <c r="K1196">
        <v>10</v>
      </c>
      <c r="L1196" s="4">
        <v>40200</v>
      </c>
      <c r="M1196">
        <v>15</v>
      </c>
      <c r="N1196" s="4">
        <v>341700</v>
      </c>
      <c r="O1196" t="s">
        <v>85</v>
      </c>
      <c r="Q1196" t="s">
        <v>65</v>
      </c>
      <c r="R1196">
        <v>0</v>
      </c>
    </row>
    <row r="1197" spans="1:18" x14ac:dyDescent="0.3">
      <c r="A1197" t="s">
        <v>2681</v>
      </c>
      <c r="B1197" s="1">
        <v>46142</v>
      </c>
      <c r="C1197" t="s">
        <v>68</v>
      </c>
      <c r="D1197" t="s">
        <v>20</v>
      </c>
      <c r="E1197">
        <v>28</v>
      </c>
      <c r="F1197" t="s">
        <v>44</v>
      </c>
      <c r="G1197" t="s">
        <v>100</v>
      </c>
      <c r="H1197" t="s">
        <v>46</v>
      </c>
      <c r="I1197" t="s">
        <v>47</v>
      </c>
      <c r="J1197" t="s">
        <v>80</v>
      </c>
      <c r="K1197">
        <v>7</v>
      </c>
      <c r="L1197" s="4">
        <v>48300</v>
      </c>
      <c r="M1197">
        <v>20</v>
      </c>
      <c r="N1197" s="4">
        <v>270480</v>
      </c>
      <c r="O1197" t="s">
        <v>73</v>
      </c>
      <c r="P1197">
        <v>4</v>
      </c>
      <c r="Q1197" t="s">
        <v>26</v>
      </c>
      <c r="R1197">
        <v>0</v>
      </c>
    </row>
    <row r="1198" spans="1:18" x14ac:dyDescent="0.3">
      <c r="A1198" t="s">
        <v>2682</v>
      </c>
      <c r="B1198" s="1">
        <v>45916</v>
      </c>
      <c r="C1198" t="s">
        <v>71</v>
      </c>
      <c r="D1198" t="s">
        <v>20</v>
      </c>
      <c r="E1198">
        <v>43</v>
      </c>
      <c r="F1198" t="s">
        <v>21</v>
      </c>
      <c r="G1198" t="s">
        <v>21</v>
      </c>
      <c r="H1198" t="s">
        <v>32</v>
      </c>
      <c r="I1198" t="s">
        <v>33</v>
      </c>
      <c r="J1198" t="s">
        <v>24</v>
      </c>
      <c r="K1198">
        <v>6</v>
      </c>
      <c r="L1198" s="4">
        <v>19200</v>
      </c>
      <c r="M1198">
        <v>20</v>
      </c>
      <c r="N1198" s="4">
        <v>92160</v>
      </c>
      <c r="O1198" t="s">
        <v>85</v>
      </c>
      <c r="Q1198" t="s">
        <v>26</v>
      </c>
      <c r="R1198">
        <v>0</v>
      </c>
    </row>
    <row r="1199" spans="1:18" x14ac:dyDescent="0.3">
      <c r="A1199" t="s">
        <v>2687</v>
      </c>
      <c r="B1199" s="1">
        <v>45928</v>
      </c>
      <c r="C1199" t="s">
        <v>113</v>
      </c>
      <c r="D1199" t="s">
        <v>20</v>
      </c>
      <c r="E1199">
        <v>58</v>
      </c>
      <c r="F1199" t="s">
        <v>77</v>
      </c>
      <c r="G1199" t="s">
        <v>78</v>
      </c>
      <c r="H1199" t="s">
        <v>46</v>
      </c>
      <c r="I1199" t="s">
        <v>79</v>
      </c>
      <c r="J1199" t="s">
        <v>89</v>
      </c>
      <c r="K1199">
        <v>9</v>
      </c>
      <c r="L1199" s="4">
        <v>17400</v>
      </c>
      <c r="M1199">
        <v>25</v>
      </c>
      <c r="N1199" s="4">
        <v>117450</v>
      </c>
      <c r="O1199" t="s">
        <v>25</v>
      </c>
      <c r="P1199">
        <v>2</v>
      </c>
      <c r="Q1199" t="s">
        <v>26</v>
      </c>
      <c r="R1199">
        <v>0</v>
      </c>
    </row>
    <row r="1200" spans="1:18" x14ac:dyDescent="0.3">
      <c r="A1200" t="s">
        <v>2689</v>
      </c>
      <c r="B1200" s="1">
        <v>46358</v>
      </c>
      <c r="C1200" t="s">
        <v>94</v>
      </c>
      <c r="D1200" t="s">
        <v>39</v>
      </c>
      <c r="E1200">
        <v>20</v>
      </c>
      <c r="F1200" t="s">
        <v>44</v>
      </c>
      <c r="G1200" t="s">
        <v>100</v>
      </c>
      <c r="H1200" t="s">
        <v>22</v>
      </c>
      <c r="I1200" t="s">
        <v>23</v>
      </c>
      <c r="J1200" t="s">
        <v>89</v>
      </c>
      <c r="K1200">
        <v>1</v>
      </c>
      <c r="L1200" s="4">
        <v>5700</v>
      </c>
      <c r="M1200">
        <v>0</v>
      </c>
      <c r="N1200" s="4">
        <v>5700</v>
      </c>
      <c r="O1200" t="s">
        <v>85</v>
      </c>
      <c r="P1200">
        <v>2</v>
      </c>
      <c r="Q1200" t="s">
        <v>65</v>
      </c>
      <c r="R1200">
        <v>0</v>
      </c>
    </row>
    <row r="1201" spans="1:18" x14ac:dyDescent="0.3">
      <c r="A1201" t="s">
        <v>2690</v>
      </c>
      <c r="B1201" s="1">
        <v>46060</v>
      </c>
      <c r="C1201" t="s">
        <v>121</v>
      </c>
      <c r="D1201" t="s">
        <v>3292</v>
      </c>
      <c r="E1201">
        <v>18</v>
      </c>
      <c r="F1201" t="s">
        <v>51</v>
      </c>
      <c r="G1201" t="s">
        <v>52</v>
      </c>
      <c r="H1201" t="s">
        <v>32</v>
      </c>
      <c r="I1201" t="s">
        <v>53</v>
      </c>
      <c r="J1201" t="s">
        <v>64</v>
      </c>
      <c r="K1201">
        <v>5</v>
      </c>
      <c r="L1201" s="4">
        <v>19200</v>
      </c>
      <c r="M1201">
        <v>5</v>
      </c>
      <c r="N1201" s="4">
        <v>91200</v>
      </c>
      <c r="O1201" t="s">
        <v>85</v>
      </c>
      <c r="P1201">
        <v>5</v>
      </c>
      <c r="Q1201" t="s">
        <v>74</v>
      </c>
      <c r="R1201">
        <v>0</v>
      </c>
    </row>
    <row r="1202" spans="1:18" x14ac:dyDescent="0.3">
      <c r="A1202" t="s">
        <v>2692</v>
      </c>
      <c r="B1202" s="1">
        <v>45890</v>
      </c>
      <c r="C1202" t="s">
        <v>60</v>
      </c>
      <c r="D1202" t="s">
        <v>20</v>
      </c>
      <c r="E1202">
        <v>20</v>
      </c>
      <c r="F1202" t="s">
        <v>51</v>
      </c>
      <c r="G1202" t="s">
        <v>52</v>
      </c>
      <c r="H1202" t="s">
        <v>62</v>
      </c>
      <c r="I1202" t="s">
        <v>140</v>
      </c>
      <c r="J1202" t="s">
        <v>72</v>
      </c>
      <c r="K1202">
        <v>4</v>
      </c>
      <c r="L1202" s="4">
        <v>45500</v>
      </c>
      <c r="M1202">
        <v>0</v>
      </c>
      <c r="N1202" s="4">
        <v>182000</v>
      </c>
      <c r="O1202" t="s">
        <v>85</v>
      </c>
      <c r="P1202">
        <v>4</v>
      </c>
      <c r="Q1202" t="s">
        <v>65</v>
      </c>
      <c r="R1202">
        <v>0</v>
      </c>
    </row>
    <row r="1203" spans="1:18" x14ac:dyDescent="0.3">
      <c r="A1203" t="s">
        <v>2694</v>
      </c>
      <c r="B1203" s="1">
        <v>45719</v>
      </c>
      <c r="C1203" t="s">
        <v>60</v>
      </c>
      <c r="D1203" t="s">
        <v>39</v>
      </c>
      <c r="E1203">
        <v>53</v>
      </c>
      <c r="F1203" t="s">
        <v>44</v>
      </c>
      <c r="G1203" t="s">
        <v>45</v>
      </c>
      <c r="H1203" t="s">
        <v>62</v>
      </c>
      <c r="I1203" t="s">
        <v>140</v>
      </c>
      <c r="J1203" t="s">
        <v>89</v>
      </c>
      <c r="K1203">
        <v>8</v>
      </c>
      <c r="L1203" s="4">
        <v>15000</v>
      </c>
      <c r="M1203">
        <v>5</v>
      </c>
      <c r="N1203" s="4">
        <v>114000</v>
      </c>
      <c r="O1203" t="s">
        <v>85</v>
      </c>
      <c r="P1203">
        <v>2</v>
      </c>
      <c r="Q1203" t="s">
        <v>26</v>
      </c>
      <c r="R1203">
        <v>0</v>
      </c>
    </row>
    <row r="1204" spans="1:18" x14ac:dyDescent="0.3">
      <c r="A1204" t="s">
        <v>2695</v>
      </c>
      <c r="B1204" s="1">
        <v>45697</v>
      </c>
      <c r="C1204" t="s">
        <v>38</v>
      </c>
      <c r="D1204" t="s">
        <v>39</v>
      </c>
      <c r="E1204">
        <v>63</v>
      </c>
      <c r="F1204" t="s">
        <v>44</v>
      </c>
      <c r="G1204" t="s">
        <v>100</v>
      </c>
      <c r="H1204" t="s">
        <v>62</v>
      </c>
      <c r="I1204" t="s">
        <v>140</v>
      </c>
      <c r="J1204" t="s">
        <v>24</v>
      </c>
      <c r="K1204">
        <v>3</v>
      </c>
      <c r="L1204" s="4">
        <v>6000</v>
      </c>
      <c r="M1204">
        <v>25</v>
      </c>
      <c r="N1204" s="4">
        <v>13500</v>
      </c>
      <c r="O1204" t="s">
        <v>73</v>
      </c>
      <c r="P1204">
        <v>1</v>
      </c>
      <c r="Q1204" t="s">
        <v>41</v>
      </c>
      <c r="R1204">
        <v>1</v>
      </c>
    </row>
    <row r="1205" spans="1:18" x14ac:dyDescent="0.3">
      <c r="A1205" t="s">
        <v>2696</v>
      </c>
      <c r="B1205" s="1">
        <v>45885</v>
      </c>
      <c r="C1205" t="s">
        <v>60</v>
      </c>
      <c r="D1205" t="s">
        <v>3292</v>
      </c>
      <c r="E1205">
        <v>43</v>
      </c>
      <c r="F1205" t="s">
        <v>21</v>
      </c>
      <c r="G1205" t="s">
        <v>21</v>
      </c>
      <c r="H1205" t="s">
        <v>22</v>
      </c>
      <c r="I1205" t="s">
        <v>23</v>
      </c>
      <c r="J1205" t="s">
        <v>72</v>
      </c>
      <c r="K1205">
        <v>1</v>
      </c>
      <c r="L1205" s="4">
        <v>39800</v>
      </c>
      <c r="M1205">
        <v>5</v>
      </c>
      <c r="N1205" s="4">
        <v>37810</v>
      </c>
      <c r="O1205" t="s">
        <v>85</v>
      </c>
      <c r="P1205">
        <v>3</v>
      </c>
      <c r="Q1205" t="s">
        <v>41</v>
      </c>
      <c r="R1205">
        <v>1</v>
      </c>
    </row>
    <row r="1206" spans="1:18" x14ac:dyDescent="0.3">
      <c r="A1206" t="s">
        <v>2700</v>
      </c>
      <c r="B1206" s="1">
        <v>45909</v>
      </c>
      <c r="C1206" t="s">
        <v>29</v>
      </c>
      <c r="D1206" t="s">
        <v>39</v>
      </c>
      <c r="E1206">
        <v>61</v>
      </c>
      <c r="F1206" t="s">
        <v>30</v>
      </c>
      <c r="G1206" t="s">
        <v>57</v>
      </c>
      <c r="H1206" t="s">
        <v>22</v>
      </c>
      <c r="I1206" t="s">
        <v>84</v>
      </c>
      <c r="J1206" t="s">
        <v>80</v>
      </c>
      <c r="K1206">
        <v>5</v>
      </c>
      <c r="L1206" s="4">
        <v>48400</v>
      </c>
      <c r="M1206">
        <v>25</v>
      </c>
      <c r="N1206" s="4">
        <v>181500</v>
      </c>
      <c r="O1206" t="s">
        <v>73</v>
      </c>
      <c r="Q1206" t="s">
        <v>26</v>
      </c>
      <c r="R1206">
        <v>0</v>
      </c>
    </row>
    <row r="1207" spans="1:18" x14ac:dyDescent="0.3">
      <c r="A1207" t="s">
        <v>2701</v>
      </c>
      <c r="B1207" s="1">
        <v>45768</v>
      </c>
      <c r="C1207" t="s">
        <v>60</v>
      </c>
      <c r="D1207" t="s">
        <v>39</v>
      </c>
      <c r="E1207">
        <v>45</v>
      </c>
      <c r="F1207" t="s">
        <v>61</v>
      </c>
      <c r="G1207" t="s">
        <v>61</v>
      </c>
      <c r="H1207" t="s">
        <v>62</v>
      </c>
      <c r="I1207" t="s">
        <v>140</v>
      </c>
      <c r="J1207" t="s">
        <v>89</v>
      </c>
      <c r="K1207">
        <v>10</v>
      </c>
      <c r="L1207" s="4">
        <v>33900</v>
      </c>
      <c r="M1207">
        <v>15</v>
      </c>
      <c r="N1207" s="4">
        <v>288150</v>
      </c>
      <c r="O1207" t="s">
        <v>85</v>
      </c>
      <c r="P1207">
        <v>1</v>
      </c>
      <c r="Q1207" t="s">
        <v>65</v>
      </c>
      <c r="R1207">
        <v>0</v>
      </c>
    </row>
    <row r="1208" spans="1:18" x14ac:dyDescent="0.3">
      <c r="A1208" t="s">
        <v>2702</v>
      </c>
      <c r="B1208" s="1">
        <v>46019</v>
      </c>
      <c r="C1208" t="s">
        <v>60</v>
      </c>
      <c r="D1208" t="s">
        <v>39</v>
      </c>
      <c r="E1208">
        <v>54</v>
      </c>
      <c r="F1208" t="s">
        <v>77</v>
      </c>
      <c r="G1208" t="s">
        <v>78</v>
      </c>
      <c r="H1208" t="s">
        <v>22</v>
      </c>
      <c r="I1208" t="s">
        <v>23</v>
      </c>
      <c r="J1208" t="s">
        <v>80</v>
      </c>
      <c r="K1208">
        <v>5</v>
      </c>
      <c r="L1208" s="4">
        <v>48600</v>
      </c>
      <c r="M1208">
        <v>5</v>
      </c>
      <c r="N1208" s="4">
        <v>230850</v>
      </c>
      <c r="O1208" t="s">
        <v>85</v>
      </c>
      <c r="P1208">
        <v>3</v>
      </c>
      <c r="Q1208" t="s">
        <v>65</v>
      </c>
      <c r="R1208">
        <v>0</v>
      </c>
    </row>
    <row r="1209" spans="1:18" x14ac:dyDescent="0.3">
      <c r="A1209" t="s">
        <v>2703</v>
      </c>
      <c r="B1209" s="1">
        <v>45950</v>
      </c>
      <c r="C1209" t="s">
        <v>68</v>
      </c>
      <c r="D1209" t="s">
        <v>20</v>
      </c>
      <c r="E1209">
        <v>62</v>
      </c>
      <c r="F1209" t="s">
        <v>77</v>
      </c>
      <c r="G1209" t="s">
        <v>95</v>
      </c>
      <c r="H1209" t="s">
        <v>32</v>
      </c>
      <c r="I1209" t="s">
        <v>33</v>
      </c>
      <c r="J1209" t="s">
        <v>72</v>
      </c>
      <c r="K1209">
        <v>9</v>
      </c>
      <c r="L1209" s="4">
        <v>24800</v>
      </c>
      <c r="M1209">
        <v>0</v>
      </c>
      <c r="N1209" s="4">
        <v>223200</v>
      </c>
      <c r="O1209" t="s">
        <v>73</v>
      </c>
      <c r="Q1209" t="s">
        <v>65</v>
      </c>
      <c r="R1209">
        <v>0</v>
      </c>
    </row>
    <row r="1210" spans="1:18" x14ac:dyDescent="0.3">
      <c r="A1210" t="s">
        <v>2709</v>
      </c>
      <c r="B1210" s="1">
        <v>46157</v>
      </c>
      <c r="C1210" t="s">
        <v>29</v>
      </c>
      <c r="D1210" t="s">
        <v>39</v>
      </c>
      <c r="E1210">
        <v>23</v>
      </c>
      <c r="F1210" t="s">
        <v>51</v>
      </c>
      <c r="G1210" t="s">
        <v>104</v>
      </c>
      <c r="H1210" t="s">
        <v>46</v>
      </c>
      <c r="I1210" t="s">
        <v>47</v>
      </c>
      <c r="J1210" t="s">
        <v>80</v>
      </c>
      <c r="K1210">
        <v>6</v>
      </c>
      <c r="L1210" s="4">
        <v>9000</v>
      </c>
      <c r="M1210">
        <v>15</v>
      </c>
      <c r="N1210" s="4">
        <v>45900</v>
      </c>
      <c r="O1210" t="s">
        <v>85</v>
      </c>
      <c r="P1210">
        <v>2</v>
      </c>
      <c r="Q1210" t="s">
        <v>65</v>
      </c>
      <c r="R1210">
        <v>0</v>
      </c>
    </row>
    <row r="1211" spans="1:18" x14ac:dyDescent="0.3">
      <c r="A1211" t="s">
        <v>2710</v>
      </c>
      <c r="B1211" s="1">
        <v>45926</v>
      </c>
      <c r="C1211" t="s">
        <v>121</v>
      </c>
      <c r="D1211" t="s">
        <v>3292</v>
      </c>
      <c r="E1211">
        <v>46</v>
      </c>
      <c r="F1211" t="s">
        <v>51</v>
      </c>
      <c r="G1211" t="s">
        <v>104</v>
      </c>
      <c r="H1211" t="s">
        <v>62</v>
      </c>
      <c r="I1211" t="s">
        <v>140</v>
      </c>
      <c r="J1211" t="s">
        <v>89</v>
      </c>
      <c r="K1211">
        <v>6</v>
      </c>
      <c r="L1211" s="4">
        <v>39100</v>
      </c>
      <c r="M1211">
        <v>25</v>
      </c>
      <c r="N1211" s="4">
        <v>175950</v>
      </c>
      <c r="O1211" t="s">
        <v>85</v>
      </c>
      <c r="Q1211" t="s">
        <v>26</v>
      </c>
      <c r="R1211">
        <v>0</v>
      </c>
    </row>
    <row r="1212" spans="1:18" x14ac:dyDescent="0.3">
      <c r="A1212" t="s">
        <v>2711</v>
      </c>
      <c r="B1212" s="1">
        <v>46135</v>
      </c>
      <c r="C1212" t="s">
        <v>71</v>
      </c>
      <c r="D1212" t="s">
        <v>39</v>
      </c>
      <c r="E1212">
        <v>32</v>
      </c>
      <c r="F1212" t="s">
        <v>51</v>
      </c>
      <c r="G1212" t="s">
        <v>52</v>
      </c>
      <c r="H1212" t="s">
        <v>62</v>
      </c>
      <c r="I1212" t="s">
        <v>140</v>
      </c>
      <c r="J1212" t="s">
        <v>72</v>
      </c>
      <c r="K1212">
        <v>5</v>
      </c>
      <c r="L1212" s="4">
        <v>31300</v>
      </c>
      <c r="M1212">
        <v>10</v>
      </c>
      <c r="N1212" s="4">
        <v>140850</v>
      </c>
      <c r="O1212" t="s">
        <v>85</v>
      </c>
      <c r="Q1212" t="s">
        <v>74</v>
      </c>
      <c r="R1212">
        <v>0</v>
      </c>
    </row>
    <row r="1213" spans="1:18" x14ac:dyDescent="0.3">
      <c r="A1213" t="s">
        <v>2713</v>
      </c>
      <c r="B1213" s="1">
        <v>46270</v>
      </c>
      <c r="C1213" t="s">
        <v>71</v>
      </c>
      <c r="D1213" t="s">
        <v>20</v>
      </c>
      <c r="E1213">
        <v>44</v>
      </c>
      <c r="F1213" t="s">
        <v>77</v>
      </c>
      <c r="G1213" t="s">
        <v>95</v>
      </c>
      <c r="H1213" t="s">
        <v>62</v>
      </c>
      <c r="I1213" t="s">
        <v>63</v>
      </c>
      <c r="J1213" t="s">
        <v>72</v>
      </c>
      <c r="K1213">
        <v>5</v>
      </c>
      <c r="L1213" s="4">
        <v>33500</v>
      </c>
      <c r="M1213">
        <v>15</v>
      </c>
      <c r="N1213" s="4">
        <v>142375</v>
      </c>
      <c r="O1213" t="s">
        <v>85</v>
      </c>
      <c r="P1213">
        <v>4</v>
      </c>
      <c r="Q1213" t="s">
        <v>26</v>
      </c>
      <c r="R1213">
        <v>0</v>
      </c>
    </row>
    <row r="1214" spans="1:18" x14ac:dyDescent="0.3">
      <c r="A1214" t="s">
        <v>2715</v>
      </c>
      <c r="B1214" s="1">
        <v>45749</v>
      </c>
      <c r="C1214" t="s">
        <v>71</v>
      </c>
      <c r="D1214" t="s">
        <v>20</v>
      </c>
      <c r="E1214">
        <v>62</v>
      </c>
      <c r="F1214" t="s">
        <v>61</v>
      </c>
      <c r="G1214" t="s">
        <v>61</v>
      </c>
      <c r="H1214" t="s">
        <v>46</v>
      </c>
      <c r="I1214" t="s">
        <v>79</v>
      </c>
      <c r="J1214" t="s">
        <v>89</v>
      </c>
      <c r="K1214">
        <v>9</v>
      </c>
      <c r="L1214" s="4">
        <v>30200</v>
      </c>
      <c r="M1214">
        <v>10</v>
      </c>
      <c r="N1214" s="4">
        <v>244620</v>
      </c>
      <c r="O1214" t="s">
        <v>85</v>
      </c>
      <c r="P1214">
        <v>2</v>
      </c>
      <c r="Q1214" t="s">
        <v>41</v>
      </c>
      <c r="R1214">
        <v>1</v>
      </c>
    </row>
    <row r="1215" spans="1:18" x14ac:dyDescent="0.3">
      <c r="A1215" t="s">
        <v>2716</v>
      </c>
      <c r="B1215" s="1">
        <v>45960</v>
      </c>
      <c r="C1215" t="s">
        <v>121</v>
      </c>
      <c r="D1215" t="s">
        <v>3292</v>
      </c>
      <c r="E1215">
        <v>38</v>
      </c>
      <c r="F1215" t="s">
        <v>51</v>
      </c>
      <c r="G1215" t="s">
        <v>52</v>
      </c>
      <c r="H1215" t="s">
        <v>22</v>
      </c>
      <c r="I1215" t="s">
        <v>23</v>
      </c>
      <c r="J1215" t="s">
        <v>80</v>
      </c>
      <c r="K1215">
        <v>3</v>
      </c>
      <c r="L1215" s="4">
        <v>48200</v>
      </c>
      <c r="M1215">
        <v>0</v>
      </c>
      <c r="N1215" s="4">
        <v>144600</v>
      </c>
      <c r="O1215" t="s">
        <v>85</v>
      </c>
      <c r="Q1215" t="s">
        <v>65</v>
      </c>
      <c r="R1215">
        <v>0</v>
      </c>
    </row>
    <row r="1216" spans="1:18" x14ac:dyDescent="0.3">
      <c r="A1216" t="s">
        <v>2718</v>
      </c>
      <c r="B1216" s="1">
        <v>45681</v>
      </c>
      <c r="C1216" t="s">
        <v>68</v>
      </c>
      <c r="D1216" t="s">
        <v>3292</v>
      </c>
      <c r="E1216">
        <v>32</v>
      </c>
      <c r="F1216" t="s">
        <v>51</v>
      </c>
      <c r="G1216" t="s">
        <v>104</v>
      </c>
      <c r="H1216" t="s">
        <v>22</v>
      </c>
      <c r="I1216" t="s">
        <v>23</v>
      </c>
      <c r="J1216" t="s">
        <v>80</v>
      </c>
      <c r="K1216">
        <v>3</v>
      </c>
      <c r="L1216" s="4">
        <v>44900</v>
      </c>
      <c r="M1216">
        <v>10</v>
      </c>
      <c r="N1216" s="4">
        <v>121230</v>
      </c>
      <c r="O1216" t="s">
        <v>25</v>
      </c>
      <c r="P1216">
        <v>1</v>
      </c>
      <c r="Q1216" t="s">
        <v>74</v>
      </c>
      <c r="R1216">
        <v>0</v>
      </c>
    </row>
    <row r="1217" spans="1:18" x14ac:dyDescent="0.3">
      <c r="A1217" t="s">
        <v>2719</v>
      </c>
      <c r="B1217" s="1">
        <v>46037</v>
      </c>
      <c r="C1217" t="s">
        <v>29</v>
      </c>
      <c r="D1217" t="s">
        <v>20</v>
      </c>
      <c r="E1217">
        <v>62</v>
      </c>
      <c r="F1217" t="s">
        <v>77</v>
      </c>
      <c r="G1217" t="s">
        <v>78</v>
      </c>
      <c r="H1217" t="s">
        <v>22</v>
      </c>
      <c r="I1217" t="s">
        <v>23</v>
      </c>
      <c r="J1217" t="s">
        <v>80</v>
      </c>
      <c r="K1217">
        <v>2</v>
      </c>
      <c r="L1217" s="4">
        <v>21600</v>
      </c>
      <c r="M1217">
        <v>20</v>
      </c>
      <c r="N1217" s="4">
        <v>34560</v>
      </c>
      <c r="O1217" t="s">
        <v>85</v>
      </c>
      <c r="Q1217" t="s">
        <v>65</v>
      </c>
      <c r="R1217">
        <v>0</v>
      </c>
    </row>
    <row r="1218" spans="1:18" x14ac:dyDescent="0.3">
      <c r="A1218" t="s">
        <v>2721</v>
      </c>
      <c r="B1218" s="1">
        <v>45822</v>
      </c>
      <c r="C1218" t="s">
        <v>88</v>
      </c>
      <c r="D1218" t="s">
        <v>20</v>
      </c>
      <c r="E1218">
        <v>30</v>
      </c>
      <c r="F1218" t="s">
        <v>21</v>
      </c>
      <c r="G1218" t="s">
        <v>21</v>
      </c>
      <c r="H1218" t="s">
        <v>22</v>
      </c>
      <c r="I1218" t="s">
        <v>23</v>
      </c>
      <c r="J1218" t="s">
        <v>34</v>
      </c>
      <c r="K1218">
        <v>9</v>
      </c>
      <c r="L1218" s="4">
        <v>4400</v>
      </c>
      <c r="M1218">
        <v>0</v>
      </c>
      <c r="N1218" s="4">
        <v>39600</v>
      </c>
      <c r="O1218" t="s">
        <v>85</v>
      </c>
      <c r="P1218">
        <v>4</v>
      </c>
      <c r="Q1218" t="s">
        <v>65</v>
      </c>
      <c r="R1218">
        <v>0</v>
      </c>
    </row>
    <row r="1219" spans="1:18" x14ac:dyDescent="0.3">
      <c r="A1219" t="s">
        <v>2722</v>
      </c>
      <c r="B1219" s="1">
        <v>45855</v>
      </c>
      <c r="C1219" t="s">
        <v>71</v>
      </c>
      <c r="D1219" t="s">
        <v>39</v>
      </c>
      <c r="E1219">
        <v>54</v>
      </c>
      <c r="F1219" t="s">
        <v>21</v>
      </c>
      <c r="G1219" t="s">
        <v>21</v>
      </c>
      <c r="H1219" t="s">
        <v>32</v>
      </c>
      <c r="I1219" t="s">
        <v>33</v>
      </c>
      <c r="J1219" t="s">
        <v>34</v>
      </c>
      <c r="K1219">
        <v>2</v>
      </c>
      <c r="L1219" s="4">
        <v>3400</v>
      </c>
      <c r="M1219">
        <v>0</v>
      </c>
      <c r="N1219" s="4">
        <v>6800</v>
      </c>
      <c r="O1219" t="s">
        <v>85</v>
      </c>
      <c r="P1219">
        <v>4</v>
      </c>
      <c r="Q1219" t="s">
        <v>26</v>
      </c>
      <c r="R1219">
        <v>0</v>
      </c>
    </row>
    <row r="1220" spans="1:18" x14ac:dyDescent="0.3">
      <c r="A1220" t="s">
        <v>2723</v>
      </c>
      <c r="B1220" s="1">
        <v>45679</v>
      </c>
      <c r="C1220" t="s">
        <v>68</v>
      </c>
      <c r="D1220" t="s">
        <v>39</v>
      </c>
      <c r="E1220">
        <v>25</v>
      </c>
      <c r="F1220" t="s">
        <v>44</v>
      </c>
      <c r="G1220" t="s">
        <v>100</v>
      </c>
      <c r="H1220" t="s">
        <v>22</v>
      </c>
      <c r="I1220" t="s">
        <v>23</v>
      </c>
      <c r="J1220" t="s">
        <v>24</v>
      </c>
      <c r="K1220">
        <v>6</v>
      </c>
      <c r="L1220" s="4">
        <v>6800</v>
      </c>
      <c r="M1220">
        <v>20</v>
      </c>
      <c r="N1220" s="4">
        <v>32640</v>
      </c>
      <c r="O1220" t="s">
        <v>85</v>
      </c>
      <c r="P1220">
        <v>2</v>
      </c>
      <c r="Q1220" t="s">
        <v>41</v>
      </c>
      <c r="R1220">
        <v>1</v>
      </c>
    </row>
    <row r="1221" spans="1:18" x14ac:dyDescent="0.3">
      <c r="A1221" t="s">
        <v>2724</v>
      </c>
      <c r="B1221" s="1">
        <v>45936</v>
      </c>
      <c r="C1221" t="s">
        <v>121</v>
      </c>
      <c r="D1221" t="s">
        <v>39</v>
      </c>
      <c r="E1221">
        <v>22</v>
      </c>
      <c r="F1221" t="s">
        <v>30</v>
      </c>
      <c r="G1221" t="s">
        <v>57</v>
      </c>
      <c r="H1221" t="s">
        <v>32</v>
      </c>
      <c r="I1221" t="s">
        <v>33</v>
      </c>
      <c r="J1221" t="s">
        <v>24</v>
      </c>
      <c r="K1221">
        <v>1</v>
      </c>
      <c r="L1221" s="4">
        <v>5300</v>
      </c>
      <c r="M1221">
        <v>5</v>
      </c>
      <c r="N1221" s="4">
        <v>5035</v>
      </c>
      <c r="O1221" t="s">
        <v>73</v>
      </c>
      <c r="Q1221" t="s">
        <v>26</v>
      </c>
      <c r="R1221">
        <v>0</v>
      </c>
    </row>
    <row r="1222" spans="1:18" x14ac:dyDescent="0.3">
      <c r="A1222" t="s">
        <v>2725</v>
      </c>
      <c r="B1222" s="1">
        <v>45976</v>
      </c>
      <c r="C1222" t="s">
        <v>29</v>
      </c>
      <c r="D1222" t="s">
        <v>3292</v>
      </c>
      <c r="E1222">
        <v>22</v>
      </c>
      <c r="F1222" t="s">
        <v>77</v>
      </c>
      <c r="G1222" t="s">
        <v>95</v>
      </c>
      <c r="H1222" t="s">
        <v>22</v>
      </c>
      <c r="I1222" t="s">
        <v>84</v>
      </c>
      <c r="J1222" t="s">
        <v>64</v>
      </c>
      <c r="K1222">
        <v>9</v>
      </c>
      <c r="L1222" s="4">
        <v>21300</v>
      </c>
      <c r="M1222">
        <v>25</v>
      </c>
      <c r="N1222" s="4">
        <v>143775</v>
      </c>
      <c r="O1222" t="s">
        <v>25</v>
      </c>
      <c r="P1222">
        <v>5</v>
      </c>
      <c r="Q1222" t="s">
        <v>41</v>
      </c>
      <c r="R1222">
        <v>1</v>
      </c>
    </row>
    <row r="1223" spans="1:18" x14ac:dyDescent="0.3">
      <c r="A1223" t="s">
        <v>2727</v>
      </c>
      <c r="B1223" s="1">
        <v>45764</v>
      </c>
      <c r="C1223" t="s">
        <v>121</v>
      </c>
      <c r="D1223" t="s">
        <v>39</v>
      </c>
      <c r="E1223">
        <v>65</v>
      </c>
      <c r="F1223" t="s">
        <v>44</v>
      </c>
      <c r="G1223" t="s">
        <v>100</v>
      </c>
      <c r="H1223" t="s">
        <v>62</v>
      </c>
      <c r="I1223" t="s">
        <v>63</v>
      </c>
      <c r="J1223" t="s">
        <v>72</v>
      </c>
      <c r="K1223">
        <v>7</v>
      </c>
      <c r="L1223" s="4">
        <v>14200</v>
      </c>
      <c r="M1223">
        <v>5</v>
      </c>
      <c r="N1223" s="4">
        <v>94430</v>
      </c>
      <c r="O1223" t="s">
        <v>25</v>
      </c>
      <c r="P1223">
        <v>5</v>
      </c>
      <c r="Q1223" t="s">
        <v>41</v>
      </c>
      <c r="R1223">
        <v>1</v>
      </c>
    </row>
    <row r="1224" spans="1:18" x14ac:dyDescent="0.3">
      <c r="A1224" t="s">
        <v>2729</v>
      </c>
      <c r="B1224" s="1">
        <v>45715</v>
      </c>
      <c r="C1224" t="s">
        <v>60</v>
      </c>
      <c r="D1224" t="s">
        <v>20</v>
      </c>
      <c r="E1224">
        <v>50</v>
      </c>
      <c r="F1224" t="s">
        <v>44</v>
      </c>
      <c r="G1224" t="s">
        <v>45</v>
      </c>
      <c r="H1224" t="s">
        <v>22</v>
      </c>
      <c r="I1224" t="s">
        <v>84</v>
      </c>
      <c r="J1224" t="s">
        <v>24</v>
      </c>
      <c r="K1224">
        <v>4</v>
      </c>
      <c r="L1224" s="4">
        <v>45600</v>
      </c>
      <c r="M1224">
        <v>15</v>
      </c>
      <c r="N1224" s="4">
        <v>155040</v>
      </c>
      <c r="O1224" t="s">
        <v>85</v>
      </c>
      <c r="Q1224" t="s">
        <v>74</v>
      </c>
      <c r="R1224">
        <v>0</v>
      </c>
    </row>
    <row r="1225" spans="1:18" x14ac:dyDescent="0.3">
      <c r="A1225" t="s">
        <v>2731</v>
      </c>
      <c r="B1225" s="1">
        <v>45971</v>
      </c>
      <c r="C1225" t="s">
        <v>113</v>
      </c>
      <c r="D1225" t="s">
        <v>20</v>
      </c>
      <c r="E1225">
        <v>40</v>
      </c>
      <c r="F1225" t="s">
        <v>21</v>
      </c>
      <c r="G1225" t="s">
        <v>21</v>
      </c>
      <c r="H1225" t="s">
        <v>46</v>
      </c>
      <c r="I1225" t="s">
        <v>79</v>
      </c>
      <c r="J1225" t="s">
        <v>72</v>
      </c>
      <c r="K1225">
        <v>6</v>
      </c>
      <c r="L1225" s="4">
        <v>43500</v>
      </c>
      <c r="M1225">
        <v>15</v>
      </c>
      <c r="N1225" s="4">
        <v>221850</v>
      </c>
      <c r="O1225" t="s">
        <v>25</v>
      </c>
      <c r="Q1225" t="s">
        <v>74</v>
      </c>
      <c r="R1225">
        <v>0</v>
      </c>
    </row>
    <row r="1226" spans="1:18" x14ac:dyDescent="0.3">
      <c r="A1226" t="s">
        <v>2732</v>
      </c>
      <c r="B1226" s="1">
        <v>46036</v>
      </c>
      <c r="C1226" t="s">
        <v>60</v>
      </c>
      <c r="D1226" t="s">
        <v>39</v>
      </c>
      <c r="E1226">
        <v>30</v>
      </c>
      <c r="F1226" t="s">
        <v>21</v>
      </c>
      <c r="G1226" t="s">
        <v>21</v>
      </c>
      <c r="H1226" t="s">
        <v>22</v>
      </c>
      <c r="I1226" t="s">
        <v>84</v>
      </c>
      <c r="J1226" t="s">
        <v>72</v>
      </c>
      <c r="K1226">
        <v>8</v>
      </c>
      <c r="L1226" s="4">
        <v>28700</v>
      </c>
      <c r="M1226">
        <v>0</v>
      </c>
      <c r="N1226" s="4">
        <v>229600</v>
      </c>
      <c r="O1226" t="s">
        <v>25</v>
      </c>
      <c r="P1226">
        <v>5</v>
      </c>
      <c r="Q1226" t="s">
        <v>41</v>
      </c>
      <c r="R1226">
        <v>1</v>
      </c>
    </row>
    <row r="1227" spans="1:18" x14ac:dyDescent="0.3">
      <c r="A1227" t="s">
        <v>2734</v>
      </c>
      <c r="B1227" s="1">
        <v>45725</v>
      </c>
      <c r="C1227" t="s">
        <v>38</v>
      </c>
      <c r="D1227" t="s">
        <v>3292</v>
      </c>
      <c r="E1227">
        <v>31</v>
      </c>
      <c r="F1227" t="s">
        <v>77</v>
      </c>
      <c r="G1227" t="s">
        <v>78</v>
      </c>
      <c r="H1227" t="s">
        <v>32</v>
      </c>
      <c r="I1227" t="s">
        <v>53</v>
      </c>
      <c r="J1227" t="s">
        <v>80</v>
      </c>
      <c r="K1227">
        <v>3</v>
      </c>
      <c r="L1227" s="4">
        <v>35700</v>
      </c>
      <c r="M1227">
        <v>5</v>
      </c>
      <c r="N1227" s="4">
        <v>101745</v>
      </c>
      <c r="O1227" t="s">
        <v>25</v>
      </c>
      <c r="Q1227" t="s">
        <v>65</v>
      </c>
      <c r="R1227">
        <v>0</v>
      </c>
    </row>
    <row r="1228" spans="1:18" x14ac:dyDescent="0.3">
      <c r="A1228" t="s">
        <v>2735</v>
      </c>
      <c r="B1228" s="1">
        <v>45980</v>
      </c>
      <c r="C1228" t="s">
        <v>113</v>
      </c>
      <c r="D1228" t="s">
        <v>20</v>
      </c>
      <c r="E1228">
        <v>40</v>
      </c>
      <c r="F1228" t="s">
        <v>51</v>
      </c>
      <c r="G1228" t="s">
        <v>52</v>
      </c>
      <c r="H1228" t="s">
        <v>46</v>
      </c>
      <c r="I1228" t="s">
        <v>47</v>
      </c>
      <c r="J1228" t="s">
        <v>89</v>
      </c>
      <c r="K1228">
        <v>10</v>
      </c>
      <c r="L1228" s="4">
        <v>6000</v>
      </c>
      <c r="M1228">
        <v>10</v>
      </c>
      <c r="N1228" s="4">
        <v>54000</v>
      </c>
      <c r="O1228" t="s">
        <v>73</v>
      </c>
      <c r="P1228">
        <v>2</v>
      </c>
      <c r="Q1228" t="s">
        <v>65</v>
      </c>
      <c r="R1228">
        <v>0</v>
      </c>
    </row>
    <row r="1229" spans="1:18" x14ac:dyDescent="0.3">
      <c r="A1229" t="s">
        <v>2736</v>
      </c>
      <c r="B1229" s="1">
        <v>46060</v>
      </c>
      <c r="C1229" t="s">
        <v>60</v>
      </c>
      <c r="D1229" t="s">
        <v>39</v>
      </c>
      <c r="E1229">
        <v>24</v>
      </c>
      <c r="F1229" t="s">
        <v>21</v>
      </c>
      <c r="G1229" t="s">
        <v>21</v>
      </c>
      <c r="H1229" t="s">
        <v>62</v>
      </c>
      <c r="I1229" t="s">
        <v>140</v>
      </c>
      <c r="J1229" t="s">
        <v>80</v>
      </c>
      <c r="K1229">
        <v>10</v>
      </c>
      <c r="L1229" s="4">
        <v>9200</v>
      </c>
      <c r="M1229">
        <v>25</v>
      </c>
      <c r="N1229" s="4">
        <v>69000</v>
      </c>
      <c r="O1229" t="s">
        <v>25</v>
      </c>
      <c r="Q1229" t="s">
        <v>74</v>
      </c>
      <c r="R1229">
        <v>0</v>
      </c>
    </row>
    <row r="1230" spans="1:18" x14ac:dyDescent="0.3">
      <c r="A1230" t="s">
        <v>2738</v>
      </c>
      <c r="B1230" s="1">
        <v>45886</v>
      </c>
      <c r="C1230" t="s">
        <v>60</v>
      </c>
      <c r="D1230" t="s">
        <v>20</v>
      </c>
      <c r="E1230">
        <v>29</v>
      </c>
      <c r="F1230" t="s">
        <v>21</v>
      </c>
      <c r="G1230" t="s">
        <v>21</v>
      </c>
      <c r="H1230" t="s">
        <v>22</v>
      </c>
      <c r="I1230" t="s">
        <v>23</v>
      </c>
      <c r="J1230" t="s">
        <v>80</v>
      </c>
      <c r="K1230">
        <v>9</v>
      </c>
      <c r="L1230" s="4">
        <v>23900</v>
      </c>
      <c r="M1230">
        <v>10</v>
      </c>
      <c r="N1230" s="4">
        <v>193590</v>
      </c>
      <c r="O1230" t="s">
        <v>73</v>
      </c>
      <c r="P1230">
        <v>3</v>
      </c>
      <c r="Q1230" t="s">
        <v>26</v>
      </c>
      <c r="R1230">
        <v>0</v>
      </c>
    </row>
    <row r="1231" spans="1:18" x14ac:dyDescent="0.3">
      <c r="A1231" t="s">
        <v>2741</v>
      </c>
      <c r="B1231" s="1">
        <v>46004</v>
      </c>
      <c r="C1231" t="s">
        <v>68</v>
      </c>
      <c r="D1231" t="s">
        <v>20</v>
      </c>
      <c r="E1231">
        <v>60</v>
      </c>
      <c r="F1231" t="s">
        <v>30</v>
      </c>
      <c r="G1231" t="s">
        <v>31</v>
      </c>
      <c r="H1231" t="s">
        <v>32</v>
      </c>
      <c r="I1231" t="s">
        <v>33</v>
      </c>
      <c r="J1231" t="s">
        <v>72</v>
      </c>
      <c r="K1231">
        <v>3</v>
      </c>
      <c r="L1231" s="4">
        <v>4400</v>
      </c>
      <c r="M1231">
        <v>0</v>
      </c>
      <c r="N1231" s="4">
        <v>13200</v>
      </c>
      <c r="O1231" t="s">
        <v>73</v>
      </c>
      <c r="P1231">
        <v>3</v>
      </c>
      <c r="Q1231" t="s">
        <v>26</v>
      </c>
      <c r="R1231">
        <v>0</v>
      </c>
    </row>
    <row r="1232" spans="1:18" x14ac:dyDescent="0.3">
      <c r="A1232" t="s">
        <v>2742</v>
      </c>
      <c r="B1232" s="1">
        <v>45910</v>
      </c>
      <c r="C1232" t="s">
        <v>113</v>
      </c>
      <c r="D1232" t="s">
        <v>20</v>
      </c>
      <c r="E1232">
        <v>56</v>
      </c>
      <c r="F1232" t="s">
        <v>30</v>
      </c>
      <c r="G1232" t="s">
        <v>31</v>
      </c>
      <c r="H1232" t="s">
        <v>32</v>
      </c>
      <c r="I1232" t="s">
        <v>53</v>
      </c>
      <c r="J1232" t="s">
        <v>64</v>
      </c>
      <c r="K1232">
        <v>8</v>
      </c>
      <c r="L1232" s="4">
        <v>8000</v>
      </c>
      <c r="M1232">
        <v>20</v>
      </c>
      <c r="N1232" s="4">
        <v>51200</v>
      </c>
      <c r="O1232" t="s">
        <v>85</v>
      </c>
      <c r="Q1232" t="s">
        <v>26</v>
      </c>
      <c r="R1232">
        <v>0</v>
      </c>
    </row>
    <row r="1233" spans="1:18" x14ac:dyDescent="0.3">
      <c r="A1233" t="s">
        <v>2744</v>
      </c>
      <c r="B1233" s="1">
        <v>45948</v>
      </c>
      <c r="C1233" t="s">
        <v>94</v>
      </c>
      <c r="D1233" t="s">
        <v>39</v>
      </c>
      <c r="E1233">
        <v>39</v>
      </c>
      <c r="F1233" t="s">
        <v>61</v>
      </c>
      <c r="G1233" t="s">
        <v>61</v>
      </c>
      <c r="H1233" t="s">
        <v>32</v>
      </c>
      <c r="I1233" t="s">
        <v>33</v>
      </c>
      <c r="J1233" t="s">
        <v>64</v>
      </c>
      <c r="K1233">
        <v>7</v>
      </c>
      <c r="L1233" s="4">
        <v>3900</v>
      </c>
      <c r="M1233">
        <v>25</v>
      </c>
      <c r="N1233" s="4">
        <v>20475</v>
      </c>
      <c r="O1233" t="s">
        <v>73</v>
      </c>
      <c r="Q1233" t="s">
        <v>74</v>
      </c>
      <c r="R1233">
        <v>0</v>
      </c>
    </row>
    <row r="1234" spans="1:18" x14ac:dyDescent="0.3">
      <c r="A1234" t="s">
        <v>2746</v>
      </c>
      <c r="B1234" s="1">
        <v>45941</v>
      </c>
      <c r="C1234" t="s">
        <v>71</v>
      </c>
      <c r="D1234" t="s">
        <v>39</v>
      </c>
      <c r="E1234">
        <v>48</v>
      </c>
      <c r="F1234" t="s">
        <v>44</v>
      </c>
      <c r="G1234" t="s">
        <v>45</v>
      </c>
      <c r="H1234" t="s">
        <v>32</v>
      </c>
      <c r="I1234" t="s">
        <v>33</v>
      </c>
      <c r="J1234" t="s">
        <v>89</v>
      </c>
      <c r="K1234">
        <v>5</v>
      </c>
      <c r="L1234" s="4">
        <v>48900</v>
      </c>
      <c r="M1234">
        <v>10</v>
      </c>
      <c r="N1234" s="4">
        <v>220050</v>
      </c>
      <c r="O1234" t="s">
        <v>85</v>
      </c>
      <c r="Q1234" t="s">
        <v>74</v>
      </c>
      <c r="R1234">
        <v>0</v>
      </c>
    </row>
    <row r="1235" spans="1:18" x14ac:dyDescent="0.3">
      <c r="A1235" t="s">
        <v>2751</v>
      </c>
      <c r="B1235" s="1">
        <v>46083</v>
      </c>
      <c r="C1235" t="s">
        <v>121</v>
      </c>
      <c r="D1235" t="s">
        <v>20</v>
      </c>
      <c r="E1235">
        <v>42</v>
      </c>
      <c r="F1235" t="s">
        <v>61</v>
      </c>
      <c r="G1235" t="s">
        <v>61</v>
      </c>
      <c r="H1235" t="s">
        <v>62</v>
      </c>
      <c r="I1235" t="s">
        <v>63</v>
      </c>
      <c r="J1235" t="s">
        <v>64</v>
      </c>
      <c r="K1235">
        <v>1</v>
      </c>
      <c r="L1235" s="4">
        <v>3400</v>
      </c>
      <c r="M1235">
        <v>20</v>
      </c>
      <c r="N1235" s="4">
        <v>2720</v>
      </c>
      <c r="O1235" t="s">
        <v>25</v>
      </c>
      <c r="P1235">
        <v>5</v>
      </c>
      <c r="Q1235" t="s">
        <v>41</v>
      </c>
      <c r="R1235">
        <v>1</v>
      </c>
    </row>
    <row r="1236" spans="1:18" x14ac:dyDescent="0.3">
      <c r="A1236" t="s">
        <v>2753</v>
      </c>
      <c r="B1236" s="1">
        <v>46073</v>
      </c>
      <c r="C1236" t="s">
        <v>121</v>
      </c>
      <c r="D1236" t="s">
        <v>39</v>
      </c>
      <c r="E1236">
        <v>48</v>
      </c>
      <c r="F1236" t="s">
        <v>51</v>
      </c>
      <c r="G1236" t="s">
        <v>104</v>
      </c>
      <c r="H1236" t="s">
        <v>62</v>
      </c>
      <c r="I1236" t="s">
        <v>63</v>
      </c>
      <c r="J1236" t="s">
        <v>80</v>
      </c>
      <c r="K1236">
        <v>5</v>
      </c>
      <c r="L1236" s="4">
        <v>32700</v>
      </c>
      <c r="M1236">
        <v>20</v>
      </c>
      <c r="N1236" s="4">
        <v>130800</v>
      </c>
      <c r="O1236" t="s">
        <v>73</v>
      </c>
      <c r="P1236">
        <v>2</v>
      </c>
      <c r="Q1236" t="s">
        <v>65</v>
      </c>
      <c r="R1236">
        <v>0</v>
      </c>
    </row>
    <row r="1237" spans="1:18" x14ac:dyDescent="0.3">
      <c r="A1237" t="s">
        <v>2754</v>
      </c>
      <c r="B1237" s="1">
        <v>46171</v>
      </c>
      <c r="C1237" t="s">
        <v>71</v>
      </c>
      <c r="D1237" t="s">
        <v>20</v>
      </c>
      <c r="E1237">
        <v>20</v>
      </c>
      <c r="F1237" t="s">
        <v>77</v>
      </c>
      <c r="G1237" t="s">
        <v>95</v>
      </c>
      <c r="H1237" t="s">
        <v>46</v>
      </c>
      <c r="I1237" t="s">
        <v>47</v>
      </c>
      <c r="J1237" t="s">
        <v>89</v>
      </c>
      <c r="K1237">
        <v>1</v>
      </c>
      <c r="L1237" s="4">
        <v>19000</v>
      </c>
      <c r="M1237">
        <v>15</v>
      </c>
      <c r="N1237" s="4">
        <v>16150</v>
      </c>
      <c r="O1237" t="s">
        <v>25</v>
      </c>
      <c r="P1237">
        <v>1</v>
      </c>
      <c r="Q1237" t="s">
        <v>65</v>
      </c>
      <c r="R1237">
        <v>0</v>
      </c>
    </row>
    <row r="1238" spans="1:18" x14ac:dyDescent="0.3">
      <c r="A1238" t="s">
        <v>2756</v>
      </c>
      <c r="B1238" s="1">
        <v>45712</v>
      </c>
      <c r="C1238" t="s">
        <v>121</v>
      </c>
      <c r="D1238" t="s">
        <v>3292</v>
      </c>
      <c r="E1238">
        <v>29</v>
      </c>
      <c r="F1238" t="s">
        <v>61</v>
      </c>
      <c r="G1238" t="s">
        <v>61</v>
      </c>
      <c r="H1238" t="s">
        <v>22</v>
      </c>
      <c r="I1238" t="s">
        <v>23</v>
      </c>
      <c r="J1238" t="s">
        <v>64</v>
      </c>
      <c r="K1238">
        <v>7</v>
      </c>
      <c r="L1238" s="4">
        <v>39500</v>
      </c>
      <c r="M1238">
        <v>0</v>
      </c>
      <c r="N1238" s="4">
        <v>276500</v>
      </c>
      <c r="O1238" t="s">
        <v>25</v>
      </c>
      <c r="Q1238" t="s">
        <v>74</v>
      </c>
      <c r="R1238">
        <v>0</v>
      </c>
    </row>
    <row r="1239" spans="1:18" x14ac:dyDescent="0.3">
      <c r="A1239" t="s">
        <v>2757</v>
      </c>
      <c r="B1239" s="1">
        <v>45961</v>
      </c>
      <c r="C1239" t="s">
        <v>121</v>
      </c>
      <c r="D1239" t="s">
        <v>39</v>
      </c>
      <c r="E1239">
        <v>53</v>
      </c>
      <c r="F1239" t="s">
        <v>77</v>
      </c>
      <c r="G1239" t="s">
        <v>95</v>
      </c>
      <c r="H1239" t="s">
        <v>22</v>
      </c>
      <c r="I1239" t="s">
        <v>84</v>
      </c>
      <c r="J1239" t="s">
        <v>24</v>
      </c>
      <c r="K1239">
        <v>2</v>
      </c>
      <c r="L1239" s="4">
        <v>34800</v>
      </c>
      <c r="M1239">
        <v>15</v>
      </c>
      <c r="N1239" s="4">
        <v>59160</v>
      </c>
      <c r="O1239" t="s">
        <v>73</v>
      </c>
      <c r="Q1239" t="s">
        <v>65</v>
      </c>
      <c r="R1239">
        <v>0</v>
      </c>
    </row>
    <row r="1240" spans="1:18" x14ac:dyDescent="0.3">
      <c r="A1240" t="s">
        <v>2758</v>
      </c>
      <c r="B1240" s="1">
        <v>46332</v>
      </c>
      <c r="C1240" t="s">
        <v>19</v>
      </c>
      <c r="D1240" t="s">
        <v>3292</v>
      </c>
      <c r="E1240">
        <v>39</v>
      </c>
      <c r="F1240" t="s">
        <v>30</v>
      </c>
      <c r="G1240" t="s">
        <v>57</v>
      </c>
      <c r="H1240" t="s">
        <v>22</v>
      </c>
      <c r="I1240" t="s">
        <v>23</v>
      </c>
      <c r="J1240" t="s">
        <v>34</v>
      </c>
      <c r="K1240">
        <v>9</v>
      </c>
      <c r="L1240" s="4">
        <v>40600</v>
      </c>
      <c r="M1240">
        <v>20</v>
      </c>
      <c r="N1240" s="4">
        <v>292320</v>
      </c>
      <c r="O1240" t="s">
        <v>25</v>
      </c>
      <c r="P1240">
        <v>5</v>
      </c>
      <c r="Q1240" t="s">
        <v>26</v>
      </c>
      <c r="R1240">
        <v>0</v>
      </c>
    </row>
    <row r="1241" spans="1:18" x14ac:dyDescent="0.3">
      <c r="A1241" t="s">
        <v>2760</v>
      </c>
      <c r="B1241" s="1">
        <v>45838</v>
      </c>
      <c r="C1241" t="s">
        <v>68</v>
      </c>
      <c r="D1241" t="s">
        <v>20</v>
      </c>
      <c r="E1241">
        <v>21</v>
      </c>
      <c r="F1241" t="s">
        <v>44</v>
      </c>
      <c r="G1241" t="s">
        <v>100</v>
      </c>
      <c r="H1241" t="s">
        <v>62</v>
      </c>
      <c r="I1241" t="s">
        <v>63</v>
      </c>
      <c r="J1241" t="s">
        <v>80</v>
      </c>
      <c r="K1241">
        <v>10</v>
      </c>
      <c r="L1241" s="4">
        <v>36500</v>
      </c>
      <c r="M1241">
        <v>5</v>
      </c>
      <c r="N1241" s="4">
        <v>346750</v>
      </c>
      <c r="O1241" t="s">
        <v>85</v>
      </c>
      <c r="P1241">
        <v>2</v>
      </c>
      <c r="Q1241" t="s">
        <v>65</v>
      </c>
      <c r="R1241">
        <v>0</v>
      </c>
    </row>
    <row r="1242" spans="1:18" x14ac:dyDescent="0.3">
      <c r="A1242" t="s">
        <v>2761</v>
      </c>
      <c r="B1242" s="1">
        <v>45758</v>
      </c>
      <c r="C1242" t="s">
        <v>121</v>
      </c>
      <c r="D1242" t="s">
        <v>39</v>
      </c>
      <c r="E1242">
        <v>26</v>
      </c>
      <c r="F1242" t="s">
        <v>51</v>
      </c>
      <c r="G1242" t="s">
        <v>52</v>
      </c>
      <c r="H1242" t="s">
        <v>62</v>
      </c>
      <c r="I1242" t="s">
        <v>140</v>
      </c>
      <c r="J1242" t="s">
        <v>72</v>
      </c>
      <c r="K1242">
        <v>5</v>
      </c>
      <c r="L1242" s="4">
        <v>15400</v>
      </c>
      <c r="M1242">
        <v>10</v>
      </c>
      <c r="N1242" s="4">
        <v>69300</v>
      </c>
      <c r="O1242" t="s">
        <v>85</v>
      </c>
      <c r="Q1242" t="s">
        <v>74</v>
      </c>
      <c r="R1242">
        <v>0</v>
      </c>
    </row>
    <row r="1243" spans="1:18" x14ac:dyDescent="0.3">
      <c r="A1243" t="s">
        <v>2762</v>
      </c>
      <c r="B1243" s="1">
        <v>45958</v>
      </c>
      <c r="C1243" t="s">
        <v>121</v>
      </c>
      <c r="D1243" t="s">
        <v>20</v>
      </c>
      <c r="E1243">
        <v>31</v>
      </c>
      <c r="F1243" t="s">
        <v>61</v>
      </c>
      <c r="G1243" t="s">
        <v>61</v>
      </c>
      <c r="H1243" t="s">
        <v>46</v>
      </c>
      <c r="I1243" t="s">
        <v>79</v>
      </c>
      <c r="J1243" t="s">
        <v>34</v>
      </c>
      <c r="K1243">
        <v>3</v>
      </c>
      <c r="L1243" s="4">
        <v>2500</v>
      </c>
      <c r="M1243">
        <v>10</v>
      </c>
      <c r="N1243" s="4">
        <v>6750</v>
      </c>
      <c r="O1243" t="s">
        <v>85</v>
      </c>
      <c r="Q1243" t="s">
        <v>41</v>
      </c>
      <c r="R1243">
        <v>1</v>
      </c>
    </row>
    <row r="1244" spans="1:18" x14ac:dyDescent="0.3">
      <c r="A1244" t="s">
        <v>2763</v>
      </c>
      <c r="B1244" s="1">
        <v>46055</v>
      </c>
      <c r="C1244" t="s">
        <v>71</v>
      </c>
      <c r="D1244" t="s">
        <v>20</v>
      </c>
      <c r="E1244">
        <v>54</v>
      </c>
      <c r="F1244" t="s">
        <v>21</v>
      </c>
      <c r="G1244" t="s">
        <v>21</v>
      </c>
      <c r="H1244" t="s">
        <v>22</v>
      </c>
      <c r="I1244" t="s">
        <v>84</v>
      </c>
      <c r="J1244" t="s">
        <v>89</v>
      </c>
      <c r="K1244">
        <v>2</v>
      </c>
      <c r="L1244" s="4">
        <v>12500</v>
      </c>
      <c r="M1244">
        <v>0</v>
      </c>
      <c r="N1244" s="4">
        <v>25000</v>
      </c>
      <c r="O1244" t="s">
        <v>73</v>
      </c>
      <c r="Q1244" t="s">
        <v>41</v>
      </c>
      <c r="R1244">
        <v>1</v>
      </c>
    </row>
    <row r="1245" spans="1:18" x14ac:dyDescent="0.3">
      <c r="A1245" t="s">
        <v>2766</v>
      </c>
      <c r="B1245" s="1">
        <v>45882</v>
      </c>
      <c r="C1245" t="s">
        <v>38</v>
      </c>
      <c r="D1245" t="s">
        <v>3292</v>
      </c>
      <c r="E1245">
        <v>25</v>
      </c>
      <c r="F1245" t="s">
        <v>30</v>
      </c>
      <c r="G1245" t="s">
        <v>31</v>
      </c>
      <c r="H1245" t="s">
        <v>22</v>
      </c>
      <c r="I1245" t="s">
        <v>84</v>
      </c>
      <c r="J1245" t="s">
        <v>34</v>
      </c>
      <c r="K1245">
        <v>9</v>
      </c>
      <c r="L1245" s="4">
        <v>10500</v>
      </c>
      <c r="M1245">
        <v>25</v>
      </c>
      <c r="N1245" s="4">
        <v>70875</v>
      </c>
      <c r="O1245" t="s">
        <v>85</v>
      </c>
      <c r="Q1245" t="s">
        <v>74</v>
      </c>
      <c r="R1245">
        <v>0</v>
      </c>
    </row>
    <row r="1246" spans="1:18" x14ac:dyDescent="0.3">
      <c r="A1246" t="s">
        <v>2769</v>
      </c>
      <c r="B1246" s="1">
        <v>45680</v>
      </c>
      <c r="C1246" t="s">
        <v>88</v>
      </c>
      <c r="D1246" t="s">
        <v>20</v>
      </c>
      <c r="E1246">
        <v>43</v>
      </c>
      <c r="F1246" t="s">
        <v>30</v>
      </c>
      <c r="G1246" t="s">
        <v>57</v>
      </c>
      <c r="H1246" t="s">
        <v>22</v>
      </c>
      <c r="I1246" t="s">
        <v>23</v>
      </c>
      <c r="J1246" t="s">
        <v>72</v>
      </c>
      <c r="K1246">
        <v>1</v>
      </c>
      <c r="L1246" s="4">
        <v>43400</v>
      </c>
      <c r="M1246">
        <v>20</v>
      </c>
      <c r="N1246" s="4">
        <v>34720</v>
      </c>
      <c r="O1246" t="s">
        <v>25</v>
      </c>
      <c r="Q1246" t="s">
        <v>26</v>
      </c>
      <c r="R1246">
        <v>0</v>
      </c>
    </row>
    <row r="1247" spans="1:18" x14ac:dyDescent="0.3">
      <c r="A1247" t="s">
        <v>2770</v>
      </c>
      <c r="B1247" s="1">
        <v>45710</v>
      </c>
      <c r="C1247" t="s">
        <v>94</v>
      </c>
      <c r="D1247" t="s">
        <v>20</v>
      </c>
      <c r="E1247">
        <v>52</v>
      </c>
      <c r="F1247" t="s">
        <v>77</v>
      </c>
      <c r="G1247" t="s">
        <v>78</v>
      </c>
      <c r="H1247" t="s">
        <v>32</v>
      </c>
      <c r="I1247" t="s">
        <v>53</v>
      </c>
      <c r="J1247" t="s">
        <v>72</v>
      </c>
      <c r="K1247">
        <v>5</v>
      </c>
      <c r="L1247" s="4">
        <v>4500</v>
      </c>
      <c r="M1247">
        <v>15</v>
      </c>
      <c r="N1247" s="4">
        <v>19125</v>
      </c>
      <c r="O1247" t="s">
        <v>25</v>
      </c>
      <c r="P1247">
        <v>5</v>
      </c>
      <c r="Q1247" t="s">
        <v>41</v>
      </c>
      <c r="R1247">
        <v>1</v>
      </c>
    </row>
    <row r="1248" spans="1:18" x14ac:dyDescent="0.3">
      <c r="A1248" t="s">
        <v>2772</v>
      </c>
      <c r="B1248" s="1">
        <v>46123</v>
      </c>
      <c r="C1248" t="s">
        <v>19</v>
      </c>
      <c r="D1248" t="s">
        <v>20</v>
      </c>
      <c r="E1248">
        <v>32</v>
      </c>
      <c r="F1248" t="s">
        <v>21</v>
      </c>
      <c r="G1248" t="s">
        <v>21</v>
      </c>
      <c r="H1248" t="s">
        <v>62</v>
      </c>
      <c r="I1248" t="s">
        <v>140</v>
      </c>
      <c r="J1248" t="s">
        <v>89</v>
      </c>
      <c r="K1248">
        <v>10</v>
      </c>
      <c r="L1248" s="4">
        <v>15400</v>
      </c>
      <c r="M1248">
        <v>0</v>
      </c>
      <c r="N1248" s="4">
        <v>154000</v>
      </c>
      <c r="O1248" t="s">
        <v>85</v>
      </c>
      <c r="Q1248" t="s">
        <v>26</v>
      </c>
      <c r="R1248">
        <v>0</v>
      </c>
    </row>
    <row r="1249" spans="1:18" x14ac:dyDescent="0.3">
      <c r="A1249" t="s">
        <v>2777</v>
      </c>
      <c r="B1249" s="1">
        <v>45977</v>
      </c>
      <c r="C1249" t="s">
        <v>68</v>
      </c>
      <c r="D1249" t="s">
        <v>39</v>
      </c>
      <c r="E1249">
        <v>44</v>
      </c>
      <c r="F1249" t="s">
        <v>44</v>
      </c>
      <c r="G1249" t="s">
        <v>45</v>
      </c>
      <c r="H1249" t="s">
        <v>32</v>
      </c>
      <c r="I1249" t="s">
        <v>53</v>
      </c>
      <c r="J1249" t="s">
        <v>24</v>
      </c>
      <c r="K1249">
        <v>3</v>
      </c>
      <c r="L1249" s="4">
        <v>32600</v>
      </c>
      <c r="M1249">
        <v>5</v>
      </c>
      <c r="N1249" s="4">
        <v>92910</v>
      </c>
      <c r="O1249" t="s">
        <v>73</v>
      </c>
      <c r="Q1249" t="s">
        <v>74</v>
      </c>
      <c r="R1249">
        <v>0</v>
      </c>
    </row>
    <row r="1250" spans="1:18" x14ac:dyDescent="0.3">
      <c r="A1250" t="s">
        <v>2778</v>
      </c>
      <c r="B1250" s="1">
        <v>45658</v>
      </c>
      <c r="C1250" t="s">
        <v>68</v>
      </c>
      <c r="D1250" t="s">
        <v>39</v>
      </c>
      <c r="E1250">
        <v>64</v>
      </c>
      <c r="F1250" t="s">
        <v>61</v>
      </c>
      <c r="G1250" t="s">
        <v>61</v>
      </c>
      <c r="H1250" t="s">
        <v>22</v>
      </c>
      <c r="I1250" t="s">
        <v>23</v>
      </c>
      <c r="J1250" t="s">
        <v>34</v>
      </c>
      <c r="K1250">
        <v>4</v>
      </c>
      <c r="L1250" s="4">
        <v>38700</v>
      </c>
      <c r="M1250">
        <v>0</v>
      </c>
      <c r="N1250" s="4">
        <v>154800</v>
      </c>
      <c r="O1250" t="s">
        <v>73</v>
      </c>
      <c r="Q1250" t="s">
        <v>26</v>
      </c>
      <c r="R1250">
        <v>0</v>
      </c>
    </row>
    <row r="1251" spans="1:18" x14ac:dyDescent="0.3">
      <c r="A1251" t="s">
        <v>2779</v>
      </c>
      <c r="B1251" s="1">
        <v>45967</v>
      </c>
      <c r="C1251" t="s">
        <v>19</v>
      </c>
      <c r="D1251" t="s">
        <v>39</v>
      </c>
      <c r="E1251">
        <v>33</v>
      </c>
      <c r="F1251" t="s">
        <v>44</v>
      </c>
      <c r="G1251" t="s">
        <v>45</v>
      </c>
      <c r="H1251" t="s">
        <v>62</v>
      </c>
      <c r="I1251" t="s">
        <v>140</v>
      </c>
      <c r="J1251" t="s">
        <v>34</v>
      </c>
      <c r="K1251">
        <v>3</v>
      </c>
      <c r="L1251" s="4">
        <v>10900</v>
      </c>
      <c r="M1251">
        <v>5</v>
      </c>
      <c r="N1251" s="4">
        <v>31065</v>
      </c>
      <c r="O1251" t="s">
        <v>73</v>
      </c>
      <c r="P1251">
        <v>1</v>
      </c>
      <c r="Q1251" t="s">
        <v>65</v>
      </c>
      <c r="R1251">
        <v>0</v>
      </c>
    </row>
    <row r="1252" spans="1:18" x14ac:dyDescent="0.3">
      <c r="A1252" t="s">
        <v>2781</v>
      </c>
      <c r="B1252" s="1">
        <v>45844</v>
      </c>
      <c r="C1252" t="s">
        <v>68</v>
      </c>
      <c r="D1252" t="s">
        <v>3292</v>
      </c>
      <c r="E1252">
        <v>19</v>
      </c>
      <c r="F1252" t="s">
        <v>21</v>
      </c>
      <c r="G1252" t="s">
        <v>21</v>
      </c>
      <c r="H1252" t="s">
        <v>62</v>
      </c>
      <c r="I1252" t="s">
        <v>140</v>
      </c>
      <c r="J1252" t="s">
        <v>72</v>
      </c>
      <c r="K1252">
        <v>9</v>
      </c>
      <c r="L1252" s="4">
        <v>33600</v>
      </c>
      <c r="M1252">
        <v>20</v>
      </c>
      <c r="N1252" s="4">
        <v>241920</v>
      </c>
      <c r="O1252" t="s">
        <v>73</v>
      </c>
      <c r="Q1252" t="s">
        <v>74</v>
      </c>
      <c r="R1252">
        <v>0</v>
      </c>
    </row>
    <row r="1253" spans="1:18" x14ac:dyDescent="0.3">
      <c r="A1253" t="s">
        <v>2782</v>
      </c>
      <c r="B1253" s="1">
        <v>45726</v>
      </c>
      <c r="C1253" t="s">
        <v>88</v>
      </c>
      <c r="D1253" t="s">
        <v>39</v>
      </c>
      <c r="E1253">
        <v>37</v>
      </c>
      <c r="F1253" t="s">
        <v>21</v>
      </c>
      <c r="G1253" t="s">
        <v>21</v>
      </c>
      <c r="H1253" t="s">
        <v>46</v>
      </c>
      <c r="I1253" t="s">
        <v>47</v>
      </c>
      <c r="J1253" t="s">
        <v>34</v>
      </c>
      <c r="K1253">
        <v>5</v>
      </c>
      <c r="L1253" s="4">
        <v>17000</v>
      </c>
      <c r="M1253">
        <v>10</v>
      </c>
      <c r="N1253" s="4">
        <v>76500</v>
      </c>
      <c r="O1253" t="s">
        <v>25</v>
      </c>
      <c r="P1253">
        <v>2</v>
      </c>
      <c r="Q1253" t="s">
        <v>26</v>
      </c>
      <c r="R1253">
        <v>0</v>
      </c>
    </row>
    <row r="1254" spans="1:18" x14ac:dyDescent="0.3">
      <c r="A1254" t="s">
        <v>2783</v>
      </c>
      <c r="B1254" s="1">
        <v>46298</v>
      </c>
      <c r="C1254" t="s">
        <v>38</v>
      </c>
      <c r="D1254" t="s">
        <v>20</v>
      </c>
      <c r="E1254">
        <v>42</v>
      </c>
      <c r="F1254" t="s">
        <v>61</v>
      </c>
      <c r="G1254" t="s">
        <v>61</v>
      </c>
      <c r="H1254" t="s">
        <v>32</v>
      </c>
      <c r="I1254" t="s">
        <v>33</v>
      </c>
      <c r="J1254" t="s">
        <v>80</v>
      </c>
      <c r="K1254">
        <v>10</v>
      </c>
      <c r="L1254" s="4">
        <v>26400</v>
      </c>
      <c r="M1254">
        <v>25</v>
      </c>
      <c r="N1254" s="4">
        <v>198000</v>
      </c>
      <c r="O1254" t="s">
        <v>25</v>
      </c>
      <c r="P1254">
        <v>3</v>
      </c>
      <c r="Q1254" t="s">
        <v>26</v>
      </c>
      <c r="R1254">
        <v>0</v>
      </c>
    </row>
    <row r="1255" spans="1:18" x14ac:dyDescent="0.3">
      <c r="A1255" t="s">
        <v>2784</v>
      </c>
      <c r="B1255" s="1">
        <v>45973</v>
      </c>
      <c r="C1255" t="s">
        <v>113</v>
      </c>
      <c r="D1255" t="s">
        <v>39</v>
      </c>
      <c r="E1255">
        <v>26</v>
      </c>
      <c r="F1255" t="s">
        <v>30</v>
      </c>
      <c r="G1255" t="s">
        <v>31</v>
      </c>
      <c r="H1255" t="s">
        <v>22</v>
      </c>
      <c r="I1255" t="s">
        <v>84</v>
      </c>
      <c r="J1255" t="s">
        <v>24</v>
      </c>
      <c r="K1255">
        <v>1</v>
      </c>
      <c r="L1255" s="4">
        <v>12800</v>
      </c>
      <c r="M1255">
        <v>25</v>
      </c>
      <c r="N1255" s="4">
        <v>9600</v>
      </c>
      <c r="O1255" t="s">
        <v>85</v>
      </c>
      <c r="Q1255" t="s">
        <v>74</v>
      </c>
      <c r="R1255">
        <v>0</v>
      </c>
    </row>
    <row r="1256" spans="1:18" x14ac:dyDescent="0.3">
      <c r="A1256" t="s">
        <v>2786</v>
      </c>
      <c r="B1256" s="1">
        <v>45758</v>
      </c>
      <c r="C1256" t="s">
        <v>94</v>
      </c>
      <c r="D1256" t="s">
        <v>39</v>
      </c>
      <c r="E1256">
        <v>32</v>
      </c>
      <c r="F1256" t="s">
        <v>44</v>
      </c>
      <c r="G1256" t="s">
        <v>100</v>
      </c>
      <c r="H1256" t="s">
        <v>46</v>
      </c>
      <c r="I1256" t="s">
        <v>47</v>
      </c>
      <c r="J1256" t="s">
        <v>80</v>
      </c>
      <c r="K1256">
        <v>9</v>
      </c>
      <c r="L1256" s="4">
        <v>47900</v>
      </c>
      <c r="M1256">
        <v>0</v>
      </c>
      <c r="N1256" s="4">
        <v>431100</v>
      </c>
      <c r="O1256" t="s">
        <v>85</v>
      </c>
      <c r="P1256">
        <v>2</v>
      </c>
      <c r="Q1256" t="s">
        <v>74</v>
      </c>
      <c r="R1256">
        <v>0</v>
      </c>
    </row>
    <row r="1257" spans="1:18" x14ac:dyDescent="0.3">
      <c r="A1257" t="s">
        <v>2787</v>
      </c>
      <c r="B1257" s="1">
        <v>45989</v>
      </c>
      <c r="C1257" t="s">
        <v>29</v>
      </c>
      <c r="D1257" t="s">
        <v>20</v>
      </c>
      <c r="E1257">
        <v>34</v>
      </c>
      <c r="F1257" t="s">
        <v>30</v>
      </c>
      <c r="G1257" t="s">
        <v>31</v>
      </c>
      <c r="H1257" t="s">
        <v>62</v>
      </c>
      <c r="I1257" t="s">
        <v>140</v>
      </c>
      <c r="J1257" t="s">
        <v>34</v>
      </c>
      <c r="K1257">
        <v>10</v>
      </c>
      <c r="L1257" s="4">
        <v>15400</v>
      </c>
      <c r="M1257">
        <v>15</v>
      </c>
      <c r="N1257" s="4">
        <v>130900</v>
      </c>
      <c r="O1257" t="s">
        <v>85</v>
      </c>
      <c r="P1257">
        <v>3</v>
      </c>
      <c r="Q1257" t="s">
        <v>26</v>
      </c>
      <c r="R1257">
        <v>0</v>
      </c>
    </row>
    <row r="1258" spans="1:18" x14ac:dyDescent="0.3">
      <c r="A1258" t="s">
        <v>2788</v>
      </c>
      <c r="B1258" s="1">
        <v>45801</v>
      </c>
      <c r="C1258" t="s">
        <v>71</v>
      </c>
      <c r="D1258" t="s">
        <v>20</v>
      </c>
      <c r="E1258">
        <v>42</v>
      </c>
      <c r="F1258" t="s">
        <v>77</v>
      </c>
      <c r="G1258" t="s">
        <v>95</v>
      </c>
      <c r="H1258" t="s">
        <v>32</v>
      </c>
      <c r="I1258" t="s">
        <v>33</v>
      </c>
      <c r="J1258" t="s">
        <v>72</v>
      </c>
      <c r="K1258">
        <v>7</v>
      </c>
      <c r="L1258" s="4">
        <v>8100</v>
      </c>
      <c r="M1258">
        <v>5</v>
      </c>
      <c r="N1258" s="4">
        <v>53865</v>
      </c>
      <c r="O1258" t="s">
        <v>85</v>
      </c>
      <c r="P1258">
        <v>3</v>
      </c>
      <c r="Q1258" t="s">
        <v>65</v>
      </c>
      <c r="R1258">
        <v>0</v>
      </c>
    </row>
    <row r="1259" spans="1:18" x14ac:dyDescent="0.3">
      <c r="A1259" t="s">
        <v>2789</v>
      </c>
      <c r="B1259" s="1">
        <v>45849</v>
      </c>
      <c r="C1259" t="s">
        <v>71</v>
      </c>
      <c r="D1259" t="s">
        <v>39</v>
      </c>
      <c r="E1259">
        <v>18</v>
      </c>
      <c r="F1259" t="s">
        <v>61</v>
      </c>
      <c r="G1259" t="s">
        <v>61</v>
      </c>
      <c r="H1259" t="s">
        <v>22</v>
      </c>
      <c r="I1259" t="s">
        <v>84</v>
      </c>
      <c r="J1259" t="s">
        <v>80</v>
      </c>
      <c r="K1259">
        <v>7</v>
      </c>
      <c r="L1259" s="4">
        <v>45500</v>
      </c>
      <c r="M1259">
        <v>5</v>
      </c>
      <c r="N1259" s="4">
        <v>302575</v>
      </c>
      <c r="O1259" t="s">
        <v>85</v>
      </c>
      <c r="P1259">
        <v>1</v>
      </c>
      <c r="Q1259" t="s">
        <v>26</v>
      </c>
      <c r="R1259">
        <v>0</v>
      </c>
    </row>
    <row r="1260" spans="1:18" x14ac:dyDescent="0.3">
      <c r="A1260" t="s">
        <v>2790</v>
      </c>
      <c r="B1260" s="1">
        <v>45674</v>
      </c>
      <c r="C1260" t="s">
        <v>121</v>
      </c>
      <c r="D1260" t="s">
        <v>20</v>
      </c>
      <c r="E1260">
        <v>31</v>
      </c>
      <c r="F1260" t="s">
        <v>51</v>
      </c>
      <c r="G1260" t="s">
        <v>104</v>
      </c>
      <c r="H1260" t="s">
        <v>22</v>
      </c>
      <c r="I1260" t="s">
        <v>84</v>
      </c>
      <c r="J1260" t="s">
        <v>72</v>
      </c>
      <c r="K1260">
        <v>1</v>
      </c>
      <c r="L1260" s="4">
        <v>43300</v>
      </c>
      <c r="M1260">
        <v>5</v>
      </c>
      <c r="N1260" s="4">
        <v>41135</v>
      </c>
      <c r="O1260" t="s">
        <v>73</v>
      </c>
      <c r="Q1260" t="s">
        <v>26</v>
      </c>
      <c r="R1260">
        <v>0</v>
      </c>
    </row>
    <row r="1261" spans="1:18" x14ac:dyDescent="0.3">
      <c r="A1261" t="s">
        <v>2792</v>
      </c>
      <c r="B1261" s="1">
        <v>46000</v>
      </c>
      <c r="C1261" t="s">
        <v>71</v>
      </c>
      <c r="D1261" t="s">
        <v>39</v>
      </c>
      <c r="E1261">
        <v>26</v>
      </c>
      <c r="F1261" t="s">
        <v>30</v>
      </c>
      <c r="G1261" t="s">
        <v>31</v>
      </c>
      <c r="H1261" t="s">
        <v>62</v>
      </c>
      <c r="I1261" t="s">
        <v>140</v>
      </c>
      <c r="J1261" t="s">
        <v>80</v>
      </c>
      <c r="K1261">
        <v>2</v>
      </c>
      <c r="L1261" s="4">
        <v>19500</v>
      </c>
      <c r="M1261">
        <v>25</v>
      </c>
      <c r="N1261" s="4">
        <v>29250</v>
      </c>
      <c r="O1261" t="s">
        <v>25</v>
      </c>
      <c r="P1261">
        <v>2</v>
      </c>
      <c r="Q1261" t="s">
        <v>74</v>
      </c>
      <c r="R1261">
        <v>0</v>
      </c>
    </row>
    <row r="1262" spans="1:18" x14ac:dyDescent="0.3">
      <c r="A1262" t="s">
        <v>2794</v>
      </c>
      <c r="B1262" s="1">
        <v>45783</v>
      </c>
      <c r="C1262" t="s">
        <v>60</v>
      </c>
      <c r="D1262" t="s">
        <v>20</v>
      </c>
      <c r="E1262">
        <v>37</v>
      </c>
      <c r="F1262" t="s">
        <v>51</v>
      </c>
      <c r="G1262" t="s">
        <v>104</v>
      </c>
      <c r="H1262" t="s">
        <v>32</v>
      </c>
      <c r="I1262" t="s">
        <v>53</v>
      </c>
      <c r="J1262" t="s">
        <v>24</v>
      </c>
      <c r="K1262">
        <v>2</v>
      </c>
      <c r="L1262" s="4">
        <v>10600</v>
      </c>
      <c r="M1262">
        <v>15</v>
      </c>
      <c r="N1262" s="4">
        <v>18020</v>
      </c>
      <c r="O1262" t="s">
        <v>73</v>
      </c>
      <c r="P1262">
        <v>4</v>
      </c>
      <c r="Q1262" t="s">
        <v>26</v>
      </c>
      <c r="R1262">
        <v>0</v>
      </c>
    </row>
    <row r="1263" spans="1:18" x14ac:dyDescent="0.3">
      <c r="A1263" t="s">
        <v>2795</v>
      </c>
      <c r="B1263" s="1">
        <v>46132</v>
      </c>
      <c r="C1263" t="s">
        <v>60</v>
      </c>
      <c r="D1263" t="s">
        <v>20</v>
      </c>
      <c r="E1263">
        <v>19</v>
      </c>
      <c r="F1263" t="s">
        <v>44</v>
      </c>
      <c r="G1263" t="s">
        <v>100</v>
      </c>
      <c r="H1263" t="s">
        <v>62</v>
      </c>
      <c r="I1263" t="s">
        <v>140</v>
      </c>
      <c r="J1263" t="s">
        <v>80</v>
      </c>
      <c r="K1263">
        <v>8</v>
      </c>
      <c r="L1263" s="4">
        <v>48100</v>
      </c>
      <c r="M1263">
        <v>15</v>
      </c>
      <c r="N1263" s="4">
        <v>327080</v>
      </c>
      <c r="O1263" t="s">
        <v>25</v>
      </c>
      <c r="Q1263" t="s">
        <v>65</v>
      </c>
      <c r="R1263">
        <v>0</v>
      </c>
    </row>
    <row r="1264" spans="1:18" x14ac:dyDescent="0.3">
      <c r="A1264" t="s">
        <v>2798</v>
      </c>
      <c r="B1264" s="1">
        <v>45772</v>
      </c>
      <c r="C1264" t="s">
        <v>71</v>
      </c>
      <c r="D1264" t="s">
        <v>39</v>
      </c>
      <c r="E1264">
        <v>44</v>
      </c>
      <c r="F1264" t="s">
        <v>44</v>
      </c>
      <c r="G1264" t="s">
        <v>45</v>
      </c>
      <c r="H1264" t="s">
        <v>62</v>
      </c>
      <c r="I1264" t="s">
        <v>63</v>
      </c>
      <c r="J1264" t="s">
        <v>80</v>
      </c>
      <c r="K1264">
        <v>2</v>
      </c>
      <c r="L1264" s="4">
        <v>20800</v>
      </c>
      <c r="M1264">
        <v>15</v>
      </c>
      <c r="N1264" s="4">
        <v>35360</v>
      </c>
      <c r="O1264" t="s">
        <v>85</v>
      </c>
      <c r="P1264">
        <v>1</v>
      </c>
      <c r="Q1264" t="s">
        <v>74</v>
      </c>
      <c r="R1264">
        <v>0</v>
      </c>
    </row>
    <row r="1265" spans="1:18" x14ac:dyDescent="0.3">
      <c r="A1265" t="s">
        <v>2799</v>
      </c>
      <c r="B1265" s="1">
        <v>45716</v>
      </c>
      <c r="C1265" t="s">
        <v>113</v>
      </c>
      <c r="D1265" t="s">
        <v>3292</v>
      </c>
      <c r="E1265">
        <v>31</v>
      </c>
      <c r="F1265" t="s">
        <v>21</v>
      </c>
      <c r="G1265" t="s">
        <v>21</v>
      </c>
      <c r="H1265" t="s">
        <v>32</v>
      </c>
      <c r="I1265" t="s">
        <v>33</v>
      </c>
      <c r="J1265" t="s">
        <v>24</v>
      </c>
      <c r="K1265">
        <v>2</v>
      </c>
      <c r="L1265" s="4">
        <v>11500</v>
      </c>
      <c r="M1265">
        <v>10</v>
      </c>
      <c r="N1265" s="4">
        <v>20700</v>
      </c>
      <c r="O1265" t="s">
        <v>73</v>
      </c>
      <c r="P1265">
        <v>3</v>
      </c>
      <c r="Q1265" t="s">
        <v>26</v>
      </c>
      <c r="R1265">
        <v>0</v>
      </c>
    </row>
    <row r="1266" spans="1:18" x14ac:dyDescent="0.3">
      <c r="A1266" t="s">
        <v>2801</v>
      </c>
      <c r="B1266" s="1">
        <v>45662</v>
      </c>
      <c r="C1266" t="s">
        <v>113</v>
      </c>
      <c r="D1266" t="s">
        <v>39</v>
      </c>
      <c r="E1266">
        <v>28</v>
      </c>
      <c r="F1266" t="s">
        <v>77</v>
      </c>
      <c r="G1266" t="s">
        <v>78</v>
      </c>
      <c r="H1266" t="s">
        <v>46</v>
      </c>
      <c r="I1266" t="s">
        <v>79</v>
      </c>
      <c r="J1266" t="s">
        <v>64</v>
      </c>
      <c r="K1266">
        <v>1</v>
      </c>
      <c r="L1266" s="4">
        <v>48400</v>
      </c>
      <c r="M1266">
        <v>20</v>
      </c>
      <c r="N1266" s="4">
        <v>38720</v>
      </c>
      <c r="O1266" t="s">
        <v>85</v>
      </c>
      <c r="Q1266" t="s">
        <v>74</v>
      </c>
      <c r="R1266">
        <v>0</v>
      </c>
    </row>
    <row r="1267" spans="1:18" x14ac:dyDescent="0.3">
      <c r="A1267" t="s">
        <v>2804</v>
      </c>
      <c r="B1267" s="1">
        <v>45760</v>
      </c>
      <c r="C1267" t="s">
        <v>19</v>
      </c>
      <c r="D1267" t="s">
        <v>20</v>
      </c>
      <c r="E1267">
        <v>31</v>
      </c>
      <c r="F1267" t="s">
        <v>61</v>
      </c>
      <c r="G1267" t="s">
        <v>61</v>
      </c>
      <c r="H1267" t="s">
        <v>32</v>
      </c>
      <c r="I1267" t="s">
        <v>33</v>
      </c>
      <c r="J1267" t="s">
        <v>64</v>
      </c>
      <c r="K1267">
        <v>6</v>
      </c>
      <c r="L1267" s="4">
        <v>39800</v>
      </c>
      <c r="M1267">
        <v>20</v>
      </c>
      <c r="N1267" s="4">
        <v>191040</v>
      </c>
      <c r="O1267" t="s">
        <v>85</v>
      </c>
      <c r="P1267">
        <v>3</v>
      </c>
      <c r="Q1267" t="s">
        <v>74</v>
      </c>
      <c r="R1267">
        <v>0</v>
      </c>
    </row>
    <row r="1268" spans="1:18" x14ac:dyDescent="0.3">
      <c r="A1268" t="s">
        <v>2806</v>
      </c>
      <c r="B1268" s="1">
        <v>46050</v>
      </c>
      <c r="C1268" t="s">
        <v>121</v>
      </c>
      <c r="D1268" t="s">
        <v>20</v>
      </c>
      <c r="E1268">
        <v>23</v>
      </c>
      <c r="F1268" t="s">
        <v>61</v>
      </c>
      <c r="G1268" t="s">
        <v>61</v>
      </c>
      <c r="H1268" t="s">
        <v>62</v>
      </c>
      <c r="I1268" t="s">
        <v>140</v>
      </c>
      <c r="J1268" t="s">
        <v>80</v>
      </c>
      <c r="K1268">
        <v>9</v>
      </c>
      <c r="L1268" s="4">
        <v>43500</v>
      </c>
      <c r="M1268">
        <v>5</v>
      </c>
      <c r="N1268" s="4">
        <v>371925</v>
      </c>
      <c r="O1268" t="s">
        <v>73</v>
      </c>
      <c r="Q1268" t="s">
        <v>41</v>
      </c>
      <c r="R1268">
        <v>1</v>
      </c>
    </row>
    <row r="1269" spans="1:18" x14ac:dyDescent="0.3">
      <c r="A1269" t="s">
        <v>2808</v>
      </c>
      <c r="B1269" s="1">
        <v>45685</v>
      </c>
      <c r="C1269" t="s">
        <v>88</v>
      </c>
      <c r="D1269" t="s">
        <v>39</v>
      </c>
      <c r="E1269">
        <v>47</v>
      </c>
      <c r="F1269" t="s">
        <v>30</v>
      </c>
      <c r="G1269" t="s">
        <v>57</v>
      </c>
      <c r="H1269" t="s">
        <v>62</v>
      </c>
      <c r="I1269" t="s">
        <v>63</v>
      </c>
      <c r="J1269" t="s">
        <v>64</v>
      </c>
      <c r="K1269">
        <v>1</v>
      </c>
      <c r="L1269" s="4">
        <v>36400</v>
      </c>
      <c r="M1269">
        <v>15</v>
      </c>
      <c r="N1269" s="4">
        <v>30940</v>
      </c>
      <c r="O1269" t="s">
        <v>3293</v>
      </c>
      <c r="P1269">
        <v>4</v>
      </c>
      <c r="Q1269" t="s">
        <v>74</v>
      </c>
      <c r="R1269">
        <v>0</v>
      </c>
    </row>
    <row r="1270" spans="1:18" x14ac:dyDescent="0.3">
      <c r="A1270" t="s">
        <v>2813</v>
      </c>
      <c r="B1270" s="1">
        <v>45712</v>
      </c>
      <c r="C1270" t="s">
        <v>94</v>
      </c>
      <c r="D1270" t="s">
        <v>39</v>
      </c>
      <c r="E1270">
        <v>20</v>
      </c>
      <c r="F1270" t="s">
        <v>21</v>
      </c>
      <c r="G1270" t="s">
        <v>21</v>
      </c>
      <c r="H1270" t="s">
        <v>62</v>
      </c>
      <c r="I1270" t="s">
        <v>63</v>
      </c>
      <c r="J1270" t="s">
        <v>72</v>
      </c>
      <c r="K1270">
        <v>6</v>
      </c>
      <c r="L1270" s="4">
        <v>25500</v>
      </c>
      <c r="M1270">
        <v>25</v>
      </c>
      <c r="N1270" s="4">
        <v>114750</v>
      </c>
      <c r="O1270" t="s">
        <v>85</v>
      </c>
      <c r="P1270">
        <v>5</v>
      </c>
      <c r="Q1270" t="s">
        <v>26</v>
      </c>
      <c r="R1270">
        <v>0</v>
      </c>
    </row>
    <row r="1271" spans="1:18" x14ac:dyDescent="0.3">
      <c r="A1271" t="s">
        <v>2814</v>
      </c>
      <c r="B1271" s="1">
        <v>45969</v>
      </c>
      <c r="C1271" t="s">
        <v>121</v>
      </c>
      <c r="D1271" t="s">
        <v>20</v>
      </c>
      <c r="E1271">
        <v>29</v>
      </c>
      <c r="F1271" t="s">
        <v>61</v>
      </c>
      <c r="G1271" t="s">
        <v>61</v>
      </c>
      <c r="H1271" t="s">
        <v>62</v>
      </c>
      <c r="I1271" t="s">
        <v>140</v>
      </c>
      <c r="J1271" t="s">
        <v>24</v>
      </c>
      <c r="K1271">
        <v>5</v>
      </c>
      <c r="L1271" s="4">
        <v>45700</v>
      </c>
      <c r="M1271">
        <v>10</v>
      </c>
      <c r="N1271" s="4">
        <v>205650</v>
      </c>
      <c r="O1271" t="s">
        <v>85</v>
      </c>
      <c r="Q1271" t="s">
        <v>74</v>
      </c>
      <c r="R1271">
        <v>0</v>
      </c>
    </row>
    <row r="1272" spans="1:18" x14ac:dyDescent="0.3">
      <c r="A1272" t="s">
        <v>2815</v>
      </c>
      <c r="B1272" s="1">
        <v>46205</v>
      </c>
      <c r="C1272" t="s">
        <v>88</v>
      </c>
      <c r="D1272" t="s">
        <v>39</v>
      </c>
      <c r="E1272">
        <v>65</v>
      </c>
      <c r="F1272" t="s">
        <v>77</v>
      </c>
      <c r="G1272" t="s">
        <v>95</v>
      </c>
      <c r="H1272" t="s">
        <v>22</v>
      </c>
      <c r="I1272" t="s">
        <v>23</v>
      </c>
      <c r="J1272" t="s">
        <v>64</v>
      </c>
      <c r="K1272">
        <v>2</v>
      </c>
      <c r="L1272" s="4">
        <v>19800</v>
      </c>
      <c r="M1272">
        <v>0</v>
      </c>
      <c r="N1272" s="4">
        <v>39600</v>
      </c>
      <c r="O1272" t="s">
        <v>85</v>
      </c>
      <c r="P1272">
        <v>1</v>
      </c>
      <c r="Q1272" t="s">
        <v>41</v>
      </c>
      <c r="R1272">
        <v>1</v>
      </c>
    </row>
    <row r="1273" spans="1:18" x14ac:dyDescent="0.3">
      <c r="A1273" t="s">
        <v>2816</v>
      </c>
      <c r="B1273" s="1">
        <v>46062</v>
      </c>
      <c r="C1273" t="s">
        <v>71</v>
      </c>
      <c r="D1273" t="s">
        <v>39</v>
      </c>
      <c r="E1273">
        <v>39</v>
      </c>
      <c r="F1273" t="s">
        <v>77</v>
      </c>
      <c r="G1273" t="s">
        <v>78</v>
      </c>
      <c r="H1273" t="s">
        <v>62</v>
      </c>
      <c r="I1273" t="s">
        <v>140</v>
      </c>
      <c r="J1273" t="s">
        <v>80</v>
      </c>
      <c r="K1273">
        <v>7</v>
      </c>
      <c r="L1273" s="4">
        <v>33500</v>
      </c>
      <c r="M1273">
        <v>5</v>
      </c>
      <c r="N1273" s="4">
        <v>222775</v>
      </c>
      <c r="O1273" t="s">
        <v>25</v>
      </c>
      <c r="Q1273" t="s">
        <v>65</v>
      </c>
      <c r="R1273">
        <v>0</v>
      </c>
    </row>
    <row r="1274" spans="1:18" x14ac:dyDescent="0.3">
      <c r="A1274" t="s">
        <v>2818</v>
      </c>
      <c r="B1274" s="1">
        <v>46036</v>
      </c>
      <c r="C1274" t="s">
        <v>19</v>
      </c>
      <c r="D1274" t="s">
        <v>39</v>
      </c>
      <c r="E1274">
        <v>48</v>
      </c>
      <c r="F1274" t="s">
        <v>21</v>
      </c>
      <c r="G1274" t="s">
        <v>21</v>
      </c>
      <c r="H1274" t="s">
        <v>22</v>
      </c>
      <c r="I1274" t="s">
        <v>23</v>
      </c>
      <c r="J1274" t="s">
        <v>80</v>
      </c>
      <c r="K1274">
        <v>1</v>
      </c>
      <c r="L1274" s="4">
        <v>34900</v>
      </c>
      <c r="M1274">
        <v>10</v>
      </c>
      <c r="N1274" s="4">
        <v>31410</v>
      </c>
      <c r="O1274" t="s">
        <v>25</v>
      </c>
      <c r="Q1274" t="s">
        <v>41</v>
      </c>
      <c r="R1274">
        <v>1</v>
      </c>
    </row>
    <row r="1275" spans="1:18" x14ac:dyDescent="0.3">
      <c r="A1275" t="s">
        <v>2820</v>
      </c>
      <c r="B1275" s="1">
        <v>46123</v>
      </c>
      <c r="C1275" t="s">
        <v>38</v>
      </c>
      <c r="D1275" t="s">
        <v>3292</v>
      </c>
      <c r="E1275">
        <v>56</v>
      </c>
      <c r="F1275" t="s">
        <v>51</v>
      </c>
      <c r="G1275" t="s">
        <v>104</v>
      </c>
      <c r="H1275" t="s">
        <v>22</v>
      </c>
      <c r="I1275" t="s">
        <v>84</v>
      </c>
      <c r="J1275" t="s">
        <v>72</v>
      </c>
      <c r="K1275">
        <v>2</v>
      </c>
      <c r="L1275" s="4">
        <v>31100</v>
      </c>
      <c r="M1275">
        <v>5</v>
      </c>
      <c r="N1275" s="4">
        <v>59090</v>
      </c>
      <c r="O1275" t="s">
        <v>85</v>
      </c>
      <c r="P1275">
        <v>1</v>
      </c>
      <c r="Q1275" t="s">
        <v>41</v>
      </c>
      <c r="R1275">
        <v>1</v>
      </c>
    </row>
    <row r="1276" spans="1:18" x14ac:dyDescent="0.3">
      <c r="A1276" t="s">
        <v>2823</v>
      </c>
      <c r="B1276" s="1">
        <v>46127</v>
      </c>
      <c r="C1276" t="s">
        <v>88</v>
      </c>
      <c r="D1276" t="s">
        <v>39</v>
      </c>
      <c r="E1276">
        <v>65</v>
      </c>
      <c r="F1276" t="s">
        <v>30</v>
      </c>
      <c r="G1276" t="s">
        <v>31</v>
      </c>
      <c r="H1276" t="s">
        <v>62</v>
      </c>
      <c r="I1276" t="s">
        <v>63</v>
      </c>
      <c r="J1276" t="s">
        <v>24</v>
      </c>
      <c r="K1276">
        <v>7</v>
      </c>
      <c r="L1276" s="4">
        <v>16300</v>
      </c>
      <c r="M1276">
        <v>25</v>
      </c>
      <c r="N1276" s="4">
        <v>85575</v>
      </c>
      <c r="O1276" t="s">
        <v>85</v>
      </c>
      <c r="P1276">
        <v>2</v>
      </c>
      <c r="Q1276" t="s">
        <v>65</v>
      </c>
      <c r="R1276">
        <v>0</v>
      </c>
    </row>
    <row r="1277" spans="1:18" x14ac:dyDescent="0.3">
      <c r="A1277" t="s">
        <v>2826</v>
      </c>
      <c r="B1277" s="1">
        <v>46179</v>
      </c>
      <c r="C1277" t="s">
        <v>68</v>
      </c>
      <c r="D1277" t="s">
        <v>20</v>
      </c>
      <c r="E1277">
        <v>64</v>
      </c>
      <c r="F1277" t="s">
        <v>77</v>
      </c>
      <c r="G1277" t="s">
        <v>95</v>
      </c>
      <c r="H1277" t="s">
        <v>46</v>
      </c>
      <c r="I1277" t="s">
        <v>47</v>
      </c>
      <c r="J1277" t="s">
        <v>72</v>
      </c>
      <c r="K1277">
        <v>2</v>
      </c>
      <c r="L1277" s="4">
        <v>9200</v>
      </c>
      <c r="M1277">
        <v>10</v>
      </c>
      <c r="N1277" s="4">
        <v>16560</v>
      </c>
      <c r="O1277" t="s">
        <v>25</v>
      </c>
      <c r="P1277">
        <v>5</v>
      </c>
      <c r="Q1277" t="s">
        <v>74</v>
      </c>
      <c r="R1277">
        <v>0</v>
      </c>
    </row>
    <row r="1278" spans="1:18" x14ac:dyDescent="0.3">
      <c r="A1278" t="s">
        <v>2828</v>
      </c>
      <c r="B1278" s="1">
        <v>45945</v>
      </c>
      <c r="C1278" t="s">
        <v>29</v>
      </c>
      <c r="D1278" t="s">
        <v>3292</v>
      </c>
      <c r="E1278">
        <v>32</v>
      </c>
      <c r="F1278" t="s">
        <v>44</v>
      </c>
      <c r="G1278" t="s">
        <v>100</v>
      </c>
      <c r="H1278" t="s">
        <v>22</v>
      </c>
      <c r="I1278" t="s">
        <v>23</v>
      </c>
      <c r="J1278" t="s">
        <v>34</v>
      </c>
      <c r="K1278">
        <v>4</v>
      </c>
      <c r="L1278" s="4">
        <v>41300</v>
      </c>
      <c r="M1278">
        <v>10</v>
      </c>
      <c r="N1278" s="4">
        <v>148680</v>
      </c>
      <c r="O1278" t="s">
        <v>85</v>
      </c>
      <c r="P1278">
        <v>1</v>
      </c>
      <c r="Q1278" t="s">
        <v>74</v>
      </c>
      <c r="R1278">
        <v>0</v>
      </c>
    </row>
    <row r="1279" spans="1:18" x14ac:dyDescent="0.3">
      <c r="A1279" t="s">
        <v>2829</v>
      </c>
      <c r="B1279" s="1">
        <v>45772</v>
      </c>
      <c r="C1279" t="s">
        <v>68</v>
      </c>
      <c r="D1279" t="s">
        <v>3292</v>
      </c>
      <c r="E1279">
        <v>24</v>
      </c>
      <c r="F1279" t="s">
        <v>51</v>
      </c>
      <c r="G1279" t="s">
        <v>104</v>
      </c>
      <c r="H1279" t="s">
        <v>62</v>
      </c>
      <c r="I1279" t="s">
        <v>63</v>
      </c>
      <c r="J1279" t="s">
        <v>80</v>
      </c>
      <c r="K1279">
        <v>3</v>
      </c>
      <c r="L1279" s="4">
        <v>12100</v>
      </c>
      <c r="M1279">
        <v>15</v>
      </c>
      <c r="N1279" s="4">
        <v>30855</v>
      </c>
      <c r="O1279" t="s">
        <v>85</v>
      </c>
      <c r="P1279">
        <v>1</v>
      </c>
      <c r="Q1279" t="s">
        <v>41</v>
      </c>
      <c r="R1279">
        <v>1</v>
      </c>
    </row>
    <row r="1280" spans="1:18" x14ac:dyDescent="0.3">
      <c r="A1280" t="s">
        <v>2830</v>
      </c>
      <c r="B1280" s="1">
        <v>45686</v>
      </c>
      <c r="C1280" t="s">
        <v>38</v>
      </c>
      <c r="D1280" t="s">
        <v>39</v>
      </c>
      <c r="E1280">
        <v>33</v>
      </c>
      <c r="F1280" t="s">
        <v>51</v>
      </c>
      <c r="G1280" t="s">
        <v>104</v>
      </c>
      <c r="H1280" t="s">
        <v>22</v>
      </c>
      <c r="I1280" t="s">
        <v>23</v>
      </c>
      <c r="J1280" t="s">
        <v>64</v>
      </c>
      <c r="K1280">
        <v>3</v>
      </c>
      <c r="L1280" s="4">
        <v>8100</v>
      </c>
      <c r="M1280">
        <v>15</v>
      </c>
      <c r="N1280" s="4">
        <v>20655</v>
      </c>
      <c r="O1280" t="s">
        <v>25</v>
      </c>
      <c r="P1280">
        <v>3</v>
      </c>
      <c r="Q1280" t="s">
        <v>41</v>
      </c>
      <c r="R1280">
        <v>1</v>
      </c>
    </row>
    <row r="1281" spans="1:18" x14ac:dyDescent="0.3">
      <c r="A1281" t="s">
        <v>2831</v>
      </c>
      <c r="B1281" s="1">
        <v>45963</v>
      </c>
      <c r="C1281" t="s">
        <v>94</v>
      </c>
      <c r="D1281" t="s">
        <v>20</v>
      </c>
      <c r="E1281">
        <v>32</v>
      </c>
      <c r="F1281" t="s">
        <v>21</v>
      </c>
      <c r="G1281" t="s">
        <v>21</v>
      </c>
      <c r="H1281" t="s">
        <v>22</v>
      </c>
      <c r="I1281" t="s">
        <v>84</v>
      </c>
      <c r="J1281" t="s">
        <v>34</v>
      </c>
      <c r="K1281">
        <v>9</v>
      </c>
      <c r="L1281" s="4">
        <v>42200</v>
      </c>
      <c r="M1281">
        <v>0</v>
      </c>
      <c r="N1281" s="4">
        <v>379800</v>
      </c>
      <c r="O1281" t="s">
        <v>85</v>
      </c>
      <c r="Q1281" t="s">
        <v>41</v>
      </c>
      <c r="R1281">
        <v>1</v>
      </c>
    </row>
    <row r="1282" spans="1:18" x14ac:dyDescent="0.3">
      <c r="A1282" t="s">
        <v>2833</v>
      </c>
      <c r="B1282" s="1">
        <v>45882</v>
      </c>
      <c r="C1282" t="s">
        <v>88</v>
      </c>
      <c r="D1282" t="s">
        <v>39</v>
      </c>
      <c r="E1282">
        <v>54</v>
      </c>
      <c r="F1282" t="s">
        <v>30</v>
      </c>
      <c r="G1282" t="s">
        <v>31</v>
      </c>
      <c r="H1282" t="s">
        <v>62</v>
      </c>
      <c r="I1282" t="s">
        <v>63</v>
      </c>
      <c r="J1282" t="s">
        <v>64</v>
      </c>
      <c r="K1282">
        <v>10</v>
      </c>
      <c r="L1282" s="4">
        <v>35200</v>
      </c>
      <c r="M1282">
        <v>20</v>
      </c>
      <c r="N1282" s="4">
        <v>281600</v>
      </c>
      <c r="O1282" t="s">
        <v>85</v>
      </c>
      <c r="P1282">
        <v>1</v>
      </c>
      <c r="Q1282" t="s">
        <v>74</v>
      </c>
      <c r="R1282">
        <v>0</v>
      </c>
    </row>
    <row r="1283" spans="1:18" x14ac:dyDescent="0.3">
      <c r="A1283" t="s">
        <v>2834</v>
      </c>
      <c r="B1283" s="1">
        <v>46079</v>
      </c>
      <c r="C1283" t="s">
        <v>68</v>
      </c>
      <c r="D1283" t="s">
        <v>20</v>
      </c>
      <c r="E1283">
        <v>58</v>
      </c>
      <c r="F1283" t="s">
        <v>61</v>
      </c>
      <c r="G1283" t="s">
        <v>61</v>
      </c>
      <c r="H1283" t="s">
        <v>22</v>
      </c>
      <c r="I1283" t="s">
        <v>84</v>
      </c>
      <c r="J1283" t="s">
        <v>24</v>
      </c>
      <c r="K1283">
        <v>9</v>
      </c>
      <c r="L1283" s="4">
        <v>41300</v>
      </c>
      <c r="M1283">
        <v>5</v>
      </c>
      <c r="N1283" s="4">
        <v>353115</v>
      </c>
      <c r="O1283" t="s">
        <v>85</v>
      </c>
      <c r="Q1283" t="s">
        <v>65</v>
      </c>
      <c r="R1283">
        <v>0</v>
      </c>
    </row>
    <row r="1284" spans="1:18" x14ac:dyDescent="0.3">
      <c r="A1284" t="s">
        <v>2835</v>
      </c>
      <c r="B1284" s="1">
        <v>46145</v>
      </c>
      <c r="C1284" t="s">
        <v>29</v>
      </c>
      <c r="D1284" t="s">
        <v>20</v>
      </c>
      <c r="E1284">
        <v>37</v>
      </c>
      <c r="F1284" t="s">
        <v>21</v>
      </c>
      <c r="G1284" t="s">
        <v>21</v>
      </c>
      <c r="H1284" t="s">
        <v>22</v>
      </c>
      <c r="I1284" t="s">
        <v>84</v>
      </c>
      <c r="J1284" t="s">
        <v>24</v>
      </c>
      <c r="K1284">
        <v>9</v>
      </c>
      <c r="L1284" s="4">
        <v>46700</v>
      </c>
      <c r="M1284">
        <v>10</v>
      </c>
      <c r="N1284" s="4">
        <v>378270</v>
      </c>
      <c r="O1284" t="s">
        <v>85</v>
      </c>
      <c r="P1284">
        <v>4</v>
      </c>
      <c r="Q1284" t="s">
        <v>41</v>
      </c>
      <c r="R1284">
        <v>1</v>
      </c>
    </row>
    <row r="1285" spans="1:18" x14ac:dyDescent="0.3">
      <c r="A1285" t="s">
        <v>2838</v>
      </c>
      <c r="B1285" s="1">
        <v>45950</v>
      </c>
      <c r="C1285" t="s">
        <v>88</v>
      </c>
      <c r="D1285" t="s">
        <v>20</v>
      </c>
      <c r="E1285">
        <v>18</v>
      </c>
      <c r="F1285" t="s">
        <v>30</v>
      </c>
      <c r="G1285" t="s">
        <v>57</v>
      </c>
      <c r="H1285" t="s">
        <v>32</v>
      </c>
      <c r="I1285" t="s">
        <v>53</v>
      </c>
      <c r="J1285" t="s">
        <v>89</v>
      </c>
      <c r="K1285">
        <v>9</v>
      </c>
      <c r="L1285" s="4">
        <v>31900</v>
      </c>
      <c r="M1285">
        <v>5</v>
      </c>
      <c r="N1285" s="4">
        <v>272745</v>
      </c>
      <c r="O1285" t="s">
        <v>73</v>
      </c>
      <c r="P1285">
        <v>2</v>
      </c>
      <c r="Q1285" t="s">
        <v>65</v>
      </c>
      <c r="R1285">
        <v>0</v>
      </c>
    </row>
    <row r="1286" spans="1:18" x14ac:dyDescent="0.3">
      <c r="A1286" t="s">
        <v>2841</v>
      </c>
      <c r="B1286" s="1">
        <v>45767</v>
      </c>
      <c r="C1286" t="s">
        <v>29</v>
      </c>
      <c r="D1286" t="s">
        <v>3292</v>
      </c>
      <c r="E1286">
        <v>62</v>
      </c>
      <c r="F1286" t="s">
        <v>51</v>
      </c>
      <c r="G1286" t="s">
        <v>52</v>
      </c>
      <c r="H1286" t="s">
        <v>62</v>
      </c>
      <c r="I1286" t="s">
        <v>140</v>
      </c>
      <c r="J1286" t="s">
        <v>64</v>
      </c>
      <c r="K1286">
        <v>6</v>
      </c>
      <c r="L1286" s="4">
        <v>15000</v>
      </c>
      <c r="M1286">
        <v>10</v>
      </c>
      <c r="N1286" s="4">
        <v>81000</v>
      </c>
      <c r="O1286" t="s">
        <v>25</v>
      </c>
      <c r="P1286">
        <v>3</v>
      </c>
      <c r="Q1286" t="s">
        <v>26</v>
      </c>
      <c r="R1286">
        <v>0</v>
      </c>
    </row>
    <row r="1287" spans="1:18" x14ac:dyDescent="0.3">
      <c r="A1287" t="s">
        <v>2842</v>
      </c>
      <c r="B1287" s="1">
        <v>46361</v>
      </c>
      <c r="C1287" t="s">
        <v>113</v>
      </c>
      <c r="D1287" t="s">
        <v>20</v>
      </c>
      <c r="E1287">
        <v>55</v>
      </c>
      <c r="F1287" t="s">
        <v>44</v>
      </c>
      <c r="G1287" t="s">
        <v>45</v>
      </c>
      <c r="H1287" t="s">
        <v>62</v>
      </c>
      <c r="I1287" t="s">
        <v>140</v>
      </c>
      <c r="J1287" t="s">
        <v>72</v>
      </c>
      <c r="K1287">
        <v>1</v>
      </c>
      <c r="L1287" s="4">
        <v>18600</v>
      </c>
      <c r="M1287">
        <v>10</v>
      </c>
      <c r="N1287" s="4">
        <v>16740</v>
      </c>
      <c r="O1287" t="s">
        <v>85</v>
      </c>
      <c r="P1287">
        <v>3</v>
      </c>
      <c r="Q1287" t="s">
        <v>41</v>
      </c>
      <c r="R1287">
        <v>1</v>
      </c>
    </row>
    <row r="1288" spans="1:18" x14ac:dyDescent="0.3">
      <c r="A1288" t="s">
        <v>2844</v>
      </c>
      <c r="B1288" s="1">
        <v>45744</v>
      </c>
      <c r="C1288" t="s">
        <v>60</v>
      </c>
      <c r="D1288" t="s">
        <v>20</v>
      </c>
      <c r="E1288">
        <v>38</v>
      </c>
      <c r="F1288" t="s">
        <v>30</v>
      </c>
      <c r="G1288" t="s">
        <v>31</v>
      </c>
      <c r="H1288" t="s">
        <v>46</v>
      </c>
      <c r="I1288" t="s">
        <v>47</v>
      </c>
      <c r="J1288" t="s">
        <v>89</v>
      </c>
      <c r="K1288">
        <v>7</v>
      </c>
      <c r="L1288" s="4">
        <v>30600</v>
      </c>
      <c r="M1288">
        <v>15</v>
      </c>
      <c r="N1288" s="4">
        <v>182070</v>
      </c>
      <c r="O1288" t="s">
        <v>25</v>
      </c>
      <c r="Q1288" t="s">
        <v>41</v>
      </c>
      <c r="R1288">
        <v>1</v>
      </c>
    </row>
    <row r="1289" spans="1:18" x14ac:dyDescent="0.3">
      <c r="A1289" t="s">
        <v>2847</v>
      </c>
      <c r="B1289" s="1">
        <v>45910</v>
      </c>
      <c r="C1289" t="s">
        <v>38</v>
      </c>
      <c r="D1289" t="s">
        <v>3292</v>
      </c>
      <c r="E1289">
        <v>55</v>
      </c>
      <c r="F1289" t="s">
        <v>51</v>
      </c>
      <c r="G1289" t="s">
        <v>52</v>
      </c>
      <c r="H1289" t="s">
        <v>22</v>
      </c>
      <c r="I1289" t="s">
        <v>84</v>
      </c>
      <c r="J1289" t="s">
        <v>34</v>
      </c>
      <c r="K1289">
        <v>9</v>
      </c>
      <c r="L1289" s="4">
        <v>32500</v>
      </c>
      <c r="M1289">
        <v>5</v>
      </c>
      <c r="N1289" s="4">
        <v>277875</v>
      </c>
      <c r="O1289" t="s">
        <v>85</v>
      </c>
      <c r="P1289">
        <v>3</v>
      </c>
      <c r="Q1289" t="s">
        <v>26</v>
      </c>
      <c r="R1289">
        <v>0</v>
      </c>
    </row>
    <row r="1290" spans="1:18" x14ac:dyDescent="0.3">
      <c r="A1290" t="s">
        <v>2848</v>
      </c>
      <c r="B1290" s="1">
        <v>45746</v>
      </c>
      <c r="C1290" t="s">
        <v>19</v>
      </c>
      <c r="D1290" t="s">
        <v>39</v>
      </c>
      <c r="E1290">
        <v>36</v>
      </c>
      <c r="F1290" t="s">
        <v>61</v>
      </c>
      <c r="G1290" t="s">
        <v>61</v>
      </c>
      <c r="H1290" t="s">
        <v>22</v>
      </c>
      <c r="I1290" t="s">
        <v>84</v>
      </c>
      <c r="J1290" t="s">
        <v>34</v>
      </c>
      <c r="K1290">
        <v>7</v>
      </c>
      <c r="L1290" s="4">
        <v>40000</v>
      </c>
      <c r="M1290">
        <v>25</v>
      </c>
      <c r="N1290" s="4">
        <v>210000</v>
      </c>
      <c r="O1290" t="s">
        <v>85</v>
      </c>
      <c r="P1290">
        <v>1</v>
      </c>
      <c r="Q1290" t="s">
        <v>41</v>
      </c>
      <c r="R1290">
        <v>1</v>
      </c>
    </row>
    <row r="1291" spans="1:18" x14ac:dyDescent="0.3">
      <c r="A1291" t="s">
        <v>2850</v>
      </c>
      <c r="B1291" s="1">
        <v>45782</v>
      </c>
      <c r="C1291" t="s">
        <v>88</v>
      </c>
      <c r="D1291" t="s">
        <v>20</v>
      </c>
      <c r="E1291">
        <v>50</v>
      </c>
      <c r="F1291" t="s">
        <v>51</v>
      </c>
      <c r="G1291" t="s">
        <v>52</v>
      </c>
      <c r="H1291" t="s">
        <v>62</v>
      </c>
      <c r="I1291" t="s">
        <v>140</v>
      </c>
      <c r="J1291" t="s">
        <v>72</v>
      </c>
      <c r="K1291">
        <v>2</v>
      </c>
      <c r="L1291" s="4">
        <v>41100</v>
      </c>
      <c r="M1291">
        <v>10</v>
      </c>
      <c r="N1291" s="4">
        <v>73980</v>
      </c>
      <c r="O1291" t="s">
        <v>73</v>
      </c>
      <c r="P1291">
        <v>1</v>
      </c>
      <c r="Q1291" t="s">
        <v>74</v>
      </c>
      <c r="R1291">
        <v>0</v>
      </c>
    </row>
    <row r="1292" spans="1:18" x14ac:dyDescent="0.3">
      <c r="A1292" t="s">
        <v>2852</v>
      </c>
      <c r="B1292" s="1">
        <v>45909</v>
      </c>
      <c r="C1292" t="s">
        <v>60</v>
      </c>
      <c r="D1292" t="s">
        <v>39</v>
      </c>
      <c r="E1292">
        <v>46</v>
      </c>
      <c r="F1292" t="s">
        <v>30</v>
      </c>
      <c r="G1292" t="s">
        <v>57</v>
      </c>
      <c r="H1292" t="s">
        <v>32</v>
      </c>
      <c r="I1292" t="s">
        <v>53</v>
      </c>
      <c r="J1292" t="s">
        <v>89</v>
      </c>
      <c r="K1292">
        <v>8</v>
      </c>
      <c r="L1292" s="4">
        <v>13800</v>
      </c>
      <c r="M1292">
        <v>0</v>
      </c>
      <c r="N1292" s="4">
        <v>110400</v>
      </c>
      <c r="O1292" t="s">
        <v>73</v>
      </c>
      <c r="Q1292" t="s">
        <v>26</v>
      </c>
      <c r="R1292">
        <v>0</v>
      </c>
    </row>
    <row r="1293" spans="1:18" x14ac:dyDescent="0.3">
      <c r="A1293" t="s">
        <v>2855</v>
      </c>
      <c r="B1293" s="1">
        <v>45743</v>
      </c>
      <c r="C1293" t="s">
        <v>68</v>
      </c>
      <c r="D1293" t="s">
        <v>20</v>
      </c>
      <c r="E1293">
        <v>41</v>
      </c>
      <c r="F1293" t="s">
        <v>77</v>
      </c>
      <c r="G1293" t="s">
        <v>95</v>
      </c>
      <c r="H1293" t="s">
        <v>62</v>
      </c>
      <c r="I1293" t="s">
        <v>140</v>
      </c>
      <c r="J1293" t="s">
        <v>24</v>
      </c>
      <c r="K1293">
        <v>7</v>
      </c>
      <c r="L1293" s="4">
        <v>42900</v>
      </c>
      <c r="M1293">
        <v>15</v>
      </c>
      <c r="N1293" s="4">
        <v>255255</v>
      </c>
      <c r="O1293" t="s">
        <v>25</v>
      </c>
      <c r="P1293">
        <v>1</v>
      </c>
      <c r="Q1293" t="s">
        <v>26</v>
      </c>
      <c r="R1293">
        <v>0</v>
      </c>
    </row>
    <row r="1294" spans="1:18" x14ac:dyDescent="0.3">
      <c r="A1294" t="s">
        <v>2856</v>
      </c>
      <c r="B1294" s="1">
        <v>46123</v>
      </c>
      <c r="C1294" t="s">
        <v>19</v>
      </c>
      <c r="D1294" t="s">
        <v>20</v>
      </c>
      <c r="E1294">
        <v>28</v>
      </c>
      <c r="F1294" t="s">
        <v>51</v>
      </c>
      <c r="G1294" t="s">
        <v>104</v>
      </c>
      <c r="H1294" t="s">
        <v>22</v>
      </c>
      <c r="I1294" t="s">
        <v>84</v>
      </c>
      <c r="J1294" t="s">
        <v>24</v>
      </c>
      <c r="K1294">
        <v>2</v>
      </c>
      <c r="L1294" s="4">
        <v>19000</v>
      </c>
      <c r="M1294">
        <v>20</v>
      </c>
      <c r="N1294" s="4">
        <v>30400</v>
      </c>
      <c r="O1294" t="s">
        <v>25</v>
      </c>
      <c r="Q1294" t="s">
        <v>26</v>
      </c>
      <c r="R1294">
        <v>0</v>
      </c>
    </row>
    <row r="1295" spans="1:18" x14ac:dyDescent="0.3">
      <c r="A1295" t="s">
        <v>2857</v>
      </c>
      <c r="B1295" s="1">
        <v>46075</v>
      </c>
      <c r="C1295" t="s">
        <v>71</v>
      </c>
      <c r="D1295" t="s">
        <v>39</v>
      </c>
      <c r="E1295">
        <v>53</v>
      </c>
      <c r="F1295" t="s">
        <v>30</v>
      </c>
      <c r="G1295" t="s">
        <v>31</v>
      </c>
      <c r="H1295" t="s">
        <v>62</v>
      </c>
      <c r="I1295" t="s">
        <v>140</v>
      </c>
      <c r="J1295" t="s">
        <v>89</v>
      </c>
      <c r="K1295">
        <v>9</v>
      </c>
      <c r="L1295" s="4">
        <v>6600</v>
      </c>
      <c r="M1295">
        <v>5</v>
      </c>
      <c r="N1295" s="4">
        <v>56430</v>
      </c>
      <c r="O1295" t="s">
        <v>25</v>
      </c>
      <c r="Q1295" t="s">
        <v>41</v>
      </c>
      <c r="R1295">
        <v>1</v>
      </c>
    </row>
    <row r="1296" spans="1:18" x14ac:dyDescent="0.3">
      <c r="A1296" t="s">
        <v>2858</v>
      </c>
      <c r="B1296" s="1">
        <v>45723</v>
      </c>
      <c r="C1296" t="s">
        <v>19</v>
      </c>
      <c r="D1296" t="s">
        <v>39</v>
      </c>
      <c r="E1296">
        <v>53</v>
      </c>
      <c r="F1296" t="s">
        <v>44</v>
      </c>
      <c r="G1296" t="s">
        <v>100</v>
      </c>
      <c r="H1296" t="s">
        <v>32</v>
      </c>
      <c r="I1296" t="s">
        <v>53</v>
      </c>
      <c r="J1296" t="s">
        <v>72</v>
      </c>
      <c r="K1296">
        <v>8</v>
      </c>
      <c r="L1296" s="4">
        <v>12800</v>
      </c>
      <c r="M1296">
        <v>20</v>
      </c>
      <c r="N1296" s="4">
        <v>81920</v>
      </c>
      <c r="O1296" t="s">
        <v>25</v>
      </c>
      <c r="Q1296" t="s">
        <v>65</v>
      </c>
      <c r="R1296">
        <v>0</v>
      </c>
    </row>
    <row r="1297" spans="1:18" x14ac:dyDescent="0.3">
      <c r="A1297" t="s">
        <v>2860</v>
      </c>
      <c r="B1297" s="1">
        <v>45994</v>
      </c>
      <c r="C1297" t="s">
        <v>38</v>
      </c>
      <c r="D1297" t="s">
        <v>3292</v>
      </c>
      <c r="E1297">
        <v>28</v>
      </c>
      <c r="F1297" t="s">
        <v>77</v>
      </c>
      <c r="G1297" t="s">
        <v>78</v>
      </c>
      <c r="H1297" t="s">
        <v>32</v>
      </c>
      <c r="I1297" t="s">
        <v>33</v>
      </c>
      <c r="J1297" t="s">
        <v>72</v>
      </c>
      <c r="K1297">
        <v>6</v>
      </c>
      <c r="L1297" s="4">
        <v>42800</v>
      </c>
      <c r="M1297">
        <v>0</v>
      </c>
      <c r="N1297" s="4">
        <v>256800</v>
      </c>
      <c r="O1297" t="s">
        <v>25</v>
      </c>
      <c r="P1297">
        <v>5</v>
      </c>
      <c r="Q1297" t="s">
        <v>41</v>
      </c>
      <c r="R1297">
        <v>1</v>
      </c>
    </row>
    <row r="1298" spans="1:18" x14ac:dyDescent="0.3">
      <c r="A1298" t="s">
        <v>2863</v>
      </c>
      <c r="B1298" s="1">
        <v>45678</v>
      </c>
      <c r="C1298" t="s">
        <v>94</v>
      </c>
      <c r="D1298" t="s">
        <v>20</v>
      </c>
      <c r="E1298">
        <v>20</v>
      </c>
      <c r="F1298" t="s">
        <v>44</v>
      </c>
      <c r="G1298" t="s">
        <v>100</v>
      </c>
      <c r="H1298" t="s">
        <v>46</v>
      </c>
      <c r="I1298" t="s">
        <v>79</v>
      </c>
      <c r="J1298" t="s">
        <v>72</v>
      </c>
      <c r="K1298">
        <v>4</v>
      </c>
      <c r="L1298" s="4">
        <v>2700</v>
      </c>
      <c r="M1298">
        <v>15</v>
      </c>
      <c r="N1298" s="4">
        <v>9180</v>
      </c>
      <c r="O1298" t="s">
        <v>25</v>
      </c>
      <c r="Q1298" t="s">
        <v>65</v>
      </c>
      <c r="R1298">
        <v>0</v>
      </c>
    </row>
    <row r="1299" spans="1:18" x14ac:dyDescent="0.3">
      <c r="A1299" t="s">
        <v>2865</v>
      </c>
      <c r="B1299" s="1">
        <v>45703</v>
      </c>
      <c r="C1299" t="s">
        <v>38</v>
      </c>
      <c r="D1299" t="s">
        <v>20</v>
      </c>
      <c r="E1299">
        <v>38</v>
      </c>
      <c r="F1299" t="s">
        <v>21</v>
      </c>
      <c r="G1299" t="s">
        <v>21</v>
      </c>
      <c r="H1299" t="s">
        <v>46</v>
      </c>
      <c r="I1299" t="s">
        <v>79</v>
      </c>
      <c r="J1299" t="s">
        <v>64</v>
      </c>
      <c r="K1299">
        <v>4</v>
      </c>
      <c r="L1299" s="4">
        <v>34300</v>
      </c>
      <c r="M1299">
        <v>0</v>
      </c>
      <c r="N1299" s="4">
        <v>137200</v>
      </c>
      <c r="O1299" t="s">
        <v>85</v>
      </c>
      <c r="Q1299" t="s">
        <v>65</v>
      </c>
      <c r="R1299">
        <v>0</v>
      </c>
    </row>
    <row r="1300" spans="1:18" x14ac:dyDescent="0.3">
      <c r="A1300" t="s">
        <v>2867</v>
      </c>
      <c r="B1300" s="1">
        <v>46139</v>
      </c>
      <c r="C1300" t="s">
        <v>29</v>
      </c>
      <c r="D1300" t="s">
        <v>20</v>
      </c>
      <c r="E1300">
        <v>56</v>
      </c>
      <c r="F1300" t="s">
        <v>21</v>
      </c>
      <c r="G1300" t="s">
        <v>21</v>
      </c>
      <c r="H1300" t="s">
        <v>32</v>
      </c>
      <c r="I1300" t="s">
        <v>33</v>
      </c>
      <c r="J1300" t="s">
        <v>34</v>
      </c>
      <c r="K1300">
        <v>9</v>
      </c>
      <c r="L1300" s="4">
        <v>22900</v>
      </c>
      <c r="M1300">
        <v>20</v>
      </c>
      <c r="N1300" s="4">
        <v>164880</v>
      </c>
      <c r="O1300" t="s">
        <v>25</v>
      </c>
      <c r="P1300">
        <v>1</v>
      </c>
      <c r="Q1300" t="s">
        <v>65</v>
      </c>
      <c r="R1300">
        <v>0</v>
      </c>
    </row>
    <row r="1301" spans="1:18" x14ac:dyDescent="0.3">
      <c r="A1301" t="s">
        <v>2868</v>
      </c>
      <c r="B1301" s="1">
        <v>46159</v>
      </c>
      <c r="C1301" t="s">
        <v>71</v>
      </c>
      <c r="D1301" t="s">
        <v>20</v>
      </c>
      <c r="E1301">
        <v>59</v>
      </c>
      <c r="F1301" t="s">
        <v>30</v>
      </c>
      <c r="G1301" t="s">
        <v>57</v>
      </c>
      <c r="H1301" t="s">
        <v>32</v>
      </c>
      <c r="I1301" t="s">
        <v>53</v>
      </c>
      <c r="J1301" t="s">
        <v>34</v>
      </c>
      <c r="K1301">
        <v>9</v>
      </c>
      <c r="L1301" s="4">
        <v>13700</v>
      </c>
      <c r="M1301">
        <v>25</v>
      </c>
      <c r="N1301" s="4">
        <v>92475</v>
      </c>
      <c r="O1301" t="s">
        <v>25</v>
      </c>
      <c r="Q1301" t="s">
        <v>41</v>
      </c>
      <c r="R1301">
        <v>1</v>
      </c>
    </row>
    <row r="1302" spans="1:18" x14ac:dyDescent="0.3">
      <c r="A1302" t="s">
        <v>2869</v>
      </c>
      <c r="B1302" s="1">
        <v>45932</v>
      </c>
      <c r="C1302" t="s">
        <v>88</v>
      </c>
      <c r="D1302" t="s">
        <v>20</v>
      </c>
      <c r="E1302">
        <v>37</v>
      </c>
      <c r="F1302" t="s">
        <v>21</v>
      </c>
      <c r="G1302" t="s">
        <v>21</v>
      </c>
      <c r="H1302" t="s">
        <v>32</v>
      </c>
      <c r="I1302" t="s">
        <v>53</v>
      </c>
      <c r="J1302" t="s">
        <v>34</v>
      </c>
      <c r="K1302">
        <v>3</v>
      </c>
      <c r="L1302" s="4">
        <v>28600</v>
      </c>
      <c r="M1302">
        <v>0</v>
      </c>
      <c r="N1302" s="4">
        <v>85800</v>
      </c>
      <c r="O1302" t="s">
        <v>73</v>
      </c>
      <c r="P1302">
        <v>3</v>
      </c>
      <c r="Q1302" t="s">
        <v>41</v>
      </c>
      <c r="R1302">
        <v>1</v>
      </c>
    </row>
    <row r="1303" spans="1:18" x14ac:dyDescent="0.3">
      <c r="A1303" t="s">
        <v>2870</v>
      </c>
      <c r="B1303" s="1">
        <v>45861</v>
      </c>
      <c r="C1303" t="s">
        <v>60</v>
      </c>
      <c r="D1303" t="s">
        <v>20</v>
      </c>
      <c r="E1303">
        <v>31</v>
      </c>
      <c r="F1303" t="s">
        <v>44</v>
      </c>
      <c r="G1303" t="s">
        <v>45</v>
      </c>
      <c r="H1303" t="s">
        <v>46</v>
      </c>
      <c r="I1303" t="s">
        <v>47</v>
      </c>
      <c r="J1303" t="s">
        <v>72</v>
      </c>
      <c r="K1303">
        <v>9</v>
      </c>
      <c r="L1303" s="4">
        <v>35100</v>
      </c>
      <c r="M1303">
        <v>10</v>
      </c>
      <c r="N1303" s="4">
        <v>284310</v>
      </c>
      <c r="O1303" t="s">
        <v>73</v>
      </c>
      <c r="P1303">
        <v>1</v>
      </c>
      <c r="Q1303" t="s">
        <v>65</v>
      </c>
      <c r="R1303">
        <v>0</v>
      </c>
    </row>
    <row r="1304" spans="1:18" x14ac:dyDescent="0.3">
      <c r="A1304" t="s">
        <v>2872</v>
      </c>
      <c r="B1304" s="1">
        <v>45921</v>
      </c>
      <c r="C1304" t="s">
        <v>68</v>
      </c>
      <c r="D1304" t="s">
        <v>39</v>
      </c>
      <c r="E1304">
        <v>46</v>
      </c>
      <c r="F1304" t="s">
        <v>44</v>
      </c>
      <c r="G1304" t="s">
        <v>45</v>
      </c>
      <c r="H1304" t="s">
        <v>46</v>
      </c>
      <c r="I1304" t="s">
        <v>47</v>
      </c>
      <c r="J1304" t="s">
        <v>72</v>
      </c>
      <c r="K1304">
        <v>1</v>
      </c>
      <c r="L1304" s="4">
        <v>49600</v>
      </c>
      <c r="M1304">
        <v>0</v>
      </c>
      <c r="N1304" s="4">
        <v>49600</v>
      </c>
      <c r="O1304" t="s">
        <v>85</v>
      </c>
      <c r="Q1304" t="s">
        <v>65</v>
      </c>
      <c r="R1304">
        <v>0</v>
      </c>
    </row>
    <row r="1305" spans="1:18" x14ac:dyDescent="0.3">
      <c r="A1305" t="s">
        <v>2881</v>
      </c>
      <c r="B1305" s="1">
        <v>45944</v>
      </c>
      <c r="C1305" t="s">
        <v>38</v>
      </c>
      <c r="D1305" t="s">
        <v>20</v>
      </c>
      <c r="E1305">
        <v>59</v>
      </c>
      <c r="F1305" t="s">
        <v>61</v>
      </c>
      <c r="G1305" t="s">
        <v>61</v>
      </c>
      <c r="H1305" t="s">
        <v>62</v>
      </c>
      <c r="I1305" t="s">
        <v>63</v>
      </c>
      <c r="J1305" t="s">
        <v>24</v>
      </c>
      <c r="K1305">
        <v>5</v>
      </c>
      <c r="L1305" s="4">
        <v>35700</v>
      </c>
      <c r="M1305">
        <v>15</v>
      </c>
      <c r="N1305" s="4">
        <v>151725</v>
      </c>
      <c r="O1305" t="s">
        <v>73</v>
      </c>
      <c r="Q1305" t="s">
        <v>74</v>
      </c>
      <c r="R1305">
        <v>0</v>
      </c>
    </row>
    <row r="1306" spans="1:18" x14ac:dyDescent="0.3">
      <c r="A1306" t="s">
        <v>2883</v>
      </c>
      <c r="B1306" s="1">
        <v>45705</v>
      </c>
      <c r="C1306" t="s">
        <v>121</v>
      </c>
      <c r="D1306" t="s">
        <v>39</v>
      </c>
      <c r="E1306">
        <v>48</v>
      </c>
      <c r="F1306" t="s">
        <v>61</v>
      </c>
      <c r="G1306" t="s">
        <v>61</v>
      </c>
      <c r="H1306" t="s">
        <v>32</v>
      </c>
      <c r="I1306" t="s">
        <v>33</v>
      </c>
      <c r="J1306" t="s">
        <v>34</v>
      </c>
      <c r="K1306">
        <v>8</v>
      </c>
      <c r="L1306" s="4">
        <v>46600</v>
      </c>
      <c r="M1306">
        <v>5</v>
      </c>
      <c r="N1306" s="4">
        <v>354160</v>
      </c>
      <c r="O1306" t="s">
        <v>85</v>
      </c>
      <c r="P1306">
        <v>4</v>
      </c>
      <c r="Q1306" t="s">
        <v>74</v>
      </c>
      <c r="R1306">
        <v>0</v>
      </c>
    </row>
    <row r="1307" spans="1:18" x14ac:dyDescent="0.3">
      <c r="A1307" t="s">
        <v>2884</v>
      </c>
      <c r="B1307" s="1">
        <v>45699</v>
      </c>
      <c r="C1307" t="s">
        <v>19</v>
      </c>
      <c r="D1307" t="s">
        <v>39</v>
      </c>
      <c r="E1307">
        <v>45</v>
      </c>
      <c r="F1307" t="s">
        <v>30</v>
      </c>
      <c r="G1307" t="s">
        <v>57</v>
      </c>
      <c r="H1307" t="s">
        <v>62</v>
      </c>
      <c r="I1307" t="s">
        <v>63</v>
      </c>
      <c r="J1307" t="s">
        <v>72</v>
      </c>
      <c r="K1307">
        <v>1</v>
      </c>
      <c r="L1307" s="4">
        <v>41300</v>
      </c>
      <c r="M1307">
        <v>5</v>
      </c>
      <c r="N1307" s="4">
        <v>39235</v>
      </c>
      <c r="O1307" t="s">
        <v>85</v>
      </c>
      <c r="P1307">
        <v>1</v>
      </c>
      <c r="Q1307" t="s">
        <v>65</v>
      </c>
      <c r="R1307">
        <v>0</v>
      </c>
    </row>
    <row r="1308" spans="1:18" x14ac:dyDescent="0.3">
      <c r="A1308" t="s">
        <v>2887</v>
      </c>
      <c r="B1308" s="1">
        <v>45984</v>
      </c>
      <c r="C1308" t="s">
        <v>88</v>
      </c>
      <c r="D1308" t="s">
        <v>3292</v>
      </c>
      <c r="E1308">
        <v>63</v>
      </c>
      <c r="F1308" t="s">
        <v>77</v>
      </c>
      <c r="G1308" t="s">
        <v>95</v>
      </c>
      <c r="H1308" t="s">
        <v>32</v>
      </c>
      <c r="I1308" t="s">
        <v>53</v>
      </c>
      <c r="J1308" t="s">
        <v>80</v>
      </c>
      <c r="K1308">
        <v>1</v>
      </c>
      <c r="L1308" s="4">
        <v>24600</v>
      </c>
      <c r="M1308">
        <v>0</v>
      </c>
      <c r="N1308" s="4">
        <v>24600</v>
      </c>
      <c r="O1308" t="s">
        <v>85</v>
      </c>
      <c r="P1308">
        <v>4</v>
      </c>
      <c r="Q1308" t="s">
        <v>65</v>
      </c>
      <c r="R1308">
        <v>0</v>
      </c>
    </row>
    <row r="1309" spans="1:18" x14ac:dyDescent="0.3">
      <c r="A1309" t="s">
        <v>2888</v>
      </c>
      <c r="B1309" s="1">
        <v>45663</v>
      </c>
      <c r="C1309" t="s">
        <v>121</v>
      </c>
      <c r="D1309" t="s">
        <v>20</v>
      </c>
      <c r="E1309">
        <v>27</v>
      </c>
      <c r="F1309" t="s">
        <v>30</v>
      </c>
      <c r="G1309" t="s">
        <v>57</v>
      </c>
      <c r="H1309" t="s">
        <v>32</v>
      </c>
      <c r="I1309" t="s">
        <v>33</v>
      </c>
      <c r="J1309" t="s">
        <v>72</v>
      </c>
      <c r="K1309">
        <v>1</v>
      </c>
      <c r="L1309" s="4">
        <v>17600</v>
      </c>
      <c r="M1309">
        <v>15</v>
      </c>
      <c r="N1309" s="4">
        <v>14960</v>
      </c>
      <c r="O1309" t="s">
        <v>85</v>
      </c>
      <c r="P1309">
        <v>1</v>
      </c>
      <c r="Q1309" t="s">
        <v>65</v>
      </c>
      <c r="R1309">
        <v>0</v>
      </c>
    </row>
    <row r="1310" spans="1:18" x14ac:dyDescent="0.3">
      <c r="A1310" t="s">
        <v>2891</v>
      </c>
      <c r="B1310" s="1">
        <v>45738</v>
      </c>
      <c r="C1310" t="s">
        <v>68</v>
      </c>
      <c r="D1310" t="s">
        <v>20</v>
      </c>
      <c r="E1310">
        <v>40</v>
      </c>
      <c r="F1310" t="s">
        <v>61</v>
      </c>
      <c r="G1310" t="s">
        <v>61</v>
      </c>
      <c r="H1310" t="s">
        <v>46</v>
      </c>
      <c r="I1310" t="s">
        <v>79</v>
      </c>
      <c r="J1310" t="s">
        <v>89</v>
      </c>
      <c r="K1310">
        <v>3</v>
      </c>
      <c r="L1310" s="4">
        <v>13700</v>
      </c>
      <c r="M1310">
        <v>5</v>
      </c>
      <c r="N1310" s="4">
        <v>39045</v>
      </c>
      <c r="O1310" t="s">
        <v>25</v>
      </c>
      <c r="P1310">
        <v>5</v>
      </c>
      <c r="Q1310" t="s">
        <v>41</v>
      </c>
      <c r="R1310">
        <v>1</v>
      </c>
    </row>
    <row r="1311" spans="1:18" x14ac:dyDescent="0.3">
      <c r="A1311" t="s">
        <v>2895</v>
      </c>
      <c r="B1311" s="1">
        <v>45903</v>
      </c>
      <c r="C1311" t="s">
        <v>60</v>
      </c>
      <c r="D1311" t="s">
        <v>20</v>
      </c>
      <c r="E1311">
        <v>37</v>
      </c>
      <c r="F1311" t="s">
        <v>44</v>
      </c>
      <c r="G1311" t="s">
        <v>100</v>
      </c>
      <c r="H1311" t="s">
        <v>46</v>
      </c>
      <c r="I1311" t="s">
        <v>79</v>
      </c>
      <c r="J1311" t="s">
        <v>34</v>
      </c>
      <c r="K1311">
        <v>5</v>
      </c>
      <c r="L1311" s="4">
        <v>40100</v>
      </c>
      <c r="M1311">
        <v>20</v>
      </c>
      <c r="N1311" s="4">
        <v>160400</v>
      </c>
      <c r="O1311" t="s">
        <v>85</v>
      </c>
      <c r="P1311">
        <v>1</v>
      </c>
      <c r="Q1311" t="s">
        <v>41</v>
      </c>
      <c r="R1311">
        <v>1</v>
      </c>
    </row>
    <row r="1312" spans="1:18" x14ac:dyDescent="0.3">
      <c r="A1312" t="s">
        <v>2898</v>
      </c>
      <c r="B1312" s="1">
        <v>45814</v>
      </c>
      <c r="C1312" t="s">
        <v>60</v>
      </c>
      <c r="D1312" t="s">
        <v>20</v>
      </c>
      <c r="E1312">
        <v>24</v>
      </c>
      <c r="F1312" t="s">
        <v>21</v>
      </c>
      <c r="G1312" t="s">
        <v>21</v>
      </c>
      <c r="H1312" t="s">
        <v>62</v>
      </c>
      <c r="I1312" t="s">
        <v>140</v>
      </c>
      <c r="J1312" t="s">
        <v>80</v>
      </c>
      <c r="K1312">
        <v>4</v>
      </c>
      <c r="L1312" s="4">
        <v>41600</v>
      </c>
      <c r="M1312">
        <v>10</v>
      </c>
      <c r="N1312" s="4">
        <v>149760</v>
      </c>
      <c r="O1312" t="s">
        <v>73</v>
      </c>
      <c r="Q1312" t="s">
        <v>26</v>
      </c>
      <c r="R1312">
        <v>0</v>
      </c>
    </row>
    <row r="1313" spans="1:18" x14ac:dyDescent="0.3">
      <c r="A1313" t="s">
        <v>2900</v>
      </c>
      <c r="B1313" s="1">
        <v>46042</v>
      </c>
      <c r="C1313" t="s">
        <v>60</v>
      </c>
      <c r="D1313" t="s">
        <v>39</v>
      </c>
      <c r="E1313">
        <v>54</v>
      </c>
      <c r="F1313" t="s">
        <v>44</v>
      </c>
      <c r="G1313" t="s">
        <v>100</v>
      </c>
      <c r="H1313" t="s">
        <v>32</v>
      </c>
      <c r="I1313" t="s">
        <v>33</v>
      </c>
      <c r="J1313" t="s">
        <v>34</v>
      </c>
      <c r="K1313">
        <v>8</v>
      </c>
      <c r="L1313" s="4">
        <v>28700</v>
      </c>
      <c r="M1313">
        <v>0</v>
      </c>
      <c r="N1313" s="4">
        <v>229600</v>
      </c>
      <c r="O1313" t="s">
        <v>85</v>
      </c>
      <c r="Q1313" t="s">
        <v>65</v>
      </c>
      <c r="R1313">
        <v>0</v>
      </c>
    </row>
    <row r="1314" spans="1:18" x14ac:dyDescent="0.3">
      <c r="A1314" t="s">
        <v>2902</v>
      </c>
      <c r="B1314" s="1">
        <v>45873</v>
      </c>
      <c r="C1314" t="s">
        <v>38</v>
      </c>
      <c r="D1314" t="s">
        <v>20</v>
      </c>
      <c r="E1314">
        <v>59</v>
      </c>
      <c r="F1314" t="s">
        <v>77</v>
      </c>
      <c r="G1314" t="s">
        <v>95</v>
      </c>
      <c r="H1314" t="s">
        <v>46</v>
      </c>
      <c r="I1314" t="s">
        <v>47</v>
      </c>
      <c r="J1314" t="s">
        <v>24</v>
      </c>
      <c r="K1314">
        <v>7</v>
      </c>
      <c r="L1314" s="4">
        <v>5900</v>
      </c>
      <c r="M1314">
        <v>10</v>
      </c>
      <c r="N1314" s="4">
        <v>37170</v>
      </c>
      <c r="O1314" t="s">
        <v>25</v>
      </c>
      <c r="P1314">
        <v>2</v>
      </c>
      <c r="Q1314" t="s">
        <v>26</v>
      </c>
      <c r="R1314">
        <v>0</v>
      </c>
    </row>
    <row r="1315" spans="1:18" x14ac:dyDescent="0.3">
      <c r="A1315" t="s">
        <v>2904</v>
      </c>
      <c r="B1315" s="1">
        <v>45997</v>
      </c>
      <c r="C1315" t="s">
        <v>88</v>
      </c>
      <c r="D1315" t="s">
        <v>3292</v>
      </c>
      <c r="E1315">
        <v>48</v>
      </c>
      <c r="F1315" t="s">
        <v>44</v>
      </c>
      <c r="G1315" t="s">
        <v>100</v>
      </c>
      <c r="H1315" t="s">
        <v>32</v>
      </c>
      <c r="I1315" t="s">
        <v>33</v>
      </c>
      <c r="J1315" t="s">
        <v>89</v>
      </c>
      <c r="K1315">
        <v>8</v>
      </c>
      <c r="L1315" s="4">
        <v>45800</v>
      </c>
      <c r="M1315">
        <v>0</v>
      </c>
      <c r="N1315" s="4">
        <v>366400</v>
      </c>
      <c r="O1315" t="s">
        <v>25</v>
      </c>
      <c r="P1315">
        <v>3</v>
      </c>
      <c r="Q1315" t="s">
        <v>74</v>
      </c>
      <c r="R1315">
        <v>0</v>
      </c>
    </row>
    <row r="1316" spans="1:18" x14ac:dyDescent="0.3">
      <c r="A1316" t="s">
        <v>2907</v>
      </c>
      <c r="B1316" s="1">
        <v>45684</v>
      </c>
      <c r="C1316" t="s">
        <v>68</v>
      </c>
      <c r="D1316" t="s">
        <v>20</v>
      </c>
      <c r="E1316">
        <v>31</v>
      </c>
      <c r="F1316" t="s">
        <v>51</v>
      </c>
      <c r="G1316" t="s">
        <v>52</v>
      </c>
      <c r="H1316" t="s">
        <v>22</v>
      </c>
      <c r="I1316" t="s">
        <v>23</v>
      </c>
      <c r="J1316" t="s">
        <v>89</v>
      </c>
      <c r="K1316">
        <v>10</v>
      </c>
      <c r="L1316" s="4">
        <v>18400</v>
      </c>
      <c r="M1316">
        <v>20</v>
      </c>
      <c r="N1316" s="4">
        <v>147200</v>
      </c>
      <c r="O1316" t="s">
        <v>85</v>
      </c>
      <c r="P1316">
        <v>5</v>
      </c>
      <c r="Q1316" t="s">
        <v>26</v>
      </c>
      <c r="R1316">
        <v>0</v>
      </c>
    </row>
    <row r="1317" spans="1:18" x14ac:dyDescent="0.3">
      <c r="A1317" t="s">
        <v>2908</v>
      </c>
      <c r="B1317" s="1">
        <v>45916</v>
      </c>
      <c r="C1317" t="s">
        <v>38</v>
      </c>
      <c r="D1317" t="s">
        <v>39</v>
      </c>
      <c r="E1317">
        <v>43</v>
      </c>
      <c r="F1317" t="s">
        <v>61</v>
      </c>
      <c r="G1317" t="s">
        <v>61</v>
      </c>
      <c r="H1317" t="s">
        <v>32</v>
      </c>
      <c r="I1317" t="s">
        <v>53</v>
      </c>
      <c r="J1317" t="s">
        <v>89</v>
      </c>
      <c r="K1317">
        <v>3</v>
      </c>
      <c r="L1317" s="4">
        <v>5500</v>
      </c>
      <c r="M1317">
        <v>25</v>
      </c>
      <c r="N1317" s="4">
        <v>12375</v>
      </c>
      <c r="O1317" t="s">
        <v>73</v>
      </c>
      <c r="P1317">
        <v>3</v>
      </c>
      <c r="Q1317" t="s">
        <v>41</v>
      </c>
      <c r="R1317">
        <v>1</v>
      </c>
    </row>
    <row r="1318" spans="1:18" x14ac:dyDescent="0.3">
      <c r="A1318" t="s">
        <v>2909</v>
      </c>
      <c r="B1318" s="1">
        <v>46076</v>
      </c>
      <c r="C1318" t="s">
        <v>121</v>
      </c>
      <c r="D1318" t="s">
        <v>20</v>
      </c>
      <c r="E1318">
        <v>58</v>
      </c>
      <c r="F1318" t="s">
        <v>30</v>
      </c>
      <c r="G1318" t="s">
        <v>31</v>
      </c>
      <c r="H1318" t="s">
        <v>62</v>
      </c>
      <c r="I1318" t="s">
        <v>63</v>
      </c>
      <c r="J1318" t="s">
        <v>89</v>
      </c>
      <c r="K1318">
        <v>6</v>
      </c>
      <c r="L1318" s="4">
        <v>42700</v>
      </c>
      <c r="M1318">
        <v>20</v>
      </c>
      <c r="N1318" s="4">
        <v>204960</v>
      </c>
      <c r="O1318" t="s">
        <v>85</v>
      </c>
      <c r="P1318">
        <v>3</v>
      </c>
      <c r="Q1318" t="s">
        <v>65</v>
      </c>
      <c r="R1318">
        <v>0</v>
      </c>
    </row>
    <row r="1319" spans="1:18" x14ac:dyDescent="0.3">
      <c r="A1319" t="s">
        <v>2913</v>
      </c>
      <c r="B1319" s="1">
        <v>45738</v>
      </c>
      <c r="C1319" t="s">
        <v>71</v>
      </c>
      <c r="D1319" t="s">
        <v>39</v>
      </c>
      <c r="E1319">
        <v>20</v>
      </c>
      <c r="F1319" t="s">
        <v>44</v>
      </c>
      <c r="G1319" t="s">
        <v>100</v>
      </c>
      <c r="H1319" t="s">
        <v>22</v>
      </c>
      <c r="I1319" t="s">
        <v>84</v>
      </c>
      <c r="J1319" t="s">
        <v>34</v>
      </c>
      <c r="K1319">
        <v>2</v>
      </c>
      <c r="L1319" s="4">
        <v>7200</v>
      </c>
      <c r="M1319">
        <v>25</v>
      </c>
      <c r="N1319" s="4">
        <v>10800</v>
      </c>
      <c r="O1319" t="s">
        <v>85</v>
      </c>
      <c r="Q1319" t="s">
        <v>26</v>
      </c>
      <c r="R1319">
        <v>0</v>
      </c>
    </row>
    <row r="1320" spans="1:18" x14ac:dyDescent="0.3">
      <c r="A1320" t="s">
        <v>2914</v>
      </c>
      <c r="B1320" s="1">
        <v>46173</v>
      </c>
      <c r="C1320" t="s">
        <v>94</v>
      </c>
      <c r="D1320" t="s">
        <v>20</v>
      </c>
      <c r="E1320">
        <v>46</v>
      </c>
      <c r="F1320" t="s">
        <v>30</v>
      </c>
      <c r="G1320" t="s">
        <v>31</v>
      </c>
      <c r="H1320" t="s">
        <v>46</v>
      </c>
      <c r="I1320" t="s">
        <v>79</v>
      </c>
      <c r="J1320" t="s">
        <v>72</v>
      </c>
      <c r="K1320">
        <v>10</v>
      </c>
      <c r="L1320" s="4">
        <v>28400</v>
      </c>
      <c r="M1320">
        <v>15</v>
      </c>
      <c r="N1320" s="4">
        <v>241400</v>
      </c>
      <c r="O1320" t="s">
        <v>85</v>
      </c>
      <c r="P1320">
        <v>5</v>
      </c>
      <c r="Q1320" t="s">
        <v>74</v>
      </c>
      <c r="R1320">
        <v>0</v>
      </c>
    </row>
    <row r="1321" spans="1:18" x14ac:dyDescent="0.3">
      <c r="A1321" t="s">
        <v>2915</v>
      </c>
      <c r="B1321" s="1">
        <v>45885</v>
      </c>
      <c r="C1321" t="s">
        <v>94</v>
      </c>
      <c r="D1321" t="s">
        <v>20</v>
      </c>
      <c r="E1321">
        <v>55</v>
      </c>
      <c r="F1321" t="s">
        <v>21</v>
      </c>
      <c r="G1321" t="s">
        <v>21</v>
      </c>
      <c r="H1321" t="s">
        <v>22</v>
      </c>
      <c r="I1321" t="s">
        <v>84</v>
      </c>
      <c r="J1321" t="s">
        <v>34</v>
      </c>
      <c r="K1321">
        <v>1</v>
      </c>
      <c r="L1321" s="4">
        <v>18200</v>
      </c>
      <c r="M1321">
        <v>15</v>
      </c>
      <c r="N1321" s="4">
        <v>15470</v>
      </c>
      <c r="O1321" t="s">
        <v>85</v>
      </c>
      <c r="P1321">
        <v>2</v>
      </c>
      <c r="Q1321" t="s">
        <v>74</v>
      </c>
      <c r="R1321">
        <v>0</v>
      </c>
    </row>
    <row r="1322" spans="1:18" x14ac:dyDescent="0.3">
      <c r="A1322" t="s">
        <v>2916</v>
      </c>
      <c r="B1322" s="1">
        <v>46028</v>
      </c>
      <c r="C1322" t="s">
        <v>19</v>
      </c>
      <c r="D1322" t="s">
        <v>39</v>
      </c>
      <c r="E1322">
        <v>36</v>
      </c>
      <c r="F1322" t="s">
        <v>61</v>
      </c>
      <c r="G1322" t="s">
        <v>61</v>
      </c>
      <c r="H1322" t="s">
        <v>46</v>
      </c>
      <c r="I1322" t="s">
        <v>47</v>
      </c>
      <c r="J1322" t="s">
        <v>34</v>
      </c>
      <c r="K1322">
        <v>1</v>
      </c>
      <c r="L1322" s="4">
        <v>30100</v>
      </c>
      <c r="M1322">
        <v>5</v>
      </c>
      <c r="N1322" s="4">
        <v>28595</v>
      </c>
      <c r="O1322" t="s">
        <v>85</v>
      </c>
      <c r="P1322">
        <v>1</v>
      </c>
      <c r="Q1322" t="s">
        <v>65</v>
      </c>
      <c r="R1322">
        <v>0</v>
      </c>
    </row>
    <row r="1323" spans="1:18" x14ac:dyDescent="0.3">
      <c r="A1323" t="s">
        <v>2920</v>
      </c>
      <c r="B1323" s="1">
        <v>45973</v>
      </c>
      <c r="C1323" t="s">
        <v>121</v>
      </c>
      <c r="D1323" t="s">
        <v>39</v>
      </c>
      <c r="E1323">
        <v>58</v>
      </c>
      <c r="F1323" t="s">
        <v>44</v>
      </c>
      <c r="G1323" t="s">
        <v>100</v>
      </c>
      <c r="H1323" t="s">
        <v>46</v>
      </c>
      <c r="I1323" t="s">
        <v>79</v>
      </c>
      <c r="J1323" t="s">
        <v>64</v>
      </c>
      <c r="K1323">
        <v>4</v>
      </c>
      <c r="L1323" s="4">
        <v>41200</v>
      </c>
      <c r="M1323">
        <v>25</v>
      </c>
      <c r="N1323" s="4">
        <v>123600</v>
      </c>
      <c r="O1323" t="s">
        <v>3293</v>
      </c>
      <c r="P1323">
        <v>1</v>
      </c>
      <c r="Q1323" t="s">
        <v>41</v>
      </c>
      <c r="R1323">
        <v>1</v>
      </c>
    </row>
    <row r="1324" spans="1:18" x14ac:dyDescent="0.3">
      <c r="A1324" t="s">
        <v>2921</v>
      </c>
      <c r="B1324" s="1">
        <v>46020</v>
      </c>
      <c r="C1324" t="s">
        <v>19</v>
      </c>
      <c r="D1324" t="s">
        <v>20</v>
      </c>
      <c r="E1324">
        <v>39</v>
      </c>
      <c r="F1324" t="s">
        <v>77</v>
      </c>
      <c r="G1324" t="s">
        <v>78</v>
      </c>
      <c r="H1324" t="s">
        <v>46</v>
      </c>
      <c r="I1324" t="s">
        <v>47</v>
      </c>
      <c r="J1324" t="s">
        <v>72</v>
      </c>
      <c r="K1324">
        <v>5</v>
      </c>
      <c r="L1324" s="4">
        <v>42800</v>
      </c>
      <c r="M1324">
        <v>5</v>
      </c>
      <c r="N1324" s="4">
        <v>203300</v>
      </c>
      <c r="O1324" t="s">
        <v>25</v>
      </c>
      <c r="P1324">
        <v>4</v>
      </c>
      <c r="Q1324" t="s">
        <v>26</v>
      </c>
      <c r="R1324">
        <v>0</v>
      </c>
    </row>
    <row r="1325" spans="1:18" x14ac:dyDescent="0.3">
      <c r="A1325" t="s">
        <v>2922</v>
      </c>
      <c r="B1325" s="1">
        <v>45948</v>
      </c>
      <c r="C1325" t="s">
        <v>19</v>
      </c>
      <c r="D1325" t="s">
        <v>3292</v>
      </c>
      <c r="E1325">
        <v>34</v>
      </c>
      <c r="F1325" t="s">
        <v>21</v>
      </c>
      <c r="G1325" t="s">
        <v>21</v>
      </c>
      <c r="H1325" t="s">
        <v>22</v>
      </c>
      <c r="I1325" t="s">
        <v>84</v>
      </c>
      <c r="J1325" t="s">
        <v>89</v>
      </c>
      <c r="K1325">
        <v>4</v>
      </c>
      <c r="L1325" s="4">
        <v>7900</v>
      </c>
      <c r="M1325">
        <v>0</v>
      </c>
      <c r="N1325" s="4">
        <v>31600</v>
      </c>
      <c r="O1325" t="s">
        <v>73</v>
      </c>
      <c r="Q1325" t="s">
        <v>65</v>
      </c>
      <c r="R1325">
        <v>0</v>
      </c>
    </row>
    <row r="1326" spans="1:18" x14ac:dyDescent="0.3">
      <c r="A1326" t="s">
        <v>2923</v>
      </c>
      <c r="B1326" s="1">
        <v>45659</v>
      </c>
      <c r="C1326" t="s">
        <v>29</v>
      </c>
      <c r="D1326" t="s">
        <v>3292</v>
      </c>
      <c r="E1326">
        <v>35</v>
      </c>
      <c r="F1326" t="s">
        <v>21</v>
      </c>
      <c r="G1326" t="s">
        <v>21</v>
      </c>
      <c r="H1326" t="s">
        <v>62</v>
      </c>
      <c r="I1326" t="s">
        <v>140</v>
      </c>
      <c r="J1326" t="s">
        <v>80</v>
      </c>
      <c r="K1326">
        <v>7</v>
      </c>
      <c r="L1326" s="4">
        <v>41200</v>
      </c>
      <c r="M1326">
        <v>20</v>
      </c>
      <c r="N1326" s="4">
        <v>230720</v>
      </c>
      <c r="O1326" t="s">
        <v>73</v>
      </c>
      <c r="P1326">
        <v>5</v>
      </c>
      <c r="Q1326" t="s">
        <v>26</v>
      </c>
      <c r="R1326">
        <v>0</v>
      </c>
    </row>
    <row r="1327" spans="1:18" x14ac:dyDescent="0.3">
      <c r="A1327" t="s">
        <v>2925</v>
      </c>
      <c r="B1327" s="1">
        <v>46019</v>
      </c>
      <c r="C1327" t="s">
        <v>38</v>
      </c>
      <c r="D1327" t="s">
        <v>20</v>
      </c>
      <c r="E1327">
        <v>19</v>
      </c>
      <c r="F1327" t="s">
        <v>51</v>
      </c>
      <c r="G1327" t="s">
        <v>52</v>
      </c>
      <c r="H1327" t="s">
        <v>32</v>
      </c>
      <c r="I1327" t="s">
        <v>53</v>
      </c>
      <c r="J1327" t="s">
        <v>80</v>
      </c>
      <c r="K1327">
        <v>1</v>
      </c>
      <c r="L1327" s="4">
        <v>20500</v>
      </c>
      <c r="M1327">
        <v>25</v>
      </c>
      <c r="N1327" s="4">
        <v>15375</v>
      </c>
      <c r="O1327" t="s">
        <v>25</v>
      </c>
      <c r="Q1327" t="s">
        <v>74</v>
      </c>
      <c r="R1327">
        <v>0</v>
      </c>
    </row>
    <row r="1328" spans="1:18" x14ac:dyDescent="0.3">
      <c r="A1328" t="s">
        <v>2927</v>
      </c>
      <c r="B1328" s="1">
        <v>45934</v>
      </c>
      <c r="C1328" t="s">
        <v>121</v>
      </c>
      <c r="D1328" t="s">
        <v>3292</v>
      </c>
      <c r="E1328">
        <v>26</v>
      </c>
      <c r="F1328" t="s">
        <v>30</v>
      </c>
      <c r="G1328" t="s">
        <v>57</v>
      </c>
      <c r="H1328" t="s">
        <v>32</v>
      </c>
      <c r="I1328" t="s">
        <v>33</v>
      </c>
      <c r="J1328" t="s">
        <v>72</v>
      </c>
      <c r="K1328">
        <v>5</v>
      </c>
      <c r="L1328" s="4">
        <v>30400</v>
      </c>
      <c r="M1328">
        <v>5</v>
      </c>
      <c r="N1328" s="4">
        <v>144400</v>
      </c>
      <c r="O1328" t="s">
        <v>25</v>
      </c>
      <c r="P1328">
        <v>5</v>
      </c>
      <c r="Q1328" t="s">
        <v>74</v>
      </c>
      <c r="R1328">
        <v>0</v>
      </c>
    </row>
    <row r="1329" spans="1:18" x14ac:dyDescent="0.3">
      <c r="A1329" t="s">
        <v>2929</v>
      </c>
      <c r="B1329" s="1">
        <v>46065</v>
      </c>
      <c r="C1329" t="s">
        <v>38</v>
      </c>
      <c r="D1329" t="s">
        <v>39</v>
      </c>
      <c r="E1329">
        <v>58</v>
      </c>
      <c r="F1329" t="s">
        <v>30</v>
      </c>
      <c r="G1329" t="s">
        <v>31</v>
      </c>
      <c r="H1329" t="s">
        <v>32</v>
      </c>
      <c r="I1329" t="s">
        <v>33</v>
      </c>
      <c r="J1329" t="s">
        <v>80</v>
      </c>
      <c r="K1329">
        <v>8</v>
      </c>
      <c r="L1329" s="4">
        <v>18300</v>
      </c>
      <c r="M1329">
        <v>20</v>
      </c>
      <c r="N1329" s="4">
        <v>117120</v>
      </c>
      <c r="O1329" t="s">
        <v>73</v>
      </c>
      <c r="Q1329" t="s">
        <v>74</v>
      </c>
      <c r="R1329">
        <v>0</v>
      </c>
    </row>
    <row r="1330" spans="1:18" x14ac:dyDescent="0.3">
      <c r="A1330" t="s">
        <v>2932</v>
      </c>
      <c r="B1330" s="1">
        <v>45992</v>
      </c>
      <c r="C1330" t="s">
        <v>68</v>
      </c>
      <c r="D1330" t="s">
        <v>39</v>
      </c>
      <c r="E1330">
        <v>24</v>
      </c>
      <c r="F1330" t="s">
        <v>21</v>
      </c>
      <c r="G1330" t="s">
        <v>21</v>
      </c>
      <c r="H1330" t="s">
        <v>62</v>
      </c>
      <c r="I1330" t="s">
        <v>63</v>
      </c>
      <c r="J1330" t="s">
        <v>80</v>
      </c>
      <c r="K1330">
        <v>4</v>
      </c>
      <c r="L1330" s="4">
        <v>33800</v>
      </c>
      <c r="M1330">
        <v>20</v>
      </c>
      <c r="N1330" s="4">
        <v>108160</v>
      </c>
      <c r="O1330" t="s">
        <v>25</v>
      </c>
      <c r="P1330">
        <v>2</v>
      </c>
      <c r="Q1330" t="s">
        <v>74</v>
      </c>
      <c r="R1330">
        <v>0</v>
      </c>
    </row>
    <row r="1331" spans="1:18" x14ac:dyDescent="0.3">
      <c r="A1331" t="s">
        <v>2935</v>
      </c>
      <c r="B1331" s="1">
        <v>46153</v>
      </c>
      <c r="C1331" t="s">
        <v>113</v>
      </c>
      <c r="D1331" t="s">
        <v>39</v>
      </c>
      <c r="E1331">
        <v>31</v>
      </c>
      <c r="F1331" t="s">
        <v>51</v>
      </c>
      <c r="G1331" t="s">
        <v>52</v>
      </c>
      <c r="H1331" t="s">
        <v>32</v>
      </c>
      <c r="I1331" t="s">
        <v>53</v>
      </c>
      <c r="J1331" t="s">
        <v>24</v>
      </c>
      <c r="K1331">
        <v>10</v>
      </c>
      <c r="L1331" s="4">
        <v>8300</v>
      </c>
      <c r="M1331">
        <v>15</v>
      </c>
      <c r="N1331" s="4">
        <v>70550</v>
      </c>
      <c r="O1331" t="s">
        <v>73</v>
      </c>
      <c r="P1331">
        <v>2</v>
      </c>
      <c r="Q1331" t="s">
        <v>65</v>
      </c>
      <c r="R1331">
        <v>0</v>
      </c>
    </row>
    <row r="1332" spans="1:18" x14ac:dyDescent="0.3">
      <c r="A1332" t="s">
        <v>2937</v>
      </c>
      <c r="B1332" s="1">
        <v>45772</v>
      </c>
      <c r="C1332" t="s">
        <v>88</v>
      </c>
      <c r="D1332" t="s">
        <v>39</v>
      </c>
      <c r="E1332">
        <v>61</v>
      </c>
      <c r="F1332" t="s">
        <v>77</v>
      </c>
      <c r="G1332" t="s">
        <v>95</v>
      </c>
      <c r="H1332" t="s">
        <v>62</v>
      </c>
      <c r="I1332" t="s">
        <v>63</v>
      </c>
      <c r="J1332" t="s">
        <v>34</v>
      </c>
      <c r="K1332">
        <v>6</v>
      </c>
      <c r="L1332" s="4">
        <v>45000</v>
      </c>
      <c r="M1332">
        <v>10</v>
      </c>
      <c r="N1332" s="4">
        <v>243000</v>
      </c>
      <c r="O1332" t="s">
        <v>25</v>
      </c>
      <c r="P1332">
        <v>3</v>
      </c>
      <c r="Q1332" t="s">
        <v>74</v>
      </c>
      <c r="R1332">
        <v>0</v>
      </c>
    </row>
    <row r="1333" spans="1:18" x14ac:dyDescent="0.3">
      <c r="A1333" t="s">
        <v>2938</v>
      </c>
      <c r="B1333" s="1">
        <v>45729</v>
      </c>
      <c r="C1333" t="s">
        <v>29</v>
      </c>
      <c r="D1333" t="s">
        <v>20</v>
      </c>
      <c r="E1333">
        <v>65</v>
      </c>
      <c r="F1333" t="s">
        <v>51</v>
      </c>
      <c r="G1333" t="s">
        <v>104</v>
      </c>
      <c r="H1333" t="s">
        <v>62</v>
      </c>
      <c r="I1333" t="s">
        <v>63</v>
      </c>
      <c r="J1333" t="s">
        <v>89</v>
      </c>
      <c r="K1333">
        <v>10</v>
      </c>
      <c r="L1333" s="4">
        <v>30700</v>
      </c>
      <c r="M1333">
        <v>15</v>
      </c>
      <c r="N1333" s="4">
        <v>260950</v>
      </c>
      <c r="O1333" t="s">
        <v>73</v>
      </c>
      <c r="P1333">
        <v>3</v>
      </c>
      <c r="Q1333" t="s">
        <v>74</v>
      </c>
      <c r="R1333">
        <v>0</v>
      </c>
    </row>
    <row r="1334" spans="1:18" x14ac:dyDescent="0.3">
      <c r="A1334" t="s">
        <v>2939</v>
      </c>
      <c r="B1334" s="1">
        <v>46194</v>
      </c>
      <c r="C1334" t="s">
        <v>113</v>
      </c>
      <c r="D1334" t="s">
        <v>20</v>
      </c>
      <c r="E1334">
        <v>19</v>
      </c>
      <c r="F1334" t="s">
        <v>30</v>
      </c>
      <c r="G1334" t="s">
        <v>57</v>
      </c>
      <c r="H1334" t="s">
        <v>62</v>
      </c>
      <c r="I1334" t="s">
        <v>63</v>
      </c>
      <c r="J1334" t="s">
        <v>72</v>
      </c>
      <c r="K1334">
        <v>9</v>
      </c>
      <c r="L1334" s="4">
        <v>36900</v>
      </c>
      <c r="M1334">
        <v>20</v>
      </c>
      <c r="N1334" s="4">
        <v>265680</v>
      </c>
      <c r="O1334" t="s">
        <v>25</v>
      </c>
      <c r="P1334">
        <v>3</v>
      </c>
      <c r="Q1334" t="s">
        <v>65</v>
      </c>
      <c r="R1334">
        <v>0</v>
      </c>
    </row>
    <row r="1335" spans="1:18" x14ac:dyDescent="0.3">
      <c r="A1335" t="s">
        <v>2941</v>
      </c>
      <c r="B1335" s="1">
        <v>45837</v>
      </c>
      <c r="C1335" t="s">
        <v>94</v>
      </c>
      <c r="D1335" t="s">
        <v>20</v>
      </c>
      <c r="E1335">
        <v>43</v>
      </c>
      <c r="F1335" t="s">
        <v>77</v>
      </c>
      <c r="G1335" t="s">
        <v>78</v>
      </c>
      <c r="H1335" t="s">
        <v>46</v>
      </c>
      <c r="I1335" t="s">
        <v>47</v>
      </c>
      <c r="J1335" t="s">
        <v>24</v>
      </c>
      <c r="K1335">
        <v>7</v>
      </c>
      <c r="L1335" s="4">
        <v>35800</v>
      </c>
      <c r="M1335">
        <v>10</v>
      </c>
      <c r="N1335" s="4">
        <v>225540</v>
      </c>
      <c r="O1335" t="s">
        <v>25</v>
      </c>
      <c r="P1335">
        <v>5</v>
      </c>
      <c r="Q1335" t="s">
        <v>65</v>
      </c>
      <c r="R1335">
        <v>0</v>
      </c>
    </row>
    <row r="1336" spans="1:18" x14ac:dyDescent="0.3">
      <c r="A1336" t="s">
        <v>2943</v>
      </c>
      <c r="B1336" s="1">
        <v>45862</v>
      </c>
      <c r="C1336" t="s">
        <v>94</v>
      </c>
      <c r="D1336" t="s">
        <v>20</v>
      </c>
      <c r="E1336">
        <v>36</v>
      </c>
      <c r="F1336" t="s">
        <v>51</v>
      </c>
      <c r="G1336" t="s">
        <v>104</v>
      </c>
      <c r="H1336" t="s">
        <v>32</v>
      </c>
      <c r="I1336" t="s">
        <v>33</v>
      </c>
      <c r="J1336" t="s">
        <v>34</v>
      </c>
      <c r="K1336">
        <v>1</v>
      </c>
      <c r="L1336" s="4">
        <v>46200</v>
      </c>
      <c r="M1336">
        <v>0</v>
      </c>
      <c r="N1336" s="4">
        <v>46200</v>
      </c>
      <c r="O1336" t="s">
        <v>85</v>
      </c>
      <c r="P1336">
        <v>3</v>
      </c>
      <c r="Q1336" t="s">
        <v>41</v>
      </c>
      <c r="R1336">
        <v>1</v>
      </c>
    </row>
    <row r="1337" spans="1:18" x14ac:dyDescent="0.3">
      <c r="A1337" t="s">
        <v>2944</v>
      </c>
      <c r="B1337" s="1">
        <v>46358</v>
      </c>
      <c r="C1337" t="s">
        <v>121</v>
      </c>
      <c r="D1337" t="s">
        <v>20</v>
      </c>
      <c r="E1337">
        <v>54</v>
      </c>
      <c r="F1337" t="s">
        <v>21</v>
      </c>
      <c r="G1337" t="s">
        <v>21</v>
      </c>
      <c r="H1337" t="s">
        <v>32</v>
      </c>
      <c r="I1337" t="s">
        <v>33</v>
      </c>
      <c r="J1337" t="s">
        <v>72</v>
      </c>
      <c r="K1337">
        <v>3</v>
      </c>
      <c r="L1337" s="4">
        <v>4000</v>
      </c>
      <c r="M1337">
        <v>15</v>
      </c>
      <c r="N1337" s="4">
        <v>10200</v>
      </c>
      <c r="O1337" t="s">
        <v>85</v>
      </c>
      <c r="P1337">
        <v>1</v>
      </c>
      <c r="Q1337" t="s">
        <v>74</v>
      </c>
      <c r="R1337">
        <v>0</v>
      </c>
    </row>
    <row r="1338" spans="1:18" x14ac:dyDescent="0.3">
      <c r="A1338" t="s">
        <v>2945</v>
      </c>
      <c r="B1338" s="1">
        <v>45816</v>
      </c>
      <c r="C1338" t="s">
        <v>19</v>
      </c>
      <c r="D1338" t="s">
        <v>20</v>
      </c>
      <c r="E1338">
        <v>36</v>
      </c>
      <c r="F1338" t="s">
        <v>51</v>
      </c>
      <c r="G1338" t="s">
        <v>52</v>
      </c>
      <c r="H1338" t="s">
        <v>46</v>
      </c>
      <c r="I1338" t="s">
        <v>47</v>
      </c>
      <c r="J1338" t="s">
        <v>64</v>
      </c>
      <c r="K1338">
        <v>2</v>
      </c>
      <c r="L1338" s="4">
        <v>39000</v>
      </c>
      <c r="M1338">
        <v>5</v>
      </c>
      <c r="N1338" s="4">
        <v>74100</v>
      </c>
      <c r="O1338" t="s">
        <v>3293</v>
      </c>
      <c r="Q1338" t="s">
        <v>41</v>
      </c>
      <c r="R1338">
        <v>1</v>
      </c>
    </row>
    <row r="1339" spans="1:18" x14ac:dyDescent="0.3">
      <c r="A1339" t="s">
        <v>2946</v>
      </c>
      <c r="B1339" s="1">
        <v>45766</v>
      </c>
      <c r="C1339" t="s">
        <v>29</v>
      </c>
      <c r="D1339" t="s">
        <v>20</v>
      </c>
      <c r="E1339">
        <v>30</v>
      </c>
      <c r="F1339" t="s">
        <v>51</v>
      </c>
      <c r="G1339" t="s">
        <v>104</v>
      </c>
      <c r="H1339" t="s">
        <v>22</v>
      </c>
      <c r="I1339" t="s">
        <v>23</v>
      </c>
      <c r="J1339" t="s">
        <v>72</v>
      </c>
      <c r="K1339">
        <v>10</v>
      </c>
      <c r="L1339" s="4">
        <v>8500</v>
      </c>
      <c r="M1339">
        <v>10</v>
      </c>
      <c r="N1339" s="4">
        <v>76500</v>
      </c>
      <c r="O1339" t="s">
        <v>85</v>
      </c>
      <c r="P1339">
        <v>3</v>
      </c>
      <c r="Q1339" t="s">
        <v>26</v>
      </c>
      <c r="R1339">
        <v>0</v>
      </c>
    </row>
    <row r="1340" spans="1:18" x14ac:dyDescent="0.3">
      <c r="A1340" t="s">
        <v>2948</v>
      </c>
      <c r="B1340" s="1">
        <v>46025</v>
      </c>
      <c r="C1340" t="s">
        <v>94</v>
      </c>
      <c r="D1340" t="s">
        <v>20</v>
      </c>
      <c r="E1340">
        <v>38</v>
      </c>
      <c r="F1340" t="s">
        <v>21</v>
      </c>
      <c r="G1340" t="s">
        <v>21</v>
      </c>
      <c r="H1340" t="s">
        <v>32</v>
      </c>
      <c r="I1340" t="s">
        <v>53</v>
      </c>
      <c r="J1340" t="s">
        <v>89</v>
      </c>
      <c r="K1340">
        <v>4</v>
      </c>
      <c r="L1340" s="4">
        <v>8700</v>
      </c>
      <c r="M1340">
        <v>25</v>
      </c>
      <c r="N1340" s="4">
        <v>26100</v>
      </c>
      <c r="O1340" t="s">
        <v>25</v>
      </c>
      <c r="P1340">
        <v>4</v>
      </c>
      <c r="Q1340" t="s">
        <v>41</v>
      </c>
      <c r="R1340">
        <v>1</v>
      </c>
    </row>
    <row r="1341" spans="1:18" x14ac:dyDescent="0.3">
      <c r="A1341" t="s">
        <v>2949</v>
      </c>
      <c r="B1341" s="1">
        <v>46103</v>
      </c>
      <c r="C1341" t="s">
        <v>113</v>
      </c>
      <c r="D1341" t="s">
        <v>39</v>
      </c>
      <c r="E1341">
        <v>61</v>
      </c>
      <c r="F1341" t="s">
        <v>44</v>
      </c>
      <c r="G1341" t="s">
        <v>100</v>
      </c>
      <c r="H1341" t="s">
        <v>46</v>
      </c>
      <c r="I1341" t="s">
        <v>47</v>
      </c>
      <c r="J1341" t="s">
        <v>89</v>
      </c>
      <c r="K1341">
        <v>7</v>
      </c>
      <c r="L1341" s="4">
        <v>8900</v>
      </c>
      <c r="M1341">
        <v>25</v>
      </c>
      <c r="N1341" s="4">
        <v>46725</v>
      </c>
      <c r="O1341" t="s">
        <v>85</v>
      </c>
      <c r="P1341">
        <v>1</v>
      </c>
      <c r="Q1341" t="s">
        <v>26</v>
      </c>
      <c r="R1341">
        <v>0</v>
      </c>
    </row>
    <row r="1342" spans="1:18" x14ac:dyDescent="0.3">
      <c r="A1342" t="s">
        <v>2950</v>
      </c>
      <c r="B1342" s="1">
        <v>45695</v>
      </c>
      <c r="C1342" t="s">
        <v>121</v>
      </c>
      <c r="D1342" t="s">
        <v>20</v>
      </c>
      <c r="E1342">
        <v>52</v>
      </c>
      <c r="F1342" t="s">
        <v>30</v>
      </c>
      <c r="G1342" t="s">
        <v>31</v>
      </c>
      <c r="H1342" t="s">
        <v>62</v>
      </c>
      <c r="I1342" t="s">
        <v>140</v>
      </c>
      <c r="J1342" t="s">
        <v>24</v>
      </c>
      <c r="K1342">
        <v>1</v>
      </c>
      <c r="L1342" s="4">
        <v>27800</v>
      </c>
      <c r="M1342">
        <v>0</v>
      </c>
      <c r="N1342" s="4">
        <v>27800</v>
      </c>
      <c r="O1342" t="s">
        <v>85</v>
      </c>
      <c r="P1342">
        <v>1</v>
      </c>
      <c r="Q1342" t="s">
        <v>26</v>
      </c>
      <c r="R1342">
        <v>0</v>
      </c>
    </row>
    <row r="1343" spans="1:18" x14ac:dyDescent="0.3">
      <c r="A1343" t="s">
        <v>2951</v>
      </c>
      <c r="B1343" s="1">
        <v>45817</v>
      </c>
      <c r="C1343" t="s">
        <v>113</v>
      </c>
      <c r="D1343" t="s">
        <v>20</v>
      </c>
      <c r="E1343">
        <v>45</v>
      </c>
      <c r="F1343" t="s">
        <v>30</v>
      </c>
      <c r="G1343" t="s">
        <v>31</v>
      </c>
      <c r="H1343" t="s">
        <v>62</v>
      </c>
      <c r="I1343" t="s">
        <v>63</v>
      </c>
      <c r="J1343" t="s">
        <v>34</v>
      </c>
      <c r="K1343">
        <v>5</v>
      </c>
      <c r="L1343" s="4">
        <v>11500</v>
      </c>
      <c r="M1343">
        <v>0</v>
      </c>
      <c r="N1343" s="4">
        <v>57500</v>
      </c>
      <c r="O1343" t="s">
        <v>85</v>
      </c>
      <c r="P1343">
        <v>3</v>
      </c>
      <c r="Q1343" t="s">
        <v>41</v>
      </c>
      <c r="R1343">
        <v>1</v>
      </c>
    </row>
    <row r="1344" spans="1:18" x14ac:dyDescent="0.3">
      <c r="A1344" t="s">
        <v>2958</v>
      </c>
      <c r="B1344" s="1">
        <v>45962</v>
      </c>
      <c r="C1344" t="s">
        <v>60</v>
      </c>
      <c r="D1344" t="s">
        <v>39</v>
      </c>
      <c r="E1344">
        <v>24</v>
      </c>
      <c r="F1344" t="s">
        <v>77</v>
      </c>
      <c r="G1344" t="s">
        <v>95</v>
      </c>
      <c r="H1344" t="s">
        <v>32</v>
      </c>
      <c r="I1344" t="s">
        <v>53</v>
      </c>
      <c r="J1344" t="s">
        <v>24</v>
      </c>
      <c r="K1344">
        <v>1</v>
      </c>
      <c r="L1344" s="4">
        <v>15400</v>
      </c>
      <c r="M1344">
        <v>10</v>
      </c>
      <c r="N1344" s="4">
        <v>13860</v>
      </c>
      <c r="O1344" t="s">
        <v>73</v>
      </c>
      <c r="P1344">
        <v>5</v>
      </c>
      <c r="Q1344" t="s">
        <v>41</v>
      </c>
      <c r="R1344">
        <v>1</v>
      </c>
    </row>
    <row r="1345" spans="1:18" x14ac:dyDescent="0.3">
      <c r="A1345" t="s">
        <v>2962</v>
      </c>
      <c r="B1345" s="1">
        <v>46125</v>
      </c>
      <c r="C1345" t="s">
        <v>29</v>
      </c>
      <c r="D1345" t="s">
        <v>20</v>
      </c>
      <c r="E1345">
        <v>52</v>
      </c>
      <c r="F1345" t="s">
        <v>61</v>
      </c>
      <c r="G1345" t="s">
        <v>61</v>
      </c>
      <c r="H1345" t="s">
        <v>46</v>
      </c>
      <c r="I1345" t="s">
        <v>47</v>
      </c>
      <c r="J1345" t="s">
        <v>72</v>
      </c>
      <c r="K1345">
        <v>9</v>
      </c>
      <c r="L1345" s="4">
        <v>7200</v>
      </c>
      <c r="M1345">
        <v>25</v>
      </c>
      <c r="N1345" s="4">
        <v>48600</v>
      </c>
      <c r="O1345" t="s">
        <v>73</v>
      </c>
      <c r="Q1345" t="s">
        <v>26</v>
      </c>
      <c r="R1345">
        <v>0</v>
      </c>
    </row>
    <row r="1346" spans="1:18" x14ac:dyDescent="0.3">
      <c r="A1346" t="s">
        <v>2964</v>
      </c>
      <c r="B1346" s="1">
        <v>46119</v>
      </c>
      <c r="C1346" t="s">
        <v>121</v>
      </c>
      <c r="D1346" t="s">
        <v>39</v>
      </c>
      <c r="E1346">
        <v>54</v>
      </c>
      <c r="F1346" t="s">
        <v>44</v>
      </c>
      <c r="G1346" t="s">
        <v>45</v>
      </c>
      <c r="H1346" t="s">
        <v>22</v>
      </c>
      <c r="I1346" t="s">
        <v>23</v>
      </c>
      <c r="J1346" t="s">
        <v>24</v>
      </c>
      <c r="K1346">
        <v>4</v>
      </c>
      <c r="L1346" s="4">
        <v>45100</v>
      </c>
      <c r="M1346">
        <v>15</v>
      </c>
      <c r="N1346" s="4">
        <v>153340</v>
      </c>
      <c r="O1346" t="s">
        <v>85</v>
      </c>
      <c r="P1346">
        <v>4</v>
      </c>
      <c r="Q1346" t="s">
        <v>41</v>
      </c>
      <c r="R1346">
        <v>1</v>
      </c>
    </row>
    <row r="1347" spans="1:18" x14ac:dyDescent="0.3">
      <c r="A1347" t="s">
        <v>2965</v>
      </c>
      <c r="B1347" s="1">
        <v>46301</v>
      </c>
      <c r="C1347" t="s">
        <v>94</v>
      </c>
      <c r="D1347" t="s">
        <v>20</v>
      </c>
      <c r="E1347">
        <v>20</v>
      </c>
      <c r="F1347" t="s">
        <v>77</v>
      </c>
      <c r="G1347" t="s">
        <v>95</v>
      </c>
      <c r="H1347" t="s">
        <v>62</v>
      </c>
      <c r="I1347" t="s">
        <v>140</v>
      </c>
      <c r="J1347" t="s">
        <v>34</v>
      </c>
      <c r="K1347">
        <v>9</v>
      </c>
      <c r="L1347" s="4">
        <v>46500</v>
      </c>
      <c r="M1347">
        <v>25</v>
      </c>
      <c r="N1347" s="4">
        <v>313875</v>
      </c>
      <c r="O1347" t="s">
        <v>25</v>
      </c>
      <c r="P1347">
        <v>1</v>
      </c>
      <c r="Q1347" t="s">
        <v>26</v>
      </c>
      <c r="R1347">
        <v>0</v>
      </c>
    </row>
    <row r="1348" spans="1:18" x14ac:dyDescent="0.3">
      <c r="A1348" t="s">
        <v>2967</v>
      </c>
      <c r="B1348" s="1">
        <v>45920</v>
      </c>
      <c r="C1348" t="s">
        <v>68</v>
      </c>
      <c r="D1348" t="s">
        <v>39</v>
      </c>
      <c r="E1348">
        <v>53</v>
      </c>
      <c r="F1348" t="s">
        <v>51</v>
      </c>
      <c r="G1348" t="s">
        <v>104</v>
      </c>
      <c r="H1348" t="s">
        <v>62</v>
      </c>
      <c r="I1348" t="s">
        <v>140</v>
      </c>
      <c r="J1348" t="s">
        <v>24</v>
      </c>
      <c r="K1348">
        <v>10</v>
      </c>
      <c r="L1348" s="4">
        <v>25500</v>
      </c>
      <c r="M1348">
        <v>0</v>
      </c>
      <c r="N1348" s="4">
        <v>255000</v>
      </c>
      <c r="O1348" t="s">
        <v>85</v>
      </c>
      <c r="P1348">
        <v>2</v>
      </c>
      <c r="Q1348" t="s">
        <v>26</v>
      </c>
      <c r="R1348">
        <v>0</v>
      </c>
    </row>
    <row r="1349" spans="1:18" x14ac:dyDescent="0.3">
      <c r="A1349" t="s">
        <v>2968</v>
      </c>
      <c r="B1349" s="1">
        <v>45902</v>
      </c>
      <c r="C1349" t="s">
        <v>29</v>
      </c>
      <c r="D1349" t="s">
        <v>3292</v>
      </c>
      <c r="E1349">
        <v>41</v>
      </c>
      <c r="F1349" t="s">
        <v>21</v>
      </c>
      <c r="G1349" t="s">
        <v>21</v>
      </c>
      <c r="H1349" t="s">
        <v>46</v>
      </c>
      <c r="I1349" t="s">
        <v>47</v>
      </c>
      <c r="J1349" t="s">
        <v>34</v>
      </c>
      <c r="K1349">
        <v>10</v>
      </c>
      <c r="L1349" s="4">
        <v>2000</v>
      </c>
      <c r="M1349">
        <v>10</v>
      </c>
      <c r="N1349" s="4">
        <v>18000</v>
      </c>
      <c r="O1349" t="s">
        <v>73</v>
      </c>
      <c r="Q1349" t="s">
        <v>74</v>
      </c>
      <c r="R1349">
        <v>0</v>
      </c>
    </row>
    <row r="1350" spans="1:18" x14ac:dyDescent="0.3">
      <c r="A1350" t="s">
        <v>2969</v>
      </c>
      <c r="B1350" s="1">
        <v>45705</v>
      </c>
      <c r="C1350" t="s">
        <v>113</v>
      </c>
      <c r="D1350" t="s">
        <v>20</v>
      </c>
      <c r="E1350">
        <v>27</v>
      </c>
      <c r="F1350" t="s">
        <v>61</v>
      </c>
      <c r="G1350" t="s">
        <v>61</v>
      </c>
      <c r="H1350" t="s">
        <v>22</v>
      </c>
      <c r="I1350" t="s">
        <v>84</v>
      </c>
      <c r="J1350" t="s">
        <v>80</v>
      </c>
      <c r="K1350">
        <v>10</v>
      </c>
      <c r="L1350" s="4">
        <v>22900</v>
      </c>
      <c r="M1350">
        <v>10</v>
      </c>
      <c r="N1350" s="4">
        <v>206100</v>
      </c>
      <c r="O1350" t="s">
        <v>25</v>
      </c>
      <c r="Q1350" t="s">
        <v>65</v>
      </c>
      <c r="R1350">
        <v>0</v>
      </c>
    </row>
    <row r="1351" spans="1:18" x14ac:dyDescent="0.3">
      <c r="A1351" t="s">
        <v>2975</v>
      </c>
      <c r="B1351" s="1">
        <v>46111</v>
      </c>
      <c r="C1351" t="s">
        <v>121</v>
      </c>
      <c r="D1351" t="s">
        <v>39</v>
      </c>
      <c r="E1351">
        <v>19</v>
      </c>
      <c r="F1351" t="s">
        <v>30</v>
      </c>
      <c r="G1351" t="s">
        <v>31</v>
      </c>
      <c r="H1351" t="s">
        <v>32</v>
      </c>
      <c r="I1351" t="s">
        <v>33</v>
      </c>
      <c r="J1351" t="s">
        <v>64</v>
      </c>
      <c r="K1351">
        <v>2</v>
      </c>
      <c r="L1351" s="4">
        <v>44800</v>
      </c>
      <c r="M1351">
        <v>25</v>
      </c>
      <c r="N1351" s="4">
        <v>67200</v>
      </c>
      <c r="O1351" t="s">
        <v>73</v>
      </c>
      <c r="P1351">
        <v>4</v>
      </c>
      <c r="Q1351" t="s">
        <v>41</v>
      </c>
      <c r="R1351">
        <v>1</v>
      </c>
    </row>
    <row r="1352" spans="1:18" x14ac:dyDescent="0.3">
      <c r="A1352" t="s">
        <v>2977</v>
      </c>
      <c r="B1352" s="1">
        <v>45972</v>
      </c>
      <c r="C1352" t="s">
        <v>38</v>
      </c>
      <c r="D1352" t="s">
        <v>39</v>
      </c>
      <c r="E1352">
        <v>26</v>
      </c>
      <c r="F1352" t="s">
        <v>21</v>
      </c>
      <c r="G1352" t="s">
        <v>21</v>
      </c>
      <c r="H1352" t="s">
        <v>32</v>
      </c>
      <c r="I1352" t="s">
        <v>33</v>
      </c>
      <c r="J1352" t="s">
        <v>80</v>
      </c>
      <c r="K1352">
        <v>1</v>
      </c>
      <c r="L1352" s="4">
        <v>18300</v>
      </c>
      <c r="M1352">
        <v>0</v>
      </c>
      <c r="N1352" s="4">
        <v>18300</v>
      </c>
      <c r="O1352" t="s">
        <v>85</v>
      </c>
      <c r="P1352">
        <v>2</v>
      </c>
      <c r="Q1352" t="s">
        <v>65</v>
      </c>
      <c r="R1352">
        <v>0</v>
      </c>
    </row>
    <row r="1353" spans="1:18" x14ac:dyDescent="0.3">
      <c r="A1353" t="s">
        <v>2978</v>
      </c>
      <c r="B1353" s="1">
        <v>46153</v>
      </c>
      <c r="C1353" t="s">
        <v>71</v>
      </c>
      <c r="D1353" t="s">
        <v>39</v>
      </c>
      <c r="E1353">
        <v>28</v>
      </c>
      <c r="F1353" t="s">
        <v>30</v>
      </c>
      <c r="G1353" t="s">
        <v>31</v>
      </c>
      <c r="H1353" t="s">
        <v>46</v>
      </c>
      <c r="I1353" t="s">
        <v>47</v>
      </c>
      <c r="J1353" t="s">
        <v>24</v>
      </c>
      <c r="K1353">
        <v>9</v>
      </c>
      <c r="L1353" s="4">
        <v>3000</v>
      </c>
      <c r="M1353">
        <v>10</v>
      </c>
      <c r="N1353" s="4">
        <v>24300</v>
      </c>
      <c r="O1353" t="s">
        <v>25</v>
      </c>
      <c r="P1353">
        <v>3</v>
      </c>
      <c r="Q1353" t="s">
        <v>41</v>
      </c>
      <c r="R1353">
        <v>1</v>
      </c>
    </row>
    <row r="1354" spans="1:18" x14ac:dyDescent="0.3">
      <c r="A1354" t="s">
        <v>2980</v>
      </c>
      <c r="B1354" s="1">
        <v>45815</v>
      </c>
      <c r="C1354" t="s">
        <v>68</v>
      </c>
      <c r="D1354" t="s">
        <v>20</v>
      </c>
      <c r="E1354">
        <v>45</v>
      </c>
      <c r="F1354" t="s">
        <v>44</v>
      </c>
      <c r="G1354" t="s">
        <v>100</v>
      </c>
      <c r="H1354" t="s">
        <v>22</v>
      </c>
      <c r="I1354" t="s">
        <v>84</v>
      </c>
      <c r="J1354" t="s">
        <v>72</v>
      </c>
      <c r="K1354">
        <v>10</v>
      </c>
      <c r="L1354" s="4">
        <v>48300</v>
      </c>
      <c r="M1354">
        <v>0</v>
      </c>
      <c r="N1354" s="4">
        <v>483000</v>
      </c>
      <c r="O1354" t="s">
        <v>85</v>
      </c>
      <c r="P1354">
        <v>3</v>
      </c>
      <c r="Q1354" t="s">
        <v>74</v>
      </c>
      <c r="R1354">
        <v>0</v>
      </c>
    </row>
    <row r="1355" spans="1:18" x14ac:dyDescent="0.3">
      <c r="A1355" t="s">
        <v>2982</v>
      </c>
      <c r="B1355" s="1">
        <v>46087</v>
      </c>
      <c r="C1355" t="s">
        <v>88</v>
      </c>
      <c r="D1355" t="s">
        <v>20</v>
      </c>
      <c r="E1355">
        <v>62</v>
      </c>
      <c r="F1355" t="s">
        <v>61</v>
      </c>
      <c r="G1355" t="s">
        <v>61</v>
      </c>
      <c r="H1355" t="s">
        <v>32</v>
      </c>
      <c r="I1355" t="s">
        <v>53</v>
      </c>
      <c r="J1355" t="s">
        <v>89</v>
      </c>
      <c r="K1355">
        <v>5</v>
      </c>
      <c r="L1355" s="4">
        <v>13000</v>
      </c>
      <c r="M1355">
        <v>10</v>
      </c>
      <c r="N1355" s="4">
        <v>58500</v>
      </c>
      <c r="O1355" t="s">
        <v>73</v>
      </c>
      <c r="Q1355" t="s">
        <v>41</v>
      </c>
      <c r="R1355">
        <v>1</v>
      </c>
    </row>
    <row r="1356" spans="1:18" x14ac:dyDescent="0.3">
      <c r="A1356" t="s">
        <v>2984</v>
      </c>
      <c r="B1356" s="1">
        <v>46069</v>
      </c>
      <c r="C1356" t="s">
        <v>29</v>
      </c>
      <c r="D1356" t="s">
        <v>3292</v>
      </c>
      <c r="E1356">
        <v>23</v>
      </c>
      <c r="F1356" t="s">
        <v>30</v>
      </c>
      <c r="G1356" t="s">
        <v>31</v>
      </c>
      <c r="H1356" t="s">
        <v>46</v>
      </c>
      <c r="I1356" t="s">
        <v>79</v>
      </c>
      <c r="J1356" t="s">
        <v>24</v>
      </c>
      <c r="K1356">
        <v>10</v>
      </c>
      <c r="L1356" s="4">
        <v>17000</v>
      </c>
      <c r="M1356">
        <v>0</v>
      </c>
      <c r="N1356" s="4">
        <v>170000</v>
      </c>
      <c r="O1356" t="s">
        <v>85</v>
      </c>
      <c r="P1356">
        <v>5</v>
      </c>
      <c r="Q1356" t="s">
        <v>65</v>
      </c>
      <c r="R1356">
        <v>0</v>
      </c>
    </row>
    <row r="1357" spans="1:18" x14ac:dyDescent="0.3">
      <c r="A1357" t="s">
        <v>2985</v>
      </c>
      <c r="B1357" s="1">
        <v>45829</v>
      </c>
      <c r="C1357" t="s">
        <v>19</v>
      </c>
      <c r="D1357" t="s">
        <v>39</v>
      </c>
      <c r="E1357">
        <v>27</v>
      </c>
      <c r="F1357" t="s">
        <v>61</v>
      </c>
      <c r="G1357" t="s">
        <v>61</v>
      </c>
      <c r="H1357" t="s">
        <v>22</v>
      </c>
      <c r="I1357" t="s">
        <v>84</v>
      </c>
      <c r="J1357" t="s">
        <v>24</v>
      </c>
      <c r="K1357">
        <v>8</v>
      </c>
      <c r="L1357" s="4">
        <v>47500</v>
      </c>
      <c r="M1357">
        <v>20</v>
      </c>
      <c r="N1357" s="4">
        <v>304000</v>
      </c>
      <c r="O1357" t="s">
        <v>73</v>
      </c>
      <c r="Q1357" t="s">
        <v>65</v>
      </c>
      <c r="R1357">
        <v>0</v>
      </c>
    </row>
    <row r="1358" spans="1:18" x14ac:dyDescent="0.3">
      <c r="A1358" t="s">
        <v>2987</v>
      </c>
      <c r="B1358" s="1">
        <v>45713</v>
      </c>
      <c r="C1358" t="s">
        <v>94</v>
      </c>
      <c r="D1358" t="s">
        <v>39</v>
      </c>
      <c r="E1358">
        <v>37</v>
      </c>
      <c r="F1358" t="s">
        <v>44</v>
      </c>
      <c r="G1358" t="s">
        <v>100</v>
      </c>
      <c r="H1358" t="s">
        <v>62</v>
      </c>
      <c r="I1358" t="s">
        <v>63</v>
      </c>
      <c r="J1358" t="s">
        <v>80</v>
      </c>
      <c r="K1358">
        <v>6</v>
      </c>
      <c r="L1358" s="4">
        <v>18500</v>
      </c>
      <c r="M1358">
        <v>15</v>
      </c>
      <c r="N1358" s="4">
        <v>94350</v>
      </c>
      <c r="O1358" t="s">
        <v>73</v>
      </c>
      <c r="Q1358" t="s">
        <v>26</v>
      </c>
      <c r="R1358">
        <v>0</v>
      </c>
    </row>
    <row r="1359" spans="1:18" x14ac:dyDescent="0.3">
      <c r="A1359" t="s">
        <v>2991</v>
      </c>
      <c r="B1359" s="1">
        <v>45932</v>
      </c>
      <c r="C1359" t="s">
        <v>121</v>
      </c>
      <c r="D1359" t="s">
        <v>39</v>
      </c>
      <c r="E1359">
        <v>48</v>
      </c>
      <c r="F1359" t="s">
        <v>44</v>
      </c>
      <c r="G1359" t="s">
        <v>100</v>
      </c>
      <c r="H1359" t="s">
        <v>62</v>
      </c>
      <c r="I1359" t="s">
        <v>140</v>
      </c>
      <c r="J1359" t="s">
        <v>24</v>
      </c>
      <c r="K1359">
        <v>10</v>
      </c>
      <c r="L1359" s="4">
        <v>12800</v>
      </c>
      <c r="M1359">
        <v>15</v>
      </c>
      <c r="N1359" s="4">
        <v>108800</v>
      </c>
      <c r="O1359" t="s">
        <v>73</v>
      </c>
      <c r="P1359">
        <v>5</v>
      </c>
      <c r="Q1359" t="s">
        <v>65</v>
      </c>
      <c r="R1359">
        <v>0</v>
      </c>
    </row>
    <row r="1360" spans="1:18" x14ac:dyDescent="0.3">
      <c r="A1360" t="s">
        <v>2994</v>
      </c>
      <c r="B1360" s="1">
        <v>45812</v>
      </c>
      <c r="C1360" t="s">
        <v>60</v>
      </c>
      <c r="D1360" t="s">
        <v>20</v>
      </c>
      <c r="E1360">
        <v>39</v>
      </c>
      <c r="F1360" t="s">
        <v>44</v>
      </c>
      <c r="G1360" t="s">
        <v>45</v>
      </c>
      <c r="H1360" t="s">
        <v>22</v>
      </c>
      <c r="I1360" t="s">
        <v>23</v>
      </c>
      <c r="J1360" t="s">
        <v>34</v>
      </c>
      <c r="K1360">
        <v>3</v>
      </c>
      <c r="L1360" s="4">
        <v>23900</v>
      </c>
      <c r="M1360">
        <v>10</v>
      </c>
      <c r="N1360" s="4">
        <v>64530</v>
      </c>
      <c r="O1360" t="s">
        <v>85</v>
      </c>
      <c r="P1360">
        <v>2</v>
      </c>
      <c r="Q1360" t="s">
        <v>26</v>
      </c>
      <c r="R1360">
        <v>0</v>
      </c>
    </row>
    <row r="1361" spans="1:18" x14ac:dyDescent="0.3">
      <c r="A1361" t="s">
        <v>2995</v>
      </c>
      <c r="B1361" s="1">
        <v>46358</v>
      </c>
      <c r="C1361" t="s">
        <v>94</v>
      </c>
      <c r="D1361" t="s">
        <v>39</v>
      </c>
      <c r="E1361">
        <v>44</v>
      </c>
      <c r="F1361" t="s">
        <v>44</v>
      </c>
      <c r="G1361" t="s">
        <v>100</v>
      </c>
      <c r="H1361" t="s">
        <v>22</v>
      </c>
      <c r="I1361" t="s">
        <v>23</v>
      </c>
      <c r="J1361" t="s">
        <v>72</v>
      </c>
      <c r="K1361">
        <v>1</v>
      </c>
      <c r="L1361" s="4">
        <v>10100</v>
      </c>
      <c r="M1361">
        <v>20</v>
      </c>
      <c r="N1361" s="4">
        <v>8080</v>
      </c>
      <c r="O1361" t="s">
        <v>85</v>
      </c>
      <c r="P1361">
        <v>4</v>
      </c>
      <c r="Q1361" t="s">
        <v>74</v>
      </c>
      <c r="R1361">
        <v>0</v>
      </c>
    </row>
    <row r="1362" spans="1:18" x14ac:dyDescent="0.3">
      <c r="A1362" t="s">
        <v>2997</v>
      </c>
      <c r="B1362" s="1">
        <v>45661</v>
      </c>
      <c r="C1362" t="s">
        <v>88</v>
      </c>
      <c r="D1362" t="s">
        <v>3292</v>
      </c>
      <c r="E1362">
        <v>40</v>
      </c>
      <c r="F1362" t="s">
        <v>30</v>
      </c>
      <c r="G1362" t="s">
        <v>57</v>
      </c>
      <c r="H1362" t="s">
        <v>22</v>
      </c>
      <c r="I1362" t="s">
        <v>84</v>
      </c>
      <c r="J1362" t="s">
        <v>89</v>
      </c>
      <c r="K1362">
        <v>10</v>
      </c>
      <c r="L1362" s="4">
        <v>43900</v>
      </c>
      <c r="M1362">
        <v>20</v>
      </c>
      <c r="N1362" s="4">
        <v>351200</v>
      </c>
      <c r="O1362" t="s">
        <v>73</v>
      </c>
      <c r="Q1362" t="s">
        <v>65</v>
      </c>
      <c r="R1362">
        <v>0</v>
      </c>
    </row>
    <row r="1363" spans="1:18" x14ac:dyDescent="0.3">
      <c r="A1363" t="s">
        <v>3000</v>
      </c>
      <c r="B1363" s="1">
        <v>46185</v>
      </c>
      <c r="C1363" t="s">
        <v>121</v>
      </c>
      <c r="D1363" t="s">
        <v>20</v>
      </c>
      <c r="E1363">
        <v>49</v>
      </c>
      <c r="F1363" t="s">
        <v>61</v>
      </c>
      <c r="G1363" t="s">
        <v>61</v>
      </c>
      <c r="H1363" t="s">
        <v>62</v>
      </c>
      <c r="I1363" t="s">
        <v>63</v>
      </c>
      <c r="J1363" t="s">
        <v>34</v>
      </c>
      <c r="K1363">
        <v>10</v>
      </c>
      <c r="L1363" s="4">
        <v>40900</v>
      </c>
      <c r="M1363">
        <v>25</v>
      </c>
      <c r="N1363" s="4">
        <v>306750</v>
      </c>
      <c r="O1363" t="s">
        <v>25</v>
      </c>
      <c r="P1363">
        <v>2</v>
      </c>
      <c r="Q1363" t="s">
        <v>41</v>
      </c>
      <c r="R1363">
        <v>1</v>
      </c>
    </row>
    <row r="1364" spans="1:18" x14ac:dyDescent="0.3">
      <c r="A1364" t="s">
        <v>3001</v>
      </c>
      <c r="B1364" s="1">
        <v>45798</v>
      </c>
      <c r="C1364" t="s">
        <v>94</v>
      </c>
      <c r="D1364" t="s">
        <v>39</v>
      </c>
      <c r="E1364">
        <v>44</v>
      </c>
      <c r="F1364" t="s">
        <v>51</v>
      </c>
      <c r="G1364" t="s">
        <v>104</v>
      </c>
      <c r="H1364" t="s">
        <v>32</v>
      </c>
      <c r="I1364" t="s">
        <v>53</v>
      </c>
      <c r="J1364" t="s">
        <v>64</v>
      </c>
      <c r="K1364">
        <v>5</v>
      </c>
      <c r="L1364" s="4">
        <v>33600</v>
      </c>
      <c r="M1364">
        <v>15</v>
      </c>
      <c r="N1364" s="4">
        <v>142800</v>
      </c>
      <c r="O1364" t="s">
        <v>85</v>
      </c>
      <c r="Q1364" t="s">
        <v>26</v>
      </c>
      <c r="R1364">
        <v>0</v>
      </c>
    </row>
    <row r="1365" spans="1:18" x14ac:dyDescent="0.3">
      <c r="A1365" t="s">
        <v>3002</v>
      </c>
      <c r="B1365" s="1">
        <v>45763</v>
      </c>
      <c r="C1365" t="s">
        <v>94</v>
      </c>
      <c r="D1365" t="s">
        <v>20</v>
      </c>
      <c r="E1365">
        <v>36</v>
      </c>
      <c r="F1365" t="s">
        <v>30</v>
      </c>
      <c r="G1365" t="s">
        <v>31</v>
      </c>
      <c r="H1365" t="s">
        <v>32</v>
      </c>
      <c r="I1365" t="s">
        <v>53</v>
      </c>
      <c r="J1365" t="s">
        <v>64</v>
      </c>
      <c r="K1365">
        <v>6</v>
      </c>
      <c r="L1365" s="4">
        <v>38900</v>
      </c>
      <c r="M1365">
        <v>0</v>
      </c>
      <c r="N1365" s="4">
        <v>233400</v>
      </c>
      <c r="O1365" t="s">
        <v>25</v>
      </c>
      <c r="P1365">
        <v>4</v>
      </c>
      <c r="Q1365" t="s">
        <v>65</v>
      </c>
      <c r="R1365">
        <v>0</v>
      </c>
    </row>
    <row r="1366" spans="1:18" x14ac:dyDescent="0.3">
      <c r="A1366" t="s">
        <v>3003</v>
      </c>
      <c r="B1366" s="1">
        <v>45683</v>
      </c>
      <c r="C1366" t="s">
        <v>19</v>
      </c>
      <c r="D1366" t="s">
        <v>39</v>
      </c>
      <c r="E1366">
        <v>30</v>
      </c>
      <c r="F1366" t="s">
        <v>51</v>
      </c>
      <c r="G1366" t="s">
        <v>52</v>
      </c>
      <c r="H1366" t="s">
        <v>62</v>
      </c>
      <c r="I1366" t="s">
        <v>140</v>
      </c>
      <c r="J1366" t="s">
        <v>34</v>
      </c>
      <c r="K1366">
        <v>10</v>
      </c>
      <c r="L1366" s="4">
        <v>22500</v>
      </c>
      <c r="M1366">
        <v>20</v>
      </c>
      <c r="N1366" s="4">
        <v>180000</v>
      </c>
      <c r="O1366" t="s">
        <v>25</v>
      </c>
      <c r="P1366">
        <v>5</v>
      </c>
      <c r="Q1366" t="s">
        <v>65</v>
      </c>
      <c r="R1366">
        <v>0</v>
      </c>
    </row>
    <row r="1367" spans="1:18" x14ac:dyDescent="0.3">
      <c r="A1367" t="s">
        <v>3005</v>
      </c>
      <c r="B1367" s="1">
        <v>46148</v>
      </c>
      <c r="C1367" t="s">
        <v>113</v>
      </c>
      <c r="D1367" t="s">
        <v>3292</v>
      </c>
      <c r="E1367">
        <v>58</v>
      </c>
      <c r="F1367" t="s">
        <v>44</v>
      </c>
      <c r="G1367" t="s">
        <v>45</v>
      </c>
      <c r="H1367" t="s">
        <v>22</v>
      </c>
      <c r="I1367" t="s">
        <v>23</v>
      </c>
      <c r="J1367" t="s">
        <v>80</v>
      </c>
      <c r="K1367">
        <v>10</v>
      </c>
      <c r="L1367" s="4">
        <v>16900</v>
      </c>
      <c r="M1367">
        <v>15</v>
      </c>
      <c r="N1367" s="4">
        <v>143650</v>
      </c>
      <c r="O1367" t="s">
        <v>85</v>
      </c>
      <c r="Q1367" t="s">
        <v>74</v>
      </c>
      <c r="R1367">
        <v>0</v>
      </c>
    </row>
    <row r="1368" spans="1:18" x14ac:dyDescent="0.3">
      <c r="A1368" t="s">
        <v>3007</v>
      </c>
      <c r="B1368" s="1">
        <v>46062</v>
      </c>
      <c r="C1368" t="s">
        <v>29</v>
      </c>
      <c r="D1368" t="s">
        <v>20</v>
      </c>
      <c r="E1368">
        <v>33</v>
      </c>
      <c r="F1368" t="s">
        <v>51</v>
      </c>
      <c r="G1368" t="s">
        <v>104</v>
      </c>
      <c r="H1368" t="s">
        <v>22</v>
      </c>
      <c r="I1368" t="s">
        <v>84</v>
      </c>
      <c r="J1368" t="s">
        <v>80</v>
      </c>
      <c r="K1368">
        <v>7</v>
      </c>
      <c r="L1368" s="4">
        <v>5600</v>
      </c>
      <c r="M1368">
        <v>15</v>
      </c>
      <c r="N1368" s="4">
        <v>33320</v>
      </c>
      <c r="O1368" t="s">
        <v>25</v>
      </c>
      <c r="P1368">
        <v>1</v>
      </c>
      <c r="Q1368" t="s">
        <v>74</v>
      </c>
      <c r="R1368">
        <v>0</v>
      </c>
    </row>
    <row r="1369" spans="1:18" x14ac:dyDescent="0.3">
      <c r="A1369" t="s">
        <v>3008</v>
      </c>
      <c r="B1369" s="1">
        <v>45884</v>
      </c>
      <c r="C1369" t="s">
        <v>19</v>
      </c>
      <c r="D1369" t="s">
        <v>20</v>
      </c>
      <c r="E1369">
        <v>44</v>
      </c>
      <c r="F1369" t="s">
        <v>51</v>
      </c>
      <c r="G1369" t="s">
        <v>104</v>
      </c>
      <c r="H1369" t="s">
        <v>22</v>
      </c>
      <c r="I1369" t="s">
        <v>23</v>
      </c>
      <c r="J1369" t="s">
        <v>24</v>
      </c>
      <c r="K1369">
        <v>6</v>
      </c>
      <c r="L1369" s="4">
        <v>42900</v>
      </c>
      <c r="M1369">
        <v>10</v>
      </c>
      <c r="N1369" s="4">
        <v>231660</v>
      </c>
      <c r="O1369" t="s">
        <v>85</v>
      </c>
      <c r="Q1369" t="s">
        <v>26</v>
      </c>
      <c r="R1369">
        <v>0</v>
      </c>
    </row>
    <row r="1370" spans="1:18" x14ac:dyDescent="0.3">
      <c r="A1370" t="s">
        <v>3009</v>
      </c>
      <c r="B1370" s="1">
        <v>45808</v>
      </c>
      <c r="C1370" t="s">
        <v>94</v>
      </c>
      <c r="D1370" t="s">
        <v>39</v>
      </c>
      <c r="E1370">
        <v>28</v>
      </c>
      <c r="F1370" t="s">
        <v>61</v>
      </c>
      <c r="G1370" t="s">
        <v>61</v>
      </c>
      <c r="H1370" t="s">
        <v>32</v>
      </c>
      <c r="I1370" t="s">
        <v>33</v>
      </c>
      <c r="J1370" t="s">
        <v>34</v>
      </c>
      <c r="K1370">
        <v>2</v>
      </c>
      <c r="L1370" s="4">
        <v>7200</v>
      </c>
      <c r="M1370">
        <v>25</v>
      </c>
      <c r="N1370" s="4">
        <v>10800</v>
      </c>
      <c r="O1370" t="s">
        <v>85</v>
      </c>
      <c r="P1370">
        <v>3</v>
      </c>
      <c r="Q1370" t="s">
        <v>41</v>
      </c>
      <c r="R1370">
        <v>1</v>
      </c>
    </row>
    <row r="1371" spans="1:18" x14ac:dyDescent="0.3">
      <c r="A1371" t="s">
        <v>3011</v>
      </c>
      <c r="B1371" s="1">
        <v>45694</v>
      </c>
      <c r="C1371" t="s">
        <v>60</v>
      </c>
      <c r="D1371" t="s">
        <v>39</v>
      </c>
      <c r="E1371">
        <v>24</v>
      </c>
      <c r="F1371" t="s">
        <v>51</v>
      </c>
      <c r="G1371" t="s">
        <v>52</v>
      </c>
      <c r="H1371" t="s">
        <v>62</v>
      </c>
      <c r="I1371" t="s">
        <v>140</v>
      </c>
      <c r="J1371" t="s">
        <v>34</v>
      </c>
      <c r="K1371">
        <v>4</v>
      </c>
      <c r="L1371" s="4">
        <v>41500</v>
      </c>
      <c r="M1371">
        <v>5</v>
      </c>
      <c r="N1371" s="4">
        <v>157700</v>
      </c>
      <c r="O1371" t="s">
        <v>25</v>
      </c>
      <c r="P1371">
        <v>1</v>
      </c>
      <c r="Q1371" t="s">
        <v>26</v>
      </c>
      <c r="R1371">
        <v>0</v>
      </c>
    </row>
    <row r="1372" spans="1:18" x14ac:dyDescent="0.3">
      <c r="A1372" t="s">
        <v>3014</v>
      </c>
      <c r="B1372" s="1">
        <v>45790</v>
      </c>
      <c r="C1372" t="s">
        <v>113</v>
      </c>
      <c r="D1372" t="s">
        <v>3292</v>
      </c>
      <c r="E1372">
        <v>54</v>
      </c>
      <c r="F1372" t="s">
        <v>21</v>
      </c>
      <c r="G1372" t="s">
        <v>21</v>
      </c>
      <c r="H1372" t="s">
        <v>32</v>
      </c>
      <c r="I1372" t="s">
        <v>53</v>
      </c>
      <c r="J1372" t="s">
        <v>64</v>
      </c>
      <c r="K1372">
        <v>3</v>
      </c>
      <c r="L1372" s="4">
        <v>19300</v>
      </c>
      <c r="M1372">
        <v>5</v>
      </c>
      <c r="N1372" s="4">
        <v>55005</v>
      </c>
      <c r="O1372" t="s">
        <v>85</v>
      </c>
      <c r="Q1372" t="s">
        <v>74</v>
      </c>
      <c r="R1372">
        <v>0</v>
      </c>
    </row>
    <row r="1373" spans="1:18" x14ac:dyDescent="0.3">
      <c r="A1373" t="s">
        <v>3015</v>
      </c>
      <c r="B1373" s="1">
        <v>45777</v>
      </c>
      <c r="C1373" t="s">
        <v>19</v>
      </c>
      <c r="D1373" t="s">
        <v>20</v>
      </c>
      <c r="E1373">
        <v>49</v>
      </c>
      <c r="F1373" t="s">
        <v>77</v>
      </c>
      <c r="G1373" t="s">
        <v>95</v>
      </c>
      <c r="H1373" t="s">
        <v>46</v>
      </c>
      <c r="I1373" t="s">
        <v>79</v>
      </c>
      <c r="J1373" t="s">
        <v>80</v>
      </c>
      <c r="K1373">
        <v>8</v>
      </c>
      <c r="L1373" s="4">
        <v>2200</v>
      </c>
      <c r="M1373">
        <v>15</v>
      </c>
      <c r="N1373" s="4">
        <v>14960</v>
      </c>
      <c r="O1373" t="s">
        <v>85</v>
      </c>
      <c r="P1373">
        <v>3</v>
      </c>
      <c r="Q1373" t="s">
        <v>26</v>
      </c>
      <c r="R1373">
        <v>0</v>
      </c>
    </row>
    <row r="1374" spans="1:18" x14ac:dyDescent="0.3">
      <c r="A1374" t="s">
        <v>3016</v>
      </c>
      <c r="B1374" s="1">
        <v>45884</v>
      </c>
      <c r="C1374" t="s">
        <v>60</v>
      </c>
      <c r="D1374" t="s">
        <v>20</v>
      </c>
      <c r="E1374">
        <v>49</v>
      </c>
      <c r="F1374" t="s">
        <v>77</v>
      </c>
      <c r="G1374" t="s">
        <v>78</v>
      </c>
      <c r="H1374" t="s">
        <v>32</v>
      </c>
      <c r="I1374" t="s">
        <v>33</v>
      </c>
      <c r="J1374" t="s">
        <v>24</v>
      </c>
      <c r="K1374">
        <v>5</v>
      </c>
      <c r="L1374" s="4">
        <v>27200</v>
      </c>
      <c r="M1374">
        <v>15</v>
      </c>
      <c r="N1374" s="4">
        <v>115600</v>
      </c>
      <c r="O1374" t="s">
        <v>73</v>
      </c>
      <c r="P1374">
        <v>4</v>
      </c>
      <c r="Q1374" t="s">
        <v>65</v>
      </c>
      <c r="R1374">
        <v>0</v>
      </c>
    </row>
    <row r="1375" spans="1:18" x14ac:dyDescent="0.3">
      <c r="A1375" t="s">
        <v>3017</v>
      </c>
      <c r="B1375" s="1">
        <v>46127</v>
      </c>
      <c r="C1375" t="s">
        <v>68</v>
      </c>
      <c r="D1375" t="s">
        <v>20</v>
      </c>
      <c r="E1375">
        <v>53</v>
      </c>
      <c r="F1375" t="s">
        <v>51</v>
      </c>
      <c r="G1375" t="s">
        <v>104</v>
      </c>
      <c r="H1375" t="s">
        <v>46</v>
      </c>
      <c r="I1375" t="s">
        <v>79</v>
      </c>
      <c r="J1375" t="s">
        <v>24</v>
      </c>
      <c r="K1375">
        <v>9</v>
      </c>
      <c r="L1375" s="4">
        <v>46500</v>
      </c>
      <c r="M1375">
        <v>5</v>
      </c>
      <c r="N1375" s="4">
        <v>397575</v>
      </c>
      <c r="O1375" t="s">
        <v>85</v>
      </c>
      <c r="P1375">
        <v>3</v>
      </c>
      <c r="Q1375" t="s">
        <v>26</v>
      </c>
      <c r="R1375">
        <v>0</v>
      </c>
    </row>
    <row r="1376" spans="1:18" x14ac:dyDescent="0.3">
      <c r="A1376" t="s">
        <v>3018</v>
      </c>
      <c r="B1376" s="1">
        <v>45660</v>
      </c>
      <c r="C1376" t="s">
        <v>38</v>
      </c>
      <c r="D1376" t="s">
        <v>20</v>
      </c>
      <c r="E1376">
        <v>23</v>
      </c>
      <c r="F1376" t="s">
        <v>30</v>
      </c>
      <c r="G1376" t="s">
        <v>31</v>
      </c>
      <c r="H1376" t="s">
        <v>62</v>
      </c>
      <c r="I1376" t="s">
        <v>63</v>
      </c>
      <c r="J1376" t="s">
        <v>24</v>
      </c>
      <c r="K1376">
        <v>5</v>
      </c>
      <c r="L1376" s="4">
        <v>16800</v>
      </c>
      <c r="M1376">
        <v>0</v>
      </c>
      <c r="N1376" s="4">
        <v>84000</v>
      </c>
      <c r="O1376" t="s">
        <v>85</v>
      </c>
      <c r="P1376">
        <v>4</v>
      </c>
      <c r="Q1376" t="s">
        <v>41</v>
      </c>
      <c r="R1376">
        <v>1</v>
      </c>
    </row>
    <row r="1377" spans="1:18" x14ac:dyDescent="0.3">
      <c r="A1377" t="s">
        <v>3019</v>
      </c>
      <c r="B1377" s="1">
        <v>45768</v>
      </c>
      <c r="C1377" t="s">
        <v>94</v>
      </c>
      <c r="D1377" t="s">
        <v>39</v>
      </c>
      <c r="E1377">
        <v>35</v>
      </c>
      <c r="F1377" t="s">
        <v>30</v>
      </c>
      <c r="G1377" t="s">
        <v>57</v>
      </c>
      <c r="H1377" t="s">
        <v>22</v>
      </c>
      <c r="I1377" t="s">
        <v>84</v>
      </c>
      <c r="J1377" t="s">
        <v>89</v>
      </c>
      <c r="K1377">
        <v>4</v>
      </c>
      <c r="L1377" s="4">
        <v>12300</v>
      </c>
      <c r="M1377">
        <v>10</v>
      </c>
      <c r="N1377" s="4">
        <v>44280</v>
      </c>
      <c r="O1377" t="s">
        <v>25</v>
      </c>
      <c r="P1377">
        <v>4</v>
      </c>
      <c r="Q1377" t="s">
        <v>74</v>
      </c>
      <c r="R1377">
        <v>0</v>
      </c>
    </row>
    <row r="1378" spans="1:18" x14ac:dyDescent="0.3">
      <c r="A1378" t="s">
        <v>3020</v>
      </c>
      <c r="B1378" s="1">
        <v>45837</v>
      </c>
      <c r="C1378" t="s">
        <v>19</v>
      </c>
      <c r="D1378" t="s">
        <v>20</v>
      </c>
      <c r="E1378">
        <v>41</v>
      </c>
      <c r="F1378" t="s">
        <v>21</v>
      </c>
      <c r="G1378" t="s">
        <v>21</v>
      </c>
      <c r="H1378" t="s">
        <v>22</v>
      </c>
      <c r="I1378" t="s">
        <v>84</v>
      </c>
      <c r="J1378" t="s">
        <v>80</v>
      </c>
      <c r="K1378">
        <v>4</v>
      </c>
      <c r="L1378" s="4">
        <v>23000</v>
      </c>
      <c r="M1378">
        <v>0</v>
      </c>
      <c r="N1378" s="4">
        <v>92000</v>
      </c>
      <c r="O1378" t="s">
        <v>73</v>
      </c>
      <c r="Q1378" t="s">
        <v>65</v>
      </c>
      <c r="R1378">
        <v>0</v>
      </c>
    </row>
    <row r="1379" spans="1:18" x14ac:dyDescent="0.3">
      <c r="A1379" t="s">
        <v>3021</v>
      </c>
      <c r="B1379" s="1">
        <v>45928</v>
      </c>
      <c r="C1379" t="s">
        <v>60</v>
      </c>
      <c r="D1379" t="s">
        <v>39</v>
      </c>
      <c r="E1379">
        <v>47</v>
      </c>
      <c r="F1379" t="s">
        <v>77</v>
      </c>
      <c r="G1379" t="s">
        <v>95</v>
      </c>
      <c r="H1379" t="s">
        <v>22</v>
      </c>
      <c r="I1379" t="s">
        <v>23</v>
      </c>
      <c r="J1379" t="s">
        <v>64</v>
      </c>
      <c r="K1379">
        <v>10</v>
      </c>
      <c r="L1379" s="4">
        <v>22700</v>
      </c>
      <c r="M1379">
        <v>20</v>
      </c>
      <c r="N1379" s="4">
        <v>181600</v>
      </c>
      <c r="O1379" t="s">
        <v>3293</v>
      </c>
      <c r="P1379">
        <v>5</v>
      </c>
      <c r="Q1379" t="s">
        <v>41</v>
      </c>
      <c r="R1379">
        <v>1</v>
      </c>
    </row>
    <row r="1380" spans="1:18" x14ac:dyDescent="0.3">
      <c r="A1380" t="s">
        <v>3024</v>
      </c>
      <c r="B1380" s="1">
        <v>45928</v>
      </c>
      <c r="C1380" t="s">
        <v>60</v>
      </c>
      <c r="D1380" t="s">
        <v>39</v>
      </c>
      <c r="E1380">
        <v>62</v>
      </c>
      <c r="F1380" t="s">
        <v>51</v>
      </c>
      <c r="G1380" t="s">
        <v>52</v>
      </c>
      <c r="H1380" t="s">
        <v>22</v>
      </c>
      <c r="I1380" t="s">
        <v>84</v>
      </c>
      <c r="J1380" t="s">
        <v>24</v>
      </c>
      <c r="K1380">
        <v>7</v>
      </c>
      <c r="L1380" s="4">
        <v>39800</v>
      </c>
      <c r="M1380">
        <v>0</v>
      </c>
      <c r="N1380" s="4">
        <v>278600</v>
      </c>
      <c r="O1380" t="s">
        <v>85</v>
      </c>
      <c r="P1380">
        <v>2</v>
      </c>
      <c r="Q1380" t="s">
        <v>74</v>
      </c>
      <c r="R1380">
        <v>0</v>
      </c>
    </row>
    <row r="1381" spans="1:18" x14ac:dyDescent="0.3">
      <c r="A1381" t="s">
        <v>3025</v>
      </c>
      <c r="B1381" s="1">
        <v>45670</v>
      </c>
      <c r="C1381" t="s">
        <v>68</v>
      </c>
      <c r="D1381" t="s">
        <v>39</v>
      </c>
      <c r="E1381">
        <v>30</v>
      </c>
      <c r="F1381" t="s">
        <v>30</v>
      </c>
      <c r="G1381" t="s">
        <v>31</v>
      </c>
      <c r="H1381" t="s">
        <v>32</v>
      </c>
      <c r="I1381" t="s">
        <v>33</v>
      </c>
      <c r="J1381" t="s">
        <v>34</v>
      </c>
      <c r="K1381">
        <v>3</v>
      </c>
      <c r="L1381" s="4">
        <v>45200</v>
      </c>
      <c r="M1381">
        <v>20</v>
      </c>
      <c r="N1381" s="4">
        <v>108480</v>
      </c>
      <c r="O1381" t="s">
        <v>85</v>
      </c>
      <c r="P1381">
        <v>3</v>
      </c>
      <c r="Q1381" t="s">
        <v>65</v>
      </c>
      <c r="R1381">
        <v>0</v>
      </c>
    </row>
    <row r="1382" spans="1:18" x14ac:dyDescent="0.3">
      <c r="A1382" t="s">
        <v>3026</v>
      </c>
      <c r="B1382" s="1">
        <v>46039</v>
      </c>
      <c r="C1382" t="s">
        <v>71</v>
      </c>
      <c r="D1382" t="s">
        <v>39</v>
      </c>
      <c r="E1382">
        <v>37</v>
      </c>
      <c r="F1382" t="s">
        <v>21</v>
      </c>
      <c r="G1382" t="s">
        <v>21</v>
      </c>
      <c r="H1382" t="s">
        <v>22</v>
      </c>
      <c r="I1382" t="s">
        <v>23</v>
      </c>
      <c r="J1382" t="s">
        <v>80</v>
      </c>
      <c r="K1382">
        <v>1</v>
      </c>
      <c r="L1382" s="4">
        <v>11800</v>
      </c>
      <c r="M1382">
        <v>20</v>
      </c>
      <c r="N1382" s="4">
        <v>9440</v>
      </c>
      <c r="O1382" t="s">
        <v>25</v>
      </c>
      <c r="P1382">
        <v>3</v>
      </c>
      <c r="Q1382" t="s">
        <v>26</v>
      </c>
      <c r="R1382">
        <v>0</v>
      </c>
    </row>
    <row r="1383" spans="1:18" x14ac:dyDescent="0.3">
      <c r="A1383" t="s">
        <v>3028</v>
      </c>
      <c r="B1383" s="1">
        <v>45869</v>
      </c>
      <c r="C1383" t="s">
        <v>121</v>
      </c>
      <c r="D1383" t="s">
        <v>39</v>
      </c>
      <c r="E1383">
        <v>24</v>
      </c>
      <c r="F1383" t="s">
        <v>21</v>
      </c>
      <c r="G1383" t="s">
        <v>21</v>
      </c>
      <c r="H1383" t="s">
        <v>22</v>
      </c>
      <c r="I1383" t="s">
        <v>23</v>
      </c>
      <c r="J1383" t="s">
        <v>72</v>
      </c>
      <c r="K1383">
        <v>3</v>
      </c>
      <c r="L1383" s="4">
        <v>7700</v>
      </c>
      <c r="M1383">
        <v>15</v>
      </c>
      <c r="N1383" s="4">
        <v>19635</v>
      </c>
      <c r="O1383" t="s">
        <v>85</v>
      </c>
      <c r="Q1383" t="s">
        <v>26</v>
      </c>
      <c r="R1383">
        <v>0</v>
      </c>
    </row>
    <row r="1384" spans="1:18" x14ac:dyDescent="0.3">
      <c r="A1384" t="s">
        <v>3030</v>
      </c>
      <c r="B1384" s="1">
        <v>45963</v>
      </c>
      <c r="C1384" t="s">
        <v>38</v>
      </c>
      <c r="D1384" t="s">
        <v>39</v>
      </c>
      <c r="E1384">
        <v>52</v>
      </c>
      <c r="F1384" t="s">
        <v>44</v>
      </c>
      <c r="G1384" t="s">
        <v>100</v>
      </c>
      <c r="H1384" t="s">
        <v>62</v>
      </c>
      <c r="I1384" t="s">
        <v>140</v>
      </c>
      <c r="J1384" t="s">
        <v>89</v>
      </c>
      <c r="K1384">
        <v>5</v>
      </c>
      <c r="L1384" s="4">
        <v>43200</v>
      </c>
      <c r="M1384">
        <v>0</v>
      </c>
      <c r="N1384" s="4">
        <v>216000</v>
      </c>
      <c r="O1384" t="s">
        <v>73</v>
      </c>
      <c r="P1384">
        <v>2</v>
      </c>
      <c r="Q1384" t="s">
        <v>65</v>
      </c>
      <c r="R1384">
        <v>0</v>
      </c>
    </row>
    <row r="1385" spans="1:18" x14ac:dyDescent="0.3">
      <c r="A1385" t="s">
        <v>3032</v>
      </c>
      <c r="B1385" s="1">
        <v>46045</v>
      </c>
      <c r="C1385" t="s">
        <v>68</v>
      </c>
      <c r="D1385" t="s">
        <v>39</v>
      </c>
      <c r="E1385">
        <v>50</v>
      </c>
      <c r="F1385" t="s">
        <v>51</v>
      </c>
      <c r="G1385" t="s">
        <v>52</v>
      </c>
      <c r="H1385" t="s">
        <v>22</v>
      </c>
      <c r="I1385" t="s">
        <v>23</v>
      </c>
      <c r="J1385" t="s">
        <v>64</v>
      </c>
      <c r="K1385">
        <v>4</v>
      </c>
      <c r="L1385" s="4">
        <v>31600</v>
      </c>
      <c r="M1385">
        <v>25</v>
      </c>
      <c r="N1385" s="4">
        <v>94800</v>
      </c>
      <c r="O1385" t="s">
        <v>73</v>
      </c>
      <c r="P1385">
        <v>4</v>
      </c>
      <c r="Q1385" t="s">
        <v>26</v>
      </c>
      <c r="R1385">
        <v>0</v>
      </c>
    </row>
    <row r="1386" spans="1:18" x14ac:dyDescent="0.3">
      <c r="A1386" t="s">
        <v>3034</v>
      </c>
      <c r="B1386" s="1">
        <v>45845</v>
      </c>
      <c r="C1386" t="s">
        <v>88</v>
      </c>
      <c r="D1386" t="s">
        <v>39</v>
      </c>
      <c r="E1386">
        <v>65</v>
      </c>
      <c r="F1386" t="s">
        <v>51</v>
      </c>
      <c r="G1386" t="s">
        <v>104</v>
      </c>
      <c r="H1386" t="s">
        <v>32</v>
      </c>
      <c r="I1386" t="s">
        <v>53</v>
      </c>
      <c r="J1386" t="s">
        <v>24</v>
      </c>
      <c r="K1386">
        <v>4</v>
      </c>
      <c r="L1386" s="4">
        <v>13300</v>
      </c>
      <c r="M1386">
        <v>20</v>
      </c>
      <c r="N1386" s="4">
        <v>42560</v>
      </c>
      <c r="O1386" t="s">
        <v>85</v>
      </c>
      <c r="P1386">
        <v>5</v>
      </c>
      <c r="Q1386" t="s">
        <v>41</v>
      </c>
      <c r="R1386">
        <v>1</v>
      </c>
    </row>
    <row r="1387" spans="1:18" x14ac:dyDescent="0.3">
      <c r="A1387" t="s">
        <v>3035</v>
      </c>
      <c r="B1387" s="1">
        <v>46049</v>
      </c>
      <c r="C1387" t="s">
        <v>38</v>
      </c>
      <c r="D1387" t="s">
        <v>20</v>
      </c>
      <c r="E1387">
        <v>28</v>
      </c>
      <c r="F1387" t="s">
        <v>21</v>
      </c>
      <c r="G1387" t="s">
        <v>21</v>
      </c>
      <c r="H1387" t="s">
        <v>22</v>
      </c>
      <c r="I1387" t="s">
        <v>23</v>
      </c>
      <c r="J1387" t="s">
        <v>72</v>
      </c>
      <c r="K1387">
        <v>3</v>
      </c>
      <c r="L1387" s="4">
        <v>43000</v>
      </c>
      <c r="M1387">
        <v>0</v>
      </c>
      <c r="N1387" s="4">
        <v>129000</v>
      </c>
      <c r="O1387" t="s">
        <v>85</v>
      </c>
      <c r="P1387">
        <v>4</v>
      </c>
      <c r="Q1387" t="s">
        <v>26</v>
      </c>
      <c r="R1387">
        <v>0</v>
      </c>
    </row>
    <row r="1388" spans="1:18" x14ac:dyDescent="0.3">
      <c r="A1388" t="s">
        <v>3039</v>
      </c>
      <c r="B1388" s="1">
        <v>45812</v>
      </c>
      <c r="C1388" t="s">
        <v>88</v>
      </c>
      <c r="D1388" t="s">
        <v>20</v>
      </c>
      <c r="E1388">
        <v>23</v>
      </c>
      <c r="F1388" t="s">
        <v>44</v>
      </c>
      <c r="G1388" t="s">
        <v>45</v>
      </c>
      <c r="H1388" t="s">
        <v>62</v>
      </c>
      <c r="I1388" t="s">
        <v>140</v>
      </c>
      <c r="J1388" t="s">
        <v>64</v>
      </c>
      <c r="K1388">
        <v>3</v>
      </c>
      <c r="L1388" s="4">
        <v>38100</v>
      </c>
      <c r="M1388">
        <v>25</v>
      </c>
      <c r="N1388" s="4">
        <v>85725</v>
      </c>
      <c r="O1388" t="s">
        <v>25</v>
      </c>
      <c r="P1388">
        <v>1</v>
      </c>
      <c r="Q1388" t="s">
        <v>65</v>
      </c>
      <c r="R1388">
        <v>0</v>
      </c>
    </row>
    <row r="1389" spans="1:18" x14ac:dyDescent="0.3">
      <c r="A1389" t="s">
        <v>3042</v>
      </c>
      <c r="B1389" s="1">
        <v>45790</v>
      </c>
      <c r="C1389" t="s">
        <v>71</v>
      </c>
      <c r="D1389" t="s">
        <v>20</v>
      </c>
      <c r="E1389">
        <v>44</v>
      </c>
      <c r="F1389" t="s">
        <v>21</v>
      </c>
      <c r="G1389" t="s">
        <v>21</v>
      </c>
      <c r="H1389" t="s">
        <v>46</v>
      </c>
      <c r="I1389" t="s">
        <v>47</v>
      </c>
      <c r="J1389" t="s">
        <v>89</v>
      </c>
      <c r="K1389">
        <v>6</v>
      </c>
      <c r="L1389" s="4">
        <v>23000</v>
      </c>
      <c r="M1389">
        <v>20</v>
      </c>
      <c r="N1389" s="4">
        <v>110400</v>
      </c>
      <c r="O1389" t="s">
        <v>85</v>
      </c>
      <c r="Q1389" t="s">
        <v>41</v>
      </c>
      <c r="R1389">
        <v>1</v>
      </c>
    </row>
    <row r="1390" spans="1:18" x14ac:dyDescent="0.3">
      <c r="A1390" t="s">
        <v>3044</v>
      </c>
      <c r="B1390" s="1">
        <v>46269</v>
      </c>
      <c r="C1390" t="s">
        <v>71</v>
      </c>
      <c r="D1390" t="s">
        <v>20</v>
      </c>
      <c r="E1390">
        <v>38</v>
      </c>
      <c r="F1390" t="s">
        <v>44</v>
      </c>
      <c r="G1390" t="s">
        <v>100</v>
      </c>
      <c r="H1390" t="s">
        <v>46</v>
      </c>
      <c r="I1390" t="s">
        <v>79</v>
      </c>
      <c r="J1390" t="s">
        <v>72</v>
      </c>
      <c r="K1390">
        <v>4</v>
      </c>
      <c r="L1390" s="4">
        <v>11000</v>
      </c>
      <c r="M1390">
        <v>0</v>
      </c>
      <c r="N1390" s="4">
        <v>44000</v>
      </c>
      <c r="O1390" t="s">
        <v>73</v>
      </c>
      <c r="P1390">
        <v>5</v>
      </c>
      <c r="Q1390" t="s">
        <v>41</v>
      </c>
      <c r="R1390">
        <v>1</v>
      </c>
    </row>
    <row r="1391" spans="1:18" x14ac:dyDescent="0.3">
      <c r="A1391" t="s">
        <v>3045</v>
      </c>
      <c r="B1391" s="1">
        <v>45848</v>
      </c>
      <c r="C1391" t="s">
        <v>121</v>
      </c>
      <c r="D1391" t="s">
        <v>39</v>
      </c>
      <c r="E1391">
        <v>65</v>
      </c>
      <c r="F1391" t="s">
        <v>61</v>
      </c>
      <c r="G1391" t="s">
        <v>61</v>
      </c>
      <c r="H1391" t="s">
        <v>62</v>
      </c>
      <c r="I1391" t="s">
        <v>140</v>
      </c>
      <c r="J1391" t="s">
        <v>24</v>
      </c>
      <c r="K1391">
        <v>8</v>
      </c>
      <c r="L1391" s="4">
        <v>8200</v>
      </c>
      <c r="M1391">
        <v>25</v>
      </c>
      <c r="N1391" s="4">
        <v>49200</v>
      </c>
      <c r="O1391" t="s">
        <v>85</v>
      </c>
      <c r="P1391">
        <v>5</v>
      </c>
      <c r="Q1391" t="s">
        <v>26</v>
      </c>
      <c r="R1391">
        <v>0</v>
      </c>
    </row>
    <row r="1392" spans="1:18" x14ac:dyDescent="0.3">
      <c r="A1392" t="s">
        <v>3046</v>
      </c>
      <c r="B1392" s="1">
        <v>45815</v>
      </c>
      <c r="C1392" t="s">
        <v>113</v>
      </c>
      <c r="D1392" t="s">
        <v>3292</v>
      </c>
      <c r="E1392">
        <v>27</v>
      </c>
      <c r="F1392" t="s">
        <v>61</v>
      </c>
      <c r="G1392" t="s">
        <v>61</v>
      </c>
      <c r="H1392" t="s">
        <v>22</v>
      </c>
      <c r="I1392" t="s">
        <v>23</v>
      </c>
      <c r="J1392" t="s">
        <v>34</v>
      </c>
      <c r="K1392">
        <v>5</v>
      </c>
      <c r="L1392" s="4">
        <v>17600</v>
      </c>
      <c r="M1392">
        <v>10</v>
      </c>
      <c r="N1392" s="4">
        <v>79200</v>
      </c>
      <c r="O1392" t="s">
        <v>25</v>
      </c>
      <c r="P1392">
        <v>3</v>
      </c>
      <c r="Q1392" t="s">
        <v>65</v>
      </c>
      <c r="R1392">
        <v>0</v>
      </c>
    </row>
    <row r="1393" spans="1:18" x14ac:dyDescent="0.3">
      <c r="A1393" t="s">
        <v>3047</v>
      </c>
      <c r="B1393" s="1">
        <v>45882</v>
      </c>
      <c r="C1393" t="s">
        <v>113</v>
      </c>
      <c r="D1393" t="s">
        <v>20</v>
      </c>
      <c r="E1393">
        <v>55</v>
      </c>
      <c r="F1393" t="s">
        <v>77</v>
      </c>
      <c r="G1393" t="s">
        <v>95</v>
      </c>
      <c r="H1393" t="s">
        <v>32</v>
      </c>
      <c r="I1393" t="s">
        <v>53</v>
      </c>
      <c r="J1393" t="s">
        <v>34</v>
      </c>
      <c r="K1393">
        <v>4</v>
      </c>
      <c r="L1393" s="4">
        <v>8500</v>
      </c>
      <c r="M1393">
        <v>20</v>
      </c>
      <c r="N1393" s="4">
        <v>27200</v>
      </c>
      <c r="O1393" t="s">
        <v>85</v>
      </c>
      <c r="P1393">
        <v>4</v>
      </c>
      <c r="Q1393" t="s">
        <v>26</v>
      </c>
      <c r="R1393">
        <v>0</v>
      </c>
    </row>
    <row r="1394" spans="1:18" x14ac:dyDescent="0.3">
      <c r="A1394" t="s">
        <v>3051</v>
      </c>
      <c r="B1394" s="1">
        <v>46167</v>
      </c>
      <c r="C1394" t="s">
        <v>60</v>
      </c>
      <c r="D1394" t="s">
        <v>3292</v>
      </c>
      <c r="E1394">
        <v>27</v>
      </c>
      <c r="F1394" t="s">
        <v>21</v>
      </c>
      <c r="G1394" t="s">
        <v>21</v>
      </c>
      <c r="H1394" t="s">
        <v>62</v>
      </c>
      <c r="I1394" t="s">
        <v>140</v>
      </c>
      <c r="J1394" t="s">
        <v>72</v>
      </c>
      <c r="K1394">
        <v>3</v>
      </c>
      <c r="L1394" s="4">
        <v>35700</v>
      </c>
      <c r="M1394">
        <v>5</v>
      </c>
      <c r="N1394" s="4">
        <v>101745</v>
      </c>
      <c r="O1394" t="s">
        <v>85</v>
      </c>
      <c r="Q1394" t="s">
        <v>74</v>
      </c>
      <c r="R1394">
        <v>0</v>
      </c>
    </row>
    <row r="1395" spans="1:18" x14ac:dyDescent="0.3">
      <c r="A1395" t="s">
        <v>3052</v>
      </c>
      <c r="B1395" s="1">
        <v>45866</v>
      </c>
      <c r="C1395" t="s">
        <v>68</v>
      </c>
      <c r="D1395" t="s">
        <v>3292</v>
      </c>
      <c r="E1395">
        <v>58</v>
      </c>
      <c r="F1395" t="s">
        <v>77</v>
      </c>
      <c r="G1395" t="s">
        <v>95</v>
      </c>
      <c r="H1395" t="s">
        <v>62</v>
      </c>
      <c r="I1395" t="s">
        <v>140</v>
      </c>
      <c r="J1395" t="s">
        <v>80</v>
      </c>
      <c r="K1395">
        <v>2</v>
      </c>
      <c r="L1395" s="4">
        <v>22700</v>
      </c>
      <c r="M1395">
        <v>15</v>
      </c>
      <c r="N1395" s="4">
        <v>38590</v>
      </c>
      <c r="O1395" t="s">
        <v>85</v>
      </c>
      <c r="Q1395" t="s">
        <v>26</v>
      </c>
      <c r="R1395">
        <v>0</v>
      </c>
    </row>
    <row r="1396" spans="1:18" x14ac:dyDescent="0.3">
      <c r="A1396" t="s">
        <v>3053</v>
      </c>
      <c r="B1396" s="1">
        <v>45853</v>
      </c>
      <c r="C1396" t="s">
        <v>38</v>
      </c>
      <c r="D1396" t="s">
        <v>39</v>
      </c>
      <c r="E1396">
        <v>45</v>
      </c>
      <c r="F1396" t="s">
        <v>21</v>
      </c>
      <c r="G1396" t="s">
        <v>21</v>
      </c>
      <c r="H1396" t="s">
        <v>32</v>
      </c>
      <c r="I1396" t="s">
        <v>33</v>
      </c>
      <c r="J1396" t="s">
        <v>64</v>
      </c>
      <c r="K1396">
        <v>9</v>
      </c>
      <c r="L1396" s="4">
        <v>13900</v>
      </c>
      <c r="M1396">
        <v>20</v>
      </c>
      <c r="N1396" s="4">
        <v>100080</v>
      </c>
      <c r="O1396" t="s">
        <v>85</v>
      </c>
      <c r="P1396">
        <v>4</v>
      </c>
      <c r="Q1396" t="s">
        <v>65</v>
      </c>
      <c r="R1396">
        <v>0</v>
      </c>
    </row>
    <row r="1397" spans="1:18" x14ac:dyDescent="0.3">
      <c r="A1397" t="s">
        <v>3056</v>
      </c>
      <c r="B1397" s="1">
        <v>45776</v>
      </c>
      <c r="C1397" t="s">
        <v>71</v>
      </c>
      <c r="D1397" t="s">
        <v>3292</v>
      </c>
      <c r="E1397">
        <v>63</v>
      </c>
      <c r="F1397" t="s">
        <v>51</v>
      </c>
      <c r="G1397" t="s">
        <v>52</v>
      </c>
      <c r="H1397" t="s">
        <v>32</v>
      </c>
      <c r="I1397" t="s">
        <v>53</v>
      </c>
      <c r="J1397" t="s">
        <v>64</v>
      </c>
      <c r="K1397">
        <v>4</v>
      </c>
      <c r="L1397" s="4">
        <v>45700</v>
      </c>
      <c r="M1397">
        <v>25</v>
      </c>
      <c r="N1397" s="4">
        <v>137100</v>
      </c>
      <c r="O1397" t="s">
        <v>85</v>
      </c>
      <c r="P1397">
        <v>4</v>
      </c>
      <c r="Q1397" t="s">
        <v>41</v>
      </c>
      <c r="R1397">
        <v>1</v>
      </c>
    </row>
    <row r="1398" spans="1:18" x14ac:dyDescent="0.3">
      <c r="A1398" t="s">
        <v>3057</v>
      </c>
      <c r="B1398" s="1">
        <v>45773</v>
      </c>
      <c r="C1398" t="s">
        <v>19</v>
      </c>
      <c r="D1398" t="s">
        <v>39</v>
      </c>
      <c r="E1398">
        <v>54</v>
      </c>
      <c r="F1398" t="s">
        <v>51</v>
      </c>
      <c r="G1398" t="s">
        <v>104</v>
      </c>
      <c r="H1398" t="s">
        <v>22</v>
      </c>
      <c r="I1398" t="s">
        <v>84</v>
      </c>
      <c r="J1398" t="s">
        <v>89</v>
      </c>
      <c r="K1398">
        <v>1</v>
      </c>
      <c r="L1398" s="4">
        <v>24300</v>
      </c>
      <c r="M1398">
        <v>10</v>
      </c>
      <c r="N1398" s="4">
        <v>21870</v>
      </c>
      <c r="O1398" t="s">
        <v>73</v>
      </c>
      <c r="P1398">
        <v>1</v>
      </c>
      <c r="Q1398" t="s">
        <v>26</v>
      </c>
      <c r="R1398">
        <v>0</v>
      </c>
    </row>
    <row r="1399" spans="1:18" x14ac:dyDescent="0.3">
      <c r="A1399" t="s">
        <v>3058</v>
      </c>
      <c r="B1399" s="1">
        <v>45723</v>
      </c>
      <c r="C1399" t="s">
        <v>60</v>
      </c>
      <c r="D1399" t="s">
        <v>20</v>
      </c>
      <c r="E1399">
        <v>34</v>
      </c>
      <c r="F1399" t="s">
        <v>61</v>
      </c>
      <c r="G1399" t="s">
        <v>61</v>
      </c>
      <c r="H1399" t="s">
        <v>46</v>
      </c>
      <c r="I1399" t="s">
        <v>47</v>
      </c>
      <c r="J1399" t="s">
        <v>64</v>
      </c>
      <c r="K1399">
        <v>3</v>
      </c>
      <c r="L1399" s="4">
        <v>40600</v>
      </c>
      <c r="M1399">
        <v>0</v>
      </c>
      <c r="N1399" s="4">
        <v>121800</v>
      </c>
      <c r="O1399" t="s">
        <v>25</v>
      </c>
      <c r="P1399">
        <v>2</v>
      </c>
      <c r="Q1399" t="s">
        <v>65</v>
      </c>
      <c r="R1399">
        <v>0</v>
      </c>
    </row>
    <row r="1400" spans="1:18" x14ac:dyDescent="0.3">
      <c r="A1400" t="s">
        <v>3062</v>
      </c>
      <c r="B1400" s="1">
        <v>46079</v>
      </c>
      <c r="C1400" t="s">
        <v>94</v>
      </c>
      <c r="D1400" t="s">
        <v>3292</v>
      </c>
      <c r="E1400">
        <v>60</v>
      </c>
      <c r="F1400" t="s">
        <v>61</v>
      </c>
      <c r="G1400" t="s">
        <v>61</v>
      </c>
      <c r="H1400" t="s">
        <v>22</v>
      </c>
      <c r="I1400" t="s">
        <v>84</v>
      </c>
      <c r="J1400" t="s">
        <v>24</v>
      </c>
      <c r="K1400">
        <v>7</v>
      </c>
      <c r="L1400" s="4">
        <v>39900</v>
      </c>
      <c r="M1400">
        <v>0</v>
      </c>
      <c r="N1400" s="4">
        <v>279300</v>
      </c>
      <c r="O1400" t="s">
        <v>85</v>
      </c>
      <c r="Q1400" t="s">
        <v>26</v>
      </c>
      <c r="R1400">
        <v>0</v>
      </c>
    </row>
    <row r="1401" spans="1:18" x14ac:dyDescent="0.3">
      <c r="A1401" t="s">
        <v>3063</v>
      </c>
      <c r="B1401" s="1">
        <v>45777</v>
      </c>
      <c r="C1401" t="s">
        <v>94</v>
      </c>
      <c r="D1401" t="s">
        <v>39</v>
      </c>
      <c r="E1401">
        <v>36</v>
      </c>
      <c r="F1401" t="s">
        <v>51</v>
      </c>
      <c r="G1401" t="s">
        <v>52</v>
      </c>
      <c r="H1401" t="s">
        <v>62</v>
      </c>
      <c r="I1401" t="s">
        <v>63</v>
      </c>
      <c r="J1401" t="s">
        <v>24</v>
      </c>
      <c r="K1401">
        <v>9</v>
      </c>
      <c r="L1401" s="4">
        <v>26300</v>
      </c>
      <c r="M1401">
        <v>5</v>
      </c>
      <c r="N1401" s="4">
        <v>224865</v>
      </c>
      <c r="O1401" t="s">
        <v>85</v>
      </c>
      <c r="P1401">
        <v>3</v>
      </c>
      <c r="Q1401" t="s">
        <v>41</v>
      </c>
      <c r="R1401">
        <v>1</v>
      </c>
    </row>
    <row r="1402" spans="1:18" x14ac:dyDescent="0.3">
      <c r="A1402" t="s">
        <v>3064</v>
      </c>
      <c r="B1402" s="1">
        <v>45975</v>
      </c>
      <c r="C1402" t="s">
        <v>19</v>
      </c>
      <c r="D1402" t="s">
        <v>39</v>
      </c>
      <c r="E1402">
        <v>26</v>
      </c>
      <c r="F1402" t="s">
        <v>30</v>
      </c>
      <c r="G1402" t="s">
        <v>31</v>
      </c>
      <c r="H1402" t="s">
        <v>22</v>
      </c>
      <c r="I1402" t="s">
        <v>84</v>
      </c>
      <c r="J1402" t="s">
        <v>89</v>
      </c>
      <c r="K1402">
        <v>10</v>
      </c>
      <c r="L1402" s="4">
        <v>28900</v>
      </c>
      <c r="M1402">
        <v>10</v>
      </c>
      <c r="N1402" s="4">
        <v>260100</v>
      </c>
      <c r="O1402" t="s">
        <v>25</v>
      </c>
      <c r="P1402">
        <v>3</v>
      </c>
      <c r="Q1402" t="s">
        <v>65</v>
      </c>
      <c r="R1402">
        <v>0</v>
      </c>
    </row>
    <row r="1403" spans="1:18" x14ac:dyDescent="0.3">
      <c r="A1403" t="s">
        <v>3066</v>
      </c>
      <c r="B1403" s="1">
        <v>46154</v>
      </c>
      <c r="C1403" t="s">
        <v>60</v>
      </c>
      <c r="D1403" t="s">
        <v>20</v>
      </c>
      <c r="E1403">
        <v>36</v>
      </c>
      <c r="F1403" t="s">
        <v>21</v>
      </c>
      <c r="G1403" t="s">
        <v>21</v>
      </c>
      <c r="H1403" t="s">
        <v>22</v>
      </c>
      <c r="I1403" t="s">
        <v>84</v>
      </c>
      <c r="J1403" t="s">
        <v>80</v>
      </c>
      <c r="K1403">
        <v>4</v>
      </c>
      <c r="L1403" s="4">
        <v>14400</v>
      </c>
      <c r="M1403">
        <v>0</v>
      </c>
      <c r="N1403" s="4">
        <v>57600</v>
      </c>
      <c r="O1403" t="s">
        <v>73</v>
      </c>
      <c r="P1403">
        <v>4</v>
      </c>
      <c r="Q1403" t="s">
        <v>26</v>
      </c>
      <c r="R1403">
        <v>0</v>
      </c>
    </row>
    <row r="1404" spans="1:18" x14ac:dyDescent="0.3">
      <c r="A1404" t="s">
        <v>3067</v>
      </c>
      <c r="B1404" s="1">
        <v>45684</v>
      </c>
      <c r="C1404" t="s">
        <v>29</v>
      </c>
      <c r="D1404" t="s">
        <v>20</v>
      </c>
      <c r="E1404">
        <v>48</v>
      </c>
      <c r="F1404" t="s">
        <v>61</v>
      </c>
      <c r="G1404" t="s">
        <v>61</v>
      </c>
      <c r="H1404" t="s">
        <v>22</v>
      </c>
      <c r="I1404" t="s">
        <v>23</v>
      </c>
      <c r="J1404" t="s">
        <v>24</v>
      </c>
      <c r="K1404">
        <v>1</v>
      </c>
      <c r="L1404" s="4">
        <v>46100</v>
      </c>
      <c r="M1404">
        <v>10</v>
      </c>
      <c r="N1404" s="4">
        <v>41490</v>
      </c>
      <c r="O1404" t="s">
        <v>25</v>
      </c>
      <c r="P1404">
        <v>4</v>
      </c>
      <c r="Q1404" t="s">
        <v>74</v>
      </c>
      <c r="R1404">
        <v>0</v>
      </c>
    </row>
    <row r="1405" spans="1:18" x14ac:dyDescent="0.3">
      <c r="A1405" t="s">
        <v>3069</v>
      </c>
      <c r="B1405" s="1">
        <v>46004</v>
      </c>
      <c r="C1405" t="s">
        <v>71</v>
      </c>
      <c r="D1405" t="s">
        <v>20</v>
      </c>
      <c r="E1405">
        <v>54</v>
      </c>
      <c r="F1405" t="s">
        <v>44</v>
      </c>
      <c r="G1405" t="s">
        <v>45</v>
      </c>
      <c r="H1405" t="s">
        <v>22</v>
      </c>
      <c r="I1405" t="s">
        <v>84</v>
      </c>
      <c r="J1405" t="s">
        <v>64</v>
      </c>
      <c r="K1405">
        <v>1</v>
      </c>
      <c r="L1405" s="4">
        <v>29400</v>
      </c>
      <c r="M1405">
        <v>15</v>
      </c>
      <c r="N1405" s="4">
        <v>24990</v>
      </c>
      <c r="O1405" t="s">
        <v>85</v>
      </c>
      <c r="P1405">
        <v>4</v>
      </c>
      <c r="Q1405" t="s">
        <v>74</v>
      </c>
      <c r="R1405">
        <v>0</v>
      </c>
    </row>
    <row r="1406" spans="1:18" x14ac:dyDescent="0.3">
      <c r="A1406" t="s">
        <v>3072</v>
      </c>
      <c r="B1406" s="1">
        <v>45941</v>
      </c>
      <c r="C1406" t="s">
        <v>113</v>
      </c>
      <c r="D1406" t="s">
        <v>20</v>
      </c>
      <c r="E1406">
        <v>60</v>
      </c>
      <c r="F1406" t="s">
        <v>44</v>
      </c>
      <c r="G1406" t="s">
        <v>45</v>
      </c>
      <c r="H1406" t="s">
        <v>62</v>
      </c>
      <c r="I1406" t="s">
        <v>140</v>
      </c>
      <c r="J1406" t="s">
        <v>89</v>
      </c>
      <c r="K1406">
        <v>7</v>
      </c>
      <c r="L1406" s="4">
        <v>40300</v>
      </c>
      <c r="M1406">
        <v>5</v>
      </c>
      <c r="N1406" s="4">
        <v>267995</v>
      </c>
      <c r="O1406" t="s">
        <v>85</v>
      </c>
      <c r="P1406">
        <v>3</v>
      </c>
      <c r="Q1406" t="s">
        <v>74</v>
      </c>
      <c r="R1406">
        <v>0</v>
      </c>
    </row>
    <row r="1407" spans="1:18" x14ac:dyDescent="0.3">
      <c r="A1407" t="s">
        <v>3073</v>
      </c>
      <c r="B1407" s="1">
        <v>45844</v>
      </c>
      <c r="C1407" t="s">
        <v>38</v>
      </c>
      <c r="D1407" t="s">
        <v>20</v>
      </c>
      <c r="E1407">
        <v>27</v>
      </c>
      <c r="F1407" t="s">
        <v>51</v>
      </c>
      <c r="G1407" t="s">
        <v>52</v>
      </c>
      <c r="H1407" t="s">
        <v>46</v>
      </c>
      <c r="I1407" t="s">
        <v>47</v>
      </c>
      <c r="J1407" t="s">
        <v>89</v>
      </c>
      <c r="K1407">
        <v>7</v>
      </c>
      <c r="L1407" s="4">
        <v>3300</v>
      </c>
      <c r="M1407">
        <v>0</v>
      </c>
      <c r="N1407" s="4">
        <v>23100</v>
      </c>
      <c r="O1407" t="s">
        <v>25</v>
      </c>
      <c r="Q1407" t="s">
        <v>65</v>
      </c>
      <c r="R1407">
        <v>0</v>
      </c>
    </row>
    <row r="1408" spans="1:18" x14ac:dyDescent="0.3">
      <c r="A1408" t="s">
        <v>3074</v>
      </c>
      <c r="B1408" s="1">
        <v>45802</v>
      </c>
      <c r="C1408" t="s">
        <v>38</v>
      </c>
      <c r="D1408" t="s">
        <v>3292</v>
      </c>
      <c r="E1408">
        <v>58</v>
      </c>
      <c r="F1408" t="s">
        <v>61</v>
      </c>
      <c r="G1408" t="s">
        <v>61</v>
      </c>
      <c r="H1408" t="s">
        <v>32</v>
      </c>
      <c r="I1408" t="s">
        <v>33</v>
      </c>
      <c r="J1408" t="s">
        <v>72</v>
      </c>
      <c r="K1408">
        <v>7</v>
      </c>
      <c r="L1408" s="4">
        <v>29500</v>
      </c>
      <c r="M1408">
        <v>10</v>
      </c>
      <c r="N1408" s="4">
        <v>185850</v>
      </c>
      <c r="O1408" t="s">
        <v>85</v>
      </c>
      <c r="Q1408" t="s">
        <v>26</v>
      </c>
      <c r="R1408">
        <v>0</v>
      </c>
    </row>
    <row r="1409" spans="1:18" x14ac:dyDescent="0.3">
      <c r="A1409" t="s">
        <v>3075</v>
      </c>
      <c r="B1409" s="1">
        <v>45811</v>
      </c>
      <c r="C1409" t="s">
        <v>113</v>
      </c>
      <c r="D1409" t="s">
        <v>20</v>
      </c>
      <c r="E1409">
        <v>23</v>
      </c>
      <c r="F1409" t="s">
        <v>51</v>
      </c>
      <c r="G1409" t="s">
        <v>52</v>
      </c>
      <c r="H1409" t="s">
        <v>46</v>
      </c>
      <c r="I1409" t="s">
        <v>79</v>
      </c>
      <c r="J1409" t="s">
        <v>89</v>
      </c>
      <c r="K1409">
        <v>3</v>
      </c>
      <c r="L1409" s="4">
        <v>24600</v>
      </c>
      <c r="M1409">
        <v>5</v>
      </c>
      <c r="N1409" s="4">
        <v>70110</v>
      </c>
      <c r="O1409" t="s">
        <v>25</v>
      </c>
      <c r="P1409">
        <v>1</v>
      </c>
      <c r="Q1409" t="s">
        <v>74</v>
      </c>
      <c r="R1409">
        <v>0</v>
      </c>
    </row>
    <row r="1410" spans="1:18" x14ac:dyDescent="0.3">
      <c r="A1410" t="s">
        <v>3076</v>
      </c>
      <c r="B1410" s="1">
        <v>45868</v>
      </c>
      <c r="C1410" t="s">
        <v>71</v>
      </c>
      <c r="D1410" t="s">
        <v>3292</v>
      </c>
      <c r="E1410">
        <v>61</v>
      </c>
      <c r="F1410" t="s">
        <v>51</v>
      </c>
      <c r="G1410" t="s">
        <v>52</v>
      </c>
      <c r="H1410" t="s">
        <v>32</v>
      </c>
      <c r="I1410" t="s">
        <v>53</v>
      </c>
      <c r="J1410" t="s">
        <v>64</v>
      </c>
      <c r="K1410">
        <v>5</v>
      </c>
      <c r="L1410" s="4">
        <v>18500</v>
      </c>
      <c r="M1410">
        <v>25</v>
      </c>
      <c r="N1410" s="4">
        <v>69375</v>
      </c>
      <c r="O1410" t="s">
        <v>25</v>
      </c>
      <c r="Q1410" t="s">
        <v>74</v>
      </c>
      <c r="R1410">
        <v>0</v>
      </c>
    </row>
    <row r="1411" spans="1:18" x14ac:dyDescent="0.3">
      <c r="A1411" t="s">
        <v>3077</v>
      </c>
      <c r="B1411" s="1">
        <v>46168</v>
      </c>
      <c r="C1411" t="s">
        <v>94</v>
      </c>
      <c r="D1411" t="s">
        <v>20</v>
      </c>
      <c r="E1411">
        <v>56</v>
      </c>
      <c r="F1411" t="s">
        <v>30</v>
      </c>
      <c r="G1411" t="s">
        <v>31</v>
      </c>
      <c r="H1411" t="s">
        <v>62</v>
      </c>
      <c r="I1411" t="s">
        <v>63</v>
      </c>
      <c r="J1411" t="s">
        <v>34</v>
      </c>
      <c r="K1411">
        <v>2</v>
      </c>
      <c r="L1411" s="4">
        <v>44200</v>
      </c>
      <c r="M1411">
        <v>25</v>
      </c>
      <c r="N1411" s="4">
        <v>66300</v>
      </c>
      <c r="O1411" t="s">
        <v>25</v>
      </c>
      <c r="P1411">
        <v>3</v>
      </c>
      <c r="Q1411" t="s">
        <v>65</v>
      </c>
      <c r="R1411">
        <v>0</v>
      </c>
    </row>
    <row r="1412" spans="1:18" x14ac:dyDescent="0.3">
      <c r="A1412" t="s">
        <v>3082</v>
      </c>
      <c r="B1412" s="1">
        <v>45706</v>
      </c>
      <c r="C1412" t="s">
        <v>29</v>
      </c>
      <c r="D1412" t="s">
        <v>39</v>
      </c>
      <c r="E1412">
        <v>56</v>
      </c>
      <c r="F1412" t="s">
        <v>77</v>
      </c>
      <c r="G1412" t="s">
        <v>78</v>
      </c>
      <c r="H1412" t="s">
        <v>46</v>
      </c>
      <c r="I1412" t="s">
        <v>79</v>
      </c>
      <c r="J1412" t="s">
        <v>34</v>
      </c>
      <c r="K1412">
        <v>4</v>
      </c>
      <c r="L1412" s="4">
        <v>45600</v>
      </c>
      <c r="M1412">
        <v>20</v>
      </c>
      <c r="N1412" s="4">
        <v>145920</v>
      </c>
      <c r="O1412" t="s">
        <v>73</v>
      </c>
      <c r="P1412">
        <v>2</v>
      </c>
      <c r="Q1412" t="s">
        <v>74</v>
      </c>
      <c r="R1412">
        <v>0</v>
      </c>
    </row>
    <row r="1413" spans="1:18" x14ac:dyDescent="0.3">
      <c r="A1413" t="s">
        <v>3083</v>
      </c>
      <c r="B1413" s="1">
        <v>46108</v>
      </c>
      <c r="C1413" t="s">
        <v>113</v>
      </c>
      <c r="D1413" t="s">
        <v>20</v>
      </c>
      <c r="E1413">
        <v>36</v>
      </c>
      <c r="F1413" t="s">
        <v>30</v>
      </c>
      <c r="G1413" t="s">
        <v>57</v>
      </c>
      <c r="H1413" t="s">
        <v>32</v>
      </c>
      <c r="I1413" t="s">
        <v>33</v>
      </c>
      <c r="J1413" t="s">
        <v>34</v>
      </c>
      <c r="K1413">
        <v>3</v>
      </c>
      <c r="L1413" s="4">
        <v>43200</v>
      </c>
      <c r="M1413">
        <v>20</v>
      </c>
      <c r="N1413" s="4">
        <v>103680</v>
      </c>
      <c r="O1413" t="s">
        <v>25</v>
      </c>
      <c r="Q1413" t="s">
        <v>26</v>
      </c>
      <c r="R1413">
        <v>0</v>
      </c>
    </row>
    <row r="1414" spans="1:18" x14ac:dyDescent="0.3">
      <c r="A1414" t="s">
        <v>3084</v>
      </c>
      <c r="B1414" s="1">
        <v>45854</v>
      </c>
      <c r="C1414" t="s">
        <v>38</v>
      </c>
      <c r="D1414" t="s">
        <v>39</v>
      </c>
      <c r="E1414">
        <v>48</v>
      </c>
      <c r="F1414" t="s">
        <v>30</v>
      </c>
      <c r="G1414" t="s">
        <v>57</v>
      </c>
      <c r="H1414" t="s">
        <v>46</v>
      </c>
      <c r="I1414" t="s">
        <v>79</v>
      </c>
      <c r="J1414" t="s">
        <v>80</v>
      </c>
      <c r="K1414">
        <v>1</v>
      </c>
      <c r="L1414" s="4">
        <v>24200</v>
      </c>
      <c r="M1414">
        <v>15</v>
      </c>
      <c r="N1414" s="4">
        <v>20570</v>
      </c>
      <c r="O1414" t="s">
        <v>25</v>
      </c>
      <c r="P1414">
        <v>5</v>
      </c>
      <c r="Q1414" t="s">
        <v>41</v>
      </c>
      <c r="R1414">
        <v>1</v>
      </c>
    </row>
    <row r="1415" spans="1:18" x14ac:dyDescent="0.3">
      <c r="A1415" t="s">
        <v>3085</v>
      </c>
      <c r="B1415" s="1">
        <v>46085</v>
      </c>
      <c r="C1415" t="s">
        <v>94</v>
      </c>
      <c r="D1415" t="s">
        <v>3292</v>
      </c>
      <c r="E1415">
        <v>26</v>
      </c>
      <c r="F1415" t="s">
        <v>61</v>
      </c>
      <c r="G1415" t="s">
        <v>61</v>
      </c>
      <c r="H1415" t="s">
        <v>32</v>
      </c>
      <c r="I1415" t="s">
        <v>33</v>
      </c>
      <c r="J1415" t="s">
        <v>72</v>
      </c>
      <c r="K1415">
        <v>6</v>
      </c>
      <c r="L1415" s="4">
        <v>36700</v>
      </c>
      <c r="M1415">
        <v>15</v>
      </c>
      <c r="N1415" s="4">
        <v>187170</v>
      </c>
      <c r="O1415" t="s">
        <v>85</v>
      </c>
      <c r="P1415">
        <v>5</v>
      </c>
      <c r="Q1415" t="s">
        <v>26</v>
      </c>
      <c r="R1415">
        <v>0</v>
      </c>
    </row>
    <row r="1416" spans="1:18" x14ac:dyDescent="0.3">
      <c r="A1416" t="s">
        <v>3086</v>
      </c>
      <c r="B1416" s="1">
        <v>46086</v>
      </c>
      <c r="C1416" t="s">
        <v>68</v>
      </c>
      <c r="D1416" t="s">
        <v>3292</v>
      </c>
      <c r="E1416">
        <v>18</v>
      </c>
      <c r="F1416" t="s">
        <v>61</v>
      </c>
      <c r="G1416" t="s">
        <v>61</v>
      </c>
      <c r="H1416" t="s">
        <v>32</v>
      </c>
      <c r="I1416" t="s">
        <v>53</v>
      </c>
      <c r="J1416" t="s">
        <v>34</v>
      </c>
      <c r="K1416">
        <v>3</v>
      </c>
      <c r="L1416" s="4">
        <v>49700</v>
      </c>
      <c r="M1416">
        <v>25</v>
      </c>
      <c r="N1416" s="4">
        <v>111825</v>
      </c>
      <c r="O1416" t="s">
        <v>85</v>
      </c>
      <c r="P1416">
        <v>1</v>
      </c>
      <c r="Q1416" t="s">
        <v>74</v>
      </c>
      <c r="R1416">
        <v>0</v>
      </c>
    </row>
    <row r="1417" spans="1:18" x14ac:dyDescent="0.3">
      <c r="A1417" t="s">
        <v>3088</v>
      </c>
      <c r="B1417" s="1">
        <v>46017</v>
      </c>
      <c r="C1417" t="s">
        <v>121</v>
      </c>
      <c r="D1417" t="s">
        <v>20</v>
      </c>
      <c r="E1417">
        <v>25</v>
      </c>
      <c r="F1417" t="s">
        <v>21</v>
      </c>
      <c r="G1417" t="s">
        <v>21</v>
      </c>
      <c r="H1417" t="s">
        <v>46</v>
      </c>
      <c r="I1417" t="s">
        <v>47</v>
      </c>
      <c r="J1417" t="s">
        <v>24</v>
      </c>
      <c r="K1417">
        <v>4</v>
      </c>
      <c r="L1417" s="4">
        <v>36600</v>
      </c>
      <c r="M1417">
        <v>25</v>
      </c>
      <c r="N1417" s="4">
        <v>109800</v>
      </c>
      <c r="O1417" t="s">
        <v>73</v>
      </c>
      <c r="P1417">
        <v>2</v>
      </c>
      <c r="Q1417" t="s">
        <v>74</v>
      </c>
      <c r="R1417">
        <v>0</v>
      </c>
    </row>
    <row r="1418" spans="1:18" x14ac:dyDescent="0.3">
      <c r="A1418" t="s">
        <v>3089</v>
      </c>
      <c r="B1418" s="1">
        <v>46171</v>
      </c>
      <c r="C1418" t="s">
        <v>121</v>
      </c>
      <c r="D1418" t="s">
        <v>3292</v>
      </c>
      <c r="E1418">
        <v>33</v>
      </c>
      <c r="F1418" t="s">
        <v>21</v>
      </c>
      <c r="G1418" t="s">
        <v>21</v>
      </c>
      <c r="H1418" t="s">
        <v>32</v>
      </c>
      <c r="I1418" t="s">
        <v>33</v>
      </c>
      <c r="J1418" t="s">
        <v>80</v>
      </c>
      <c r="K1418">
        <v>4</v>
      </c>
      <c r="L1418" s="4">
        <v>48400</v>
      </c>
      <c r="M1418">
        <v>10</v>
      </c>
      <c r="N1418" s="4">
        <v>174240</v>
      </c>
      <c r="O1418" t="s">
        <v>73</v>
      </c>
      <c r="P1418">
        <v>1</v>
      </c>
      <c r="Q1418" t="s">
        <v>65</v>
      </c>
      <c r="R1418">
        <v>0</v>
      </c>
    </row>
    <row r="1419" spans="1:18" x14ac:dyDescent="0.3">
      <c r="A1419" t="s">
        <v>3091</v>
      </c>
      <c r="B1419" s="1">
        <v>46104</v>
      </c>
      <c r="C1419" t="s">
        <v>113</v>
      </c>
      <c r="D1419" t="s">
        <v>20</v>
      </c>
      <c r="E1419">
        <v>19</v>
      </c>
      <c r="F1419" t="s">
        <v>21</v>
      </c>
      <c r="G1419" t="s">
        <v>21</v>
      </c>
      <c r="H1419" t="s">
        <v>62</v>
      </c>
      <c r="I1419" t="s">
        <v>63</v>
      </c>
      <c r="J1419" t="s">
        <v>72</v>
      </c>
      <c r="K1419">
        <v>7</v>
      </c>
      <c r="L1419" s="4">
        <v>36300</v>
      </c>
      <c r="M1419">
        <v>20</v>
      </c>
      <c r="N1419" s="4">
        <v>203280</v>
      </c>
      <c r="O1419" t="s">
        <v>73</v>
      </c>
      <c r="Q1419" t="s">
        <v>26</v>
      </c>
      <c r="R1419">
        <v>0</v>
      </c>
    </row>
    <row r="1420" spans="1:18" x14ac:dyDescent="0.3">
      <c r="A1420" t="s">
        <v>3092</v>
      </c>
      <c r="B1420" s="1">
        <v>45852</v>
      </c>
      <c r="C1420" t="s">
        <v>113</v>
      </c>
      <c r="D1420" t="s">
        <v>3292</v>
      </c>
      <c r="E1420">
        <v>22</v>
      </c>
      <c r="F1420" t="s">
        <v>77</v>
      </c>
      <c r="G1420" t="s">
        <v>95</v>
      </c>
      <c r="H1420" t="s">
        <v>22</v>
      </c>
      <c r="I1420" t="s">
        <v>84</v>
      </c>
      <c r="J1420" t="s">
        <v>72</v>
      </c>
      <c r="K1420">
        <v>10</v>
      </c>
      <c r="L1420" s="4">
        <v>20400</v>
      </c>
      <c r="M1420">
        <v>5</v>
      </c>
      <c r="N1420" s="4">
        <v>193800</v>
      </c>
      <c r="O1420" t="s">
        <v>73</v>
      </c>
      <c r="P1420">
        <v>5</v>
      </c>
      <c r="Q1420" t="s">
        <v>41</v>
      </c>
      <c r="R1420">
        <v>1</v>
      </c>
    </row>
    <row r="1421" spans="1:18" x14ac:dyDescent="0.3">
      <c r="A1421" t="s">
        <v>3093</v>
      </c>
      <c r="B1421" s="1">
        <v>45705</v>
      </c>
      <c r="C1421" t="s">
        <v>88</v>
      </c>
      <c r="D1421" t="s">
        <v>20</v>
      </c>
      <c r="E1421">
        <v>38</v>
      </c>
      <c r="F1421" t="s">
        <v>51</v>
      </c>
      <c r="G1421" t="s">
        <v>104</v>
      </c>
      <c r="H1421" t="s">
        <v>62</v>
      </c>
      <c r="I1421" t="s">
        <v>140</v>
      </c>
      <c r="J1421" t="s">
        <v>89</v>
      </c>
      <c r="K1421">
        <v>3</v>
      </c>
      <c r="L1421" s="4">
        <v>22900</v>
      </c>
      <c r="M1421">
        <v>5</v>
      </c>
      <c r="N1421" s="4">
        <v>65265</v>
      </c>
      <c r="O1421" t="s">
        <v>85</v>
      </c>
      <c r="P1421">
        <v>2</v>
      </c>
      <c r="Q1421" t="s">
        <v>65</v>
      </c>
      <c r="R1421">
        <v>0</v>
      </c>
    </row>
    <row r="1422" spans="1:18" x14ac:dyDescent="0.3">
      <c r="A1422" t="s">
        <v>3094</v>
      </c>
      <c r="B1422" s="1">
        <v>45729</v>
      </c>
      <c r="C1422" t="s">
        <v>19</v>
      </c>
      <c r="D1422" t="s">
        <v>20</v>
      </c>
      <c r="E1422">
        <v>24</v>
      </c>
      <c r="F1422" t="s">
        <v>21</v>
      </c>
      <c r="G1422" t="s">
        <v>21</v>
      </c>
      <c r="H1422" t="s">
        <v>22</v>
      </c>
      <c r="I1422" t="s">
        <v>84</v>
      </c>
      <c r="J1422" t="s">
        <v>34</v>
      </c>
      <c r="K1422">
        <v>10</v>
      </c>
      <c r="L1422" s="4">
        <v>6900</v>
      </c>
      <c r="M1422">
        <v>0</v>
      </c>
      <c r="N1422" s="4">
        <v>69000</v>
      </c>
      <c r="O1422" t="s">
        <v>73</v>
      </c>
      <c r="P1422">
        <v>5</v>
      </c>
      <c r="Q1422" t="s">
        <v>41</v>
      </c>
      <c r="R1422">
        <v>1</v>
      </c>
    </row>
    <row r="1423" spans="1:18" x14ac:dyDescent="0.3">
      <c r="A1423" t="s">
        <v>3095</v>
      </c>
      <c r="B1423" s="1">
        <v>46021</v>
      </c>
      <c r="C1423" t="s">
        <v>38</v>
      </c>
      <c r="D1423" t="s">
        <v>20</v>
      </c>
      <c r="E1423">
        <v>28</v>
      </c>
      <c r="F1423" t="s">
        <v>61</v>
      </c>
      <c r="G1423" t="s">
        <v>61</v>
      </c>
      <c r="H1423" t="s">
        <v>62</v>
      </c>
      <c r="I1423" t="s">
        <v>140</v>
      </c>
      <c r="J1423" t="s">
        <v>80</v>
      </c>
      <c r="K1423">
        <v>2</v>
      </c>
      <c r="L1423" s="4">
        <v>26500</v>
      </c>
      <c r="M1423">
        <v>15</v>
      </c>
      <c r="N1423" s="4">
        <v>45050</v>
      </c>
      <c r="O1423" t="s">
        <v>25</v>
      </c>
      <c r="Q1423" t="s">
        <v>74</v>
      </c>
      <c r="R1423">
        <v>0</v>
      </c>
    </row>
    <row r="1424" spans="1:18" x14ac:dyDescent="0.3">
      <c r="A1424" t="s">
        <v>3096</v>
      </c>
      <c r="B1424" s="1">
        <v>45672</v>
      </c>
      <c r="C1424" t="s">
        <v>113</v>
      </c>
      <c r="D1424" t="s">
        <v>39</v>
      </c>
      <c r="E1424">
        <v>50</v>
      </c>
      <c r="F1424" t="s">
        <v>77</v>
      </c>
      <c r="G1424" t="s">
        <v>95</v>
      </c>
      <c r="H1424" t="s">
        <v>32</v>
      </c>
      <c r="I1424" t="s">
        <v>33</v>
      </c>
      <c r="J1424" t="s">
        <v>89</v>
      </c>
      <c r="K1424">
        <v>8</v>
      </c>
      <c r="L1424" s="4">
        <v>8700</v>
      </c>
      <c r="M1424">
        <v>20</v>
      </c>
      <c r="N1424" s="4">
        <v>55680</v>
      </c>
      <c r="O1424" t="s">
        <v>73</v>
      </c>
      <c r="P1424">
        <v>5</v>
      </c>
      <c r="Q1424" t="s">
        <v>65</v>
      </c>
      <c r="R1424">
        <v>0</v>
      </c>
    </row>
    <row r="1425" spans="1:18" x14ac:dyDescent="0.3">
      <c r="A1425" t="s">
        <v>3098</v>
      </c>
      <c r="B1425" s="1">
        <v>45987</v>
      </c>
      <c r="C1425" t="s">
        <v>88</v>
      </c>
      <c r="D1425" t="s">
        <v>39</v>
      </c>
      <c r="E1425">
        <v>48</v>
      </c>
      <c r="F1425" t="s">
        <v>21</v>
      </c>
      <c r="G1425" t="s">
        <v>21</v>
      </c>
      <c r="H1425" t="s">
        <v>62</v>
      </c>
      <c r="I1425" t="s">
        <v>140</v>
      </c>
      <c r="J1425" t="s">
        <v>89</v>
      </c>
      <c r="K1425">
        <v>2</v>
      </c>
      <c r="L1425" s="4">
        <v>32800</v>
      </c>
      <c r="M1425">
        <v>10</v>
      </c>
      <c r="N1425" s="4">
        <v>59040</v>
      </c>
      <c r="O1425" t="s">
        <v>85</v>
      </c>
      <c r="Q1425" t="s">
        <v>26</v>
      </c>
      <c r="R1425">
        <v>0</v>
      </c>
    </row>
    <row r="1426" spans="1:18" x14ac:dyDescent="0.3">
      <c r="A1426" t="s">
        <v>3100</v>
      </c>
      <c r="B1426" s="1">
        <v>46176</v>
      </c>
      <c r="C1426" t="s">
        <v>113</v>
      </c>
      <c r="D1426" t="s">
        <v>39</v>
      </c>
      <c r="E1426">
        <v>54</v>
      </c>
      <c r="F1426" t="s">
        <v>77</v>
      </c>
      <c r="G1426" t="s">
        <v>95</v>
      </c>
      <c r="H1426" t="s">
        <v>22</v>
      </c>
      <c r="I1426" t="s">
        <v>23</v>
      </c>
      <c r="J1426" t="s">
        <v>72</v>
      </c>
      <c r="K1426">
        <v>1</v>
      </c>
      <c r="L1426" s="4">
        <v>40700</v>
      </c>
      <c r="M1426">
        <v>25</v>
      </c>
      <c r="N1426" s="4">
        <v>30525</v>
      </c>
      <c r="O1426" t="s">
        <v>25</v>
      </c>
      <c r="Q1426" t="s">
        <v>74</v>
      </c>
      <c r="R1426">
        <v>0</v>
      </c>
    </row>
    <row r="1427" spans="1:18" x14ac:dyDescent="0.3">
      <c r="A1427" t="s">
        <v>3101</v>
      </c>
      <c r="B1427" s="1">
        <v>45942</v>
      </c>
      <c r="C1427" t="s">
        <v>94</v>
      </c>
      <c r="D1427" t="s">
        <v>20</v>
      </c>
      <c r="E1427">
        <v>33</v>
      </c>
      <c r="F1427" t="s">
        <v>44</v>
      </c>
      <c r="G1427" t="s">
        <v>45</v>
      </c>
      <c r="H1427" t="s">
        <v>62</v>
      </c>
      <c r="I1427" t="s">
        <v>140</v>
      </c>
      <c r="J1427" t="s">
        <v>64</v>
      </c>
      <c r="K1427">
        <v>3</v>
      </c>
      <c r="L1427" s="4">
        <v>13000</v>
      </c>
      <c r="M1427">
        <v>25</v>
      </c>
      <c r="N1427" s="4">
        <v>29250</v>
      </c>
      <c r="O1427" t="s">
        <v>73</v>
      </c>
      <c r="P1427">
        <v>3</v>
      </c>
      <c r="Q1427" t="s">
        <v>74</v>
      </c>
      <c r="R1427">
        <v>0</v>
      </c>
    </row>
    <row r="1428" spans="1:18" x14ac:dyDescent="0.3">
      <c r="A1428" t="s">
        <v>3103</v>
      </c>
      <c r="B1428" s="1">
        <v>45855</v>
      </c>
      <c r="C1428" t="s">
        <v>19</v>
      </c>
      <c r="D1428" t="s">
        <v>20</v>
      </c>
      <c r="E1428">
        <v>51</v>
      </c>
      <c r="F1428" t="s">
        <v>21</v>
      </c>
      <c r="G1428" t="s">
        <v>21</v>
      </c>
      <c r="H1428" t="s">
        <v>32</v>
      </c>
      <c r="I1428" t="s">
        <v>53</v>
      </c>
      <c r="J1428" t="s">
        <v>89</v>
      </c>
      <c r="K1428">
        <v>8</v>
      </c>
      <c r="L1428" s="4">
        <v>5500</v>
      </c>
      <c r="M1428">
        <v>20</v>
      </c>
      <c r="N1428" s="4">
        <v>35200</v>
      </c>
      <c r="O1428" t="s">
        <v>85</v>
      </c>
      <c r="P1428">
        <v>4</v>
      </c>
      <c r="Q1428" t="s">
        <v>26</v>
      </c>
      <c r="R1428">
        <v>0</v>
      </c>
    </row>
    <row r="1429" spans="1:18" x14ac:dyDescent="0.3">
      <c r="A1429" t="s">
        <v>3105</v>
      </c>
      <c r="B1429" s="1">
        <v>45693</v>
      </c>
      <c r="C1429" t="s">
        <v>68</v>
      </c>
      <c r="D1429" t="s">
        <v>20</v>
      </c>
      <c r="E1429">
        <v>34</v>
      </c>
      <c r="F1429" t="s">
        <v>61</v>
      </c>
      <c r="G1429" t="s">
        <v>61</v>
      </c>
      <c r="H1429" t="s">
        <v>62</v>
      </c>
      <c r="I1429" t="s">
        <v>140</v>
      </c>
      <c r="J1429" t="s">
        <v>34</v>
      </c>
      <c r="K1429">
        <v>5</v>
      </c>
      <c r="L1429" s="4">
        <v>14300</v>
      </c>
      <c r="M1429">
        <v>0</v>
      </c>
      <c r="N1429" s="4">
        <v>71500</v>
      </c>
      <c r="O1429" t="s">
        <v>73</v>
      </c>
      <c r="P1429">
        <v>3</v>
      </c>
      <c r="Q1429" t="s">
        <v>74</v>
      </c>
      <c r="R1429">
        <v>0</v>
      </c>
    </row>
    <row r="1430" spans="1:18" x14ac:dyDescent="0.3">
      <c r="A1430" t="s">
        <v>3106</v>
      </c>
      <c r="B1430" s="1">
        <v>45731</v>
      </c>
      <c r="C1430" t="s">
        <v>60</v>
      </c>
      <c r="D1430" t="s">
        <v>20</v>
      </c>
      <c r="E1430">
        <v>55</v>
      </c>
      <c r="F1430" t="s">
        <v>30</v>
      </c>
      <c r="G1430" t="s">
        <v>57</v>
      </c>
      <c r="H1430" t="s">
        <v>62</v>
      </c>
      <c r="I1430" t="s">
        <v>140</v>
      </c>
      <c r="J1430" t="s">
        <v>64</v>
      </c>
      <c r="K1430">
        <v>9</v>
      </c>
      <c r="L1430" s="4">
        <v>26300</v>
      </c>
      <c r="M1430">
        <v>20</v>
      </c>
      <c r="N1430" s="4">
        <v>189360</v>
      </c>
      <c r="O1430" t="s">
        <v>85</v>
      </c>
      <c r="P1430">
        <v>1</v>
      </c>
      <c r="Q1430" t="s">
        <v>74</v>
      </c>
      <c r="R1430">
        <v>0</v>
      </c>
    </row>
    <row r="1431" spans="1:18" x14ac:dyDescent="0.3">
      <c r="A1431" t="s">
        <v>3107</v>
      </c>
      <c r="B1431" s="1">
        <v>46146</v>
      </c>
      <c r="C1431" t="s">
        <v>68</v>
      </c>
      <c r="D1431" t="s">
        <v>20</v>
      </c>
      <c r="E1431">
        <v>44</v>
      </c>
      <c r="F1431" t="s">
        <v>61</v>
      </c>
      <c r="G1431" t="s">
        <v>61</v>
      </c>
      <c r="H1431" t="s">
        <v>32</v>
      </c>
      <c r="I1431" t="s">
        <v>33</v>
      </c>
      <c r="J1431" t="s">
        <v>34</v>
      </c>
      <c r="K1431">
        <v>7</v>
      </c>
      <c r="L1431" s="4">
        <v>44100</v>
      </c>
      <c r="M1431">
        <v>0</v>
      </c>
      <c r="N1431" s="4">
        <v>308700</v>
      </c>
      <c r="O1431" t="s">
        <v>25</v>
      </c>
      <c r="P1431">
        <v>1</v>
      </c>
      <c r="Q1431" t="s">
        <v>26</v>
      </c>
      <c r="R1431">
        <v>0</v>
      </c>
    </row>
    <row r="1432" spans="1:18" x14ac:dyDescent="0.3">
      <c r="A1432" t="s">
        <v>3108</v>
      </c>
      <c r="B1432" s="1">
        <v>45748</v>
      </c>
      <c r="C1432" t="s">
        <v>94</v>
      </c>
      <c r="D1432" t="s">
        <v>20</v>
      </c>
      <c r="E1432">
        <v>31</v>
      </c>
      <c r="F1432" t="s">
        <v>77</v>
      </c>
      <c r="G1432" t="s">
        <v>95</v>
      </c>
      <c r="H1432" t="s">
        <v>46</v>
      </c>
      <c r="I1432" t="s">
        <v>47</v>
      </c>
      <c r="J1432" t="s">
        <v>64</v>
      </c>
      <c r="K1432">
        <v>10</v>
      </c>
      <c r="L1432" s="4">
        <v>2000</v>
      </c>
      <c r="M1432">
        <v>10</v>
      </c>
      <c r="N1432" s="4">
        <v>18000</v>
      </c>
      <c r="O1432" t="s">
        <v>73</v>
      </c>
      <c r="P1432">
        <v>3</v>
      </c>
      <c r="Q1432" t="s">
        <v>65</v>
      </c>
      <c r="R1432">
        <v>0</v>
      </c>
    </row>
    <row r="1433" spans="1:18" x14ac:dyDescent="0.3">
      <c r="A1433" t="s">
        <v>3110</v>
      </c>
      <c r="B1433" s="1">
        <v>45724</v>
      </c>
      <c r="C1433" t="s">
        <v>94</v>
      </c>
      <c r="D1433" t="s">
        <v>3292</v>
      </c>
      <c r="E1433">
        <v>48</v>
      </c>
      <c r="F1433" t="s">
        <v>44</v>
      </c>
      <c r="G1433" t="s">
        <v>100</v>
      </c>
      <c r="H1433" t="s">
        <v>62</v>
      </c>
      <c r="I1433" t="s">
        <v>63</v>
      </c>
      <c r="J1433" t="s">
        <v>34</v>
      </c>
      <c r="K1433">
        <v>4</v>
      </c>
      <c r="L1433" s="4">
        <v>18000</v>
      </c>
      <c r="M1433">
        <v>10</v>
      </c>
      <c r="N1433" s="4">
        <v>64800</v>
      </c>
      <c r="O1433" t="s">
        <v>25</v>
      </c>
      <c r="P1433">
        <v>4</v>
      </c>
      <c r="Q1433" t="s">
        <v>26</v>
      </c>
      <c r="R1433">
        <v>0</v>
      </c>
    </row>
    <row r="1434" spans="1:18" x14ac:dyDescent="0.3">
      <c r="A1434" t="s">
        <v>3111</v>
      </c>
      <c r="B1434" s="1">
        <v>46006</v>
      </c>
      <c r="C1434" t="s">
        <v>29</v>
      </c>
      <c r="D1434" t="s">
        <v>20</v>
      </c>
      <c r="E1434">
        <v>60</v>
      </c>
      <c r="F1434" t="s">
        <v>61</v>
      </c>
      <c r="G1434" t="s">
        <v>61</v>
      </c>
      <c r="H1434" t="s">
        <v>32</v>
      </c>
      <c r="I1434" t="s">
        <v>33</v>
      </c>
      <c r="J1434" t="s">
        <v>64</v>
      </c>
      <c r="K1434">
        <v>7</v>
      </c>
      <c r="L1434" s="4">
        <v>17100</v>
      </c>
      <c r="M1434">
        <v>25</v>
      </c>
      <c r="N1434" s="4">
        <v>89775</v>
      </c>
      <c r="O1434" t="s">
        <v>73</v>
      </c>
      <c r="P1434">
        <v>4</v>
      </c>
      <c r="Q1434" t="s">
        <v>74</v>
      </c>
      <c r="R1434">
        <v>0</v>
      </c>
    </row>
    <row r="1435" spans="1:18" x14ac:dyDescent="0.3">
      <c r="A1435" t="s">
        <v>3112</v>
      </c>
      <c r="B1435" s="1">
        <v>46120</v>
      </c>
      <c r="C1435" t="s">
        <v>113</v>
      </c>
      <c r="D1435" t="s">
        <v>39</v>
      </c>
      <c r="E1435">
        <v>39</v>
      </c>
      <c r="F1435" t="s">
        <v>61</v>
      </c>
      <c r="G1435" t="s">
        <v>61</v>
      </c>
      <c r="H1435" t="s">
        <v>46</v>
      </c>
      <c r="I1435" t="s">
        <v>47</v>
      </c>
      <c r="J1435" t="s">
        <v>80</v>
      </c>
      <c r="K1435">
        <v>4</v>
      </c>
      <c r="L1435" s="4">
        <v>26800</v>
      </c>
      <c r="M1435">
        <v>0</v>
      </c>
      <c r="N1435" s="4">
        <v>107200</v>
      </c>
      <c r="O1435" t="s">
        <v>85</v>
      </c>
      <c r="P1435">
        <v>2</v>
      </c>
      <c r="Q1435" t="s">
        <v>26</v>
      </c>
      <c r="R1435">
        <v>0</v>
      </c>
    </row>
    <row r="1436" spans="1:18" x14ac:dyDescent="0.3">
      <c r="A1436" t="s">
        <v>3113</v>
      </c>
      <c r="B1436" s="1">
        <v>45757</v>
      </c>
      <c r="C1436" t="s">
        <v>94</v>
      </c>
      <c r="D1436" t="s">
        <v>39</v>
      </c>
      <c r="E1436">
        <v>18</v>
      </c>
      <c r="F1436" t="s">
        <v>77</v>
      </c>
      <c r="G1436" t="s">
        <v>95</v>
      </c>
      <c r="H1436" t="s">
        <v>46</v>
      </c>
      <c r="I1436" t="s">
        <v>79</v>
      </c>
      <c r="J1436" t="s">
        <v>72</v>
      </c>
      <c r="K1436">
        <v>2</v>
      </c>
      <c r="L1436" s="4">
        <v>4000</v>
      </c>
      <c r="M1436">
        <v>15</v>
      </c>
      <c r="N1436" s="4">
        <v>6800</v>
      </c>
      <c r="O1436" t="s">
        <v>25</v>
      </c>
      <c r="P1436">
        <v>2</v>
      </c>
      <c r="Q1436" t="s">
        <v>26</v>
      </c>
      <c r="R1436">
        <v>0</v>
      </c>
    </row>
    <row r="1437" spans="1:18" x14ac:dyDescent="0.3">
      <c r="A1437" t="s">
        <v>3114</v>
      </c>
      <c r="B1437" s="1">
        <v>45687</v>
      </c>
      <c r="C1437" t="s">
        <v>113</v>
      </c>
      <c r="D1437" t="s">
        <v>39</v>
      </c>
      <c r="E1437">
        <v>40</v>
      </c>
      <c r="F1437" t="s">
        <v>61</v>
      </c>
      <c r="G1437" t="s">
        <v>61</v>
      </c>
      <c r="H1437" t="s">
        <v>62</v>
      </c>
      <c r="I1437" t="s">
        <v>140</v>
      </c>
      <c r="J1437" t="s">
        <v>80</v>
      </c>
      <c r="K1437">
        <v>6</v>
      </c>
      <c r="L1437" s="4">
        <v>7100</v>
      </c>
      <c r="M1437">
        <v>15</v>
      </c>
      <c r="N1437" s="4">
        <v>36210</v>
      </c>
      <c r="O1437" t="s">
        <v>85</v>
      </c>
      <c r="Q1437" t="s">
        <v>74</v>
      </c>
      <c r="R1437">
        <v>0</v>
      </c>
    </row>
    <row r="1438" spans="1:18" x14ac:dyDescent="0.3">
      <c r="A1438" t="s">
        <v>3116</v>
      </c>
      <c r="B1438" s="1">
        <v>45742</v>
      </c>
      <c r="C1438" t="s">
        <v>68</v>
      </c>
      <c r="D1438" t="s">
        <v>39</v>
      </c>
      <c r="E1438">
        <v>18</v>
      </c>
      <c r="F1438" t="s">
        <v>21</v>
      </c>
      <c r="G1438" t="s">
        <v>21</v>
      </c>
      <c r="H1438" t="s">
        <v>22</v>
      </c>
      <c r="I1438" t="s">
        <v>23</v>
      </c>
      <c r="J1438" t="s">
        <v>72</v>
      </c>
      <c r="K1438">
        <v>5</v>
      </c>
      <c r="L1438" s="4">
        <v>34400</v>
      </c>
      <c r="M1438">
        <v>20</v>
      </c>
      <c r="N1438" s="4">
        <v>137600</v>
      </c>
      <c r="O1438" t="s">
        <v>85</v>
      </c>
      <c r="P1438">
        <v>2</v>
      </c>
      <c r="Q1438" t="s">
        <v>74</v>
      </c>
      <c r="R1438">
        <v>0</v>
      </c>
    </row>
    <row r="1439" spans="1:18" x14ac:dyDescent="0.3">
      <c r="A1439" t="s">
        <v>3118</v>
      </c>
      <c r="B1439" s="1">
        <v>45693</v>
      </c>
      <c r="C1439" t="s">
        <v>60</v>
      </c>
      <c r="D1439" t="s">
        <v>39</v>
      </c>
      <c r="E1439">
        <v>48</v>
      </c>
      <c r="F1439" t="s">
        <v>77</v>
      </c>
      <c r="G1439" t="s">
        <v>95</v>
      </c>
      <c r="H1439" t="s">
        <v>22</v>
      </c>
      <c r="I1439" t="s">
        <v>84</v>
      </c>
      <c r="J1439" t="s">
        <v>34</v>
      </c>
      <c r="K1439">
        <v>7</v>
      </c>
      <c r="L1439" s="4">
        <v>37500</v>
      </c>
      <c r="M1439">
        <v>0</v>
      </c>
      <c r="N1439" s="4">
        <v>262500</v>
      </c>
      <c r="O1439" t="s">
        <v>85</v>
      </c>
      <c r="P1439">
        <v>1</v>
      </c>
      <c r="Q1439" t="s">
        <v>74</v>
      </c>
      <c r="R1439">
        <v>0</v>
      </c>
    </row>
    <row r="1440" spans="1:18" x14ac:dyDescent="0.3">
      <c r="A1440" t="s">
        <v>3119</v>
      </c>
      <c r="B1440" s="1">
        <v>45700</v>
      </c>
      <c r="C1440" t="s">
        <v>29</v>
      </c>
      <c r="D1440" t="s">
        <v>20</v>
      </c>
      <c r="E1440">
        <v>29</v>
      </c>
      <c r="F1440" t="s">
        <v>77</v>
      </c>
      <c r="G1440" t="s">
        <v>95</v>
      </c>
      <c r="H1440" t="s">
        <v>46</v>
      </c>
      <c r="I1440" t="s">
        <v>79</v>
      </c>
      <c r="J1440" t="s">
        <v>89</v>
      </c>
      <c r="K1440">
        <v>10</v>
      </c>
      <c r="L1440" s="4">
        <v>24700</v>
      </c>
      <c r="M1440">
        <v>10</v>
      </c>
      <c r="N1440" s="4">
        <v>222300</v>
      </c>
      <c r="O1440" t="s">
        <v>25</v>
      </c>
      <c r="P1440">
        <v>5</v>
      </c>
      <c r="Q1440" t="s">
        <v>65</v>
      </c>
      <c r="R1440">
        <v>0</v>
      </c>
    </row>
    <row r="1441" spans="1:18" x14ac:dyDescent="0.3">
      <c r="A1441" t="s">
        <v>3122</v>
      </c>
      <c r="B1441" s="1">
        <v>45725</v>
      </c>
      <c r="C1441" t="s">
        <v>88</v>
      </c>
      <c r="D1441" t="s">
        <v>3292</v>
      </c>
      <c r="E1441">
        <v>37</v>
      </c>
      <c r="F1441" t="s">
        <v>21</v>
      </c>
      <c r="G1441" t="s">
        <v>21</v>
      </c>
      <c r="H1441" t="s">
        <v>32</v>
      </c>
      <c r="I1441" t="s">
        <v>33</v>
      </c>
      <c r="J1441" t="s">
        <v>24</v>
      </c>
      <c r="K1441">
        <v>6</v>
      </c>
      <c r="L1441" s="4">
        <v>44200</v>
      </c>
      <c r="M1441">
        <v>20</v>
      </c>
      <c r="N1441" s="4">
        <v>212160</v>
      </c>
      <c r="O1441" t="s">
        <v>25</v>
      </c>
      <c r="Q1441" t="s">
        <v>65</v>
      </c>
      <c r="R1441">
        <v>0</v>
      </c>
    </row>
    <row r="1442" spans="1:18" x14ac:dyDescent="0.3">
      <c r="A1442" t="s">
        <v>3124</v>
      </c>
      <c r="B1442" s="1">
        <v>46129</v>
      </c>
      <c r="C1442" t="s">
        <v>88</v>
      </c>
      <c r="D1442" t="s">
        <v>3292</v>
      </c>
      <c r="E1442">
        <v>27</v>
      </c>
      <c r="F1442" t="s">
        <v>77</v>
      </c>
      <c r="G1442" t="s">
        <v>78</v>
      </c>
      <c r="H1442" t="s">
        <v>32</v>
      </c>
      <c r="I1442" t="s">
        <v>33</v>
      </c>
      <c r="J1442" t="s">
        <v>72</v>
      </c>
      <c r="K1442">
        <v>7</v>
      </c>
      <c r="L1442" s="4">
        <v>21000</v>
      </c>
      <c r="M1442">
        <v>10</v>
      </c>
      <c r="N1442" s="4">
        <v>132300</v>
      </c>
      <c r="O1442" t="s">
        <v>85</v>
      </c>
      <c r="P1442">
        <v>3</v>
      </c>
      <c r="Q1442" t="s">
        <v>41</v>
      </c>
      <c r="R1442">
        <v>1</v>
      </c>
    </row>
    <row r="1443" spans="1:18" x14ac:dyDescent="0.3">
      <c r="A1443" t="s">
        <v>3126</v>
      </c>
      <c r="B1443" s="1">
        <v>46022</v>
      </c>
      <c r="C1443" t="s">
        <v>68</v>
      </c>
      <c r="D1443" t="s">
        <v>3292</v>
      </c>
      <c r="E1443">
        <v>47</v>
      </c>
      <c r="F1443" t="s">
        <v>44</v>
      </c>
      <c r="G1443" t="s">
        <v>100</v>
      </c>
      <c r="H1443" t="s">
        <v>62</v>
      </c>
      <c r="I1443" t="s">
        <v>63</v>
      </c>
      <c r="J1443" t="s">
        <v>80</v>
      </c>
      <c r="K1443">
        <v>9</v>
      </c>
      <c r="L1443" s="4">
        <v>17600</v>
      </c>
      <c r="M1443">
        <v>20</v>
      </c>
      <c r="N1443" s="4">
        <v>126720</v>
      </c>
      <c r="O1443" t="s">
        <v>25</v>
      </c>
      <c r="P1443">
        <v>5</v>
      </c>
      <c r="Q1443" t="s">
        <v>74</v>
      </c>
      <c r="R1443">
        <v>0</v>
      </c>
    </row>
    <row r="1444" spans="1:18" x14ac:dyDescent="0.3">
      <c r="A1444" t="s">
        <v>3131</v>
      </c>
      <c r="B1444" s="1">
        <v>45907</v>
      </c>
      <c r="C1444" t="s">
        <v>68</v>
      </c>
      <c r="D1444" t="s">
        <v>20</v>
      </c>
      <c r="E1444">
        <v>33</v>
      </c>
      <c r="F1444" t="s">
        <v>77</v>
      </c>
      <c r="G1444" t="s">
        <v>95</v>
      </c>
      <c r="H1444" t="s">
        <v>46</v>
      </c>
      <c r="I1444" t="s">
        <v>47</v>
      </c>
      <c r="J1444" t="s">
        <v>64</v>
      </c>
      <c r="K1444">
        <v>1</v>
      </c>
      <c r="L1444" s="4">
        <v>5000</v>
      </c>
      <c r="M1444">
        <v>15</v>
      </c>
      <c r="N1444" s="4">
        <v>4250</v>
      </c>
      <c r="O1444" t="s">
        <v>25</v>
      </c>
      <c r="P1444">
        <v>4</v>
      </c>
      <c r="Q1444" t="s">
        <v>74</v>
      </c>
      <c r="R1444">
        <v>0</v>
      </c>
    </row>
    <row r="1445" spans="1:18" x14ac:dyDescent="0.3">
      <c r="A1445" t="s">
        <v>3133</v>
      </c>
      <c r="B1445" s="1">
        <v>46123</v>
      </c>
      <c r="C1445" t="s">
        <v>19</v>
      </c>
      <c r="D1445" t="s">
        <v>20</v>
      </c>
      <c r="E1445">
        <v>21</v>
      </c>
      <c r="F1445" t="s">
        <v>77</v>
      </c>
      <c r="G1445" t="s">
        <v>95</v>
      </c>
      <c r="H1445" t="s">
        <v>46</v>
      </c>
      <c r="I1445" t="s">
        <v>79</v>
      </c>
      <c r="J1445" t="s">
        <v>64</v>
      </c>
      <c r="K1445">
        <v>6</v>
      </c>
      <c r="L1445" s="4">
        <v>48000</v>
      </c>
      <c r="M1445">
        <v>5</v>
      </c>
      <c r="N1445" s="4">
        <v>273600</v>
      </c>
      <c r="O1445" t="s">
        <v>73</v>
      </c>
      <c r="P1445">
        <v>1</v>
      </c>
      <c r="Q1445" t="s">
        <v>41</v>
      </c>
      <c r="R1445">
        <v>1</v>
      </c>
    </row>
    <row r="1446" spans="1:18" x14ac:dyDescent="0.3">
      <c r="A1446" t="s">
        <v>3137</v>
      </c>
      <c r="B1446" s="1">
        <v>45707</v>
      </c>
      <c r="C1446" t="s">
        <v>121</v>
      </c>
      <c r="D1446" t="s">
        <v>20</v>
      </c>
      <c r="E1446">
        <v>28</v>
      </c>
      <c r="F1446" t="s">
        <v>61</v>
      </c>
      <c r="G1446" t="s">
        <v>61</v>
      </c>
      <c r="H1446" t="s">
        <v>32</v>
      </c>
      <c r="I1446" t="s">
        <v>53</v>
      </c>
      <c r="J1446" t="s">
        <v>64</v>
      </c>
      <c r="K1446">
        <v>1</v>
      </c>
      <c r="L1446" s="4">
        <v>31900</v>
      </c>
      <c r="M1446">
        <v>25</v>
      </c>
      <c r="N1446" s="4">
        <v>23925</v>
      </c>
      <c r="O1446" t="s">
        <v>73</v>
      </c>
      <c r="P1446">
        <v>5</v>
      </c>
      <c r="Q1446" t="s">
        <v>65</v>
      </c>
      <c r="R1446">
        <v>0</v>
      </c>
    </row>
    <row r="1447" spans="1:18" x14ac:dyDescent="0.3">
      <c r="A1447" t="s">
        <v>3138</v>
      </c>
      <c r="B1447" s="1">
        <v>46010</v>
      </c>
      <c r="C1447" t="s">
        <v>94</v>
      </c>
      <c r="D1447" t="s">
        <v>20</v>
      </c>
      <c r="E1447">
        <v>55</v>
      </c>
      <c r="F1447" t="s">
        <v>30</v>
      </c>
      <c r="G1447" t="s">
        <v>57</v>
      </c>
      <c r="H1447" t="s">
        <v>32</v>
      </c>
      <c r="I1447" t="s">
        <v>53</v>
      </c>
      <c r="J1447" t="s">
        <v>89</v>
      </c>
      <c r="K1447">
        <v>10</v>
      </c>
      <c r="L1447" s="4">
        <v>27000</v>
      </c>
      <c r="M1447">
        <v>25</v>
      </c>
      <c r="N1447" s="4">
        <v>202500</v>
      </c>
      <c r="O1447" t="s">
        <v>25</v>
      </c>
      <c r="P1447">
        <v>4</v>
      </c>
      <c r="Q1447" t="s">
        <v>74</v>
      </c>
      <c r="R1447">
        <v>0</v>
      </c>
    </row>
    <row r="1448" spans="1:18" x14ac:dyDescent="0.3">
      <c r="A1448" t="s">
        <v>3139</v>
      </c>
      <c r="B1448" s="1">
        <v>45697</v>
      </c>
      <c r="C1448" t="s">
        <v>113</v>
      </c>
      <c r="D1448" t="s">
        <v>3292</v>
      </c>
      <c r="E1448">
        <v>150</v>
      </c>
      <c r="F1448" t="s">
        <v>44</v>
      </c>
      <c r="G1448" t="s">
        <v>100</v>
      </c>
      <c r="H1448" t="s">
        <v>22</v>
      </c>
      <c r="I1448" t="s">
        <v>23</v>
      </c>
      <c r="J1448" t="s">
        <v>64</v>
      </c>
      <c r="K1448">
        <v>10</v>
      </c>
      <c r="L1448" s="4">
        <v>3200</v>
      </c>
      <c r="M1448">
        <v>10</v>
      </c>
      <c r="N1448" s="4">
        <v>28800</v>
      </c>
      <c r="O1448" t="s">
        <v>73</v>
      </c>
      <c r="Q1448" t="s">
        <v>26</v>
      </c>
      <c r="R1448">
        <v>0</v>
      </c>
    </row>
    <row r="1449" spans="1:18" x14ac:dyDescent="0.3">
      <c r="A1449" t="s">
        <v>3141</v>
      </c>
      <c r="B1449" s="1">
        <v>45707</v>
      </c>
      <c r="C1449" t="s">
        <v>121</v>
      </c>
      <c r="D1449" t="s">
        <v>39</v>
      </c>
      <c r="E1449">
        <v>60</v>
      </c>
      <c r="F1449" t="s">
        <v>51</v>
      </c>
      <c r="G1449" t="s">
        <v>104</v>
      </c>
      <c r="H1449" t="s">
        <v>22</v>
      </c>
      <c r="I1449" t="s">
        <v>84</v>
      </c>
      <c r="J1449" t="s">
        <v>89</v>
      </c>
      <c r="K1449">
        <v>6</v>
      </c>
      <c r="L1449" s="4">
        <v>5000</v>
      </c>
      <c r="M1449">
        <v>20</v>
      </c>
      <c r="N1449" s="4">
        <v>24000</v>
      </c>
      <c r="O1449" t="s">
        <v>25</v>
      </c>
      <c r="Q1449" t="s">
        <v>26</v>
      </c>
      <c r="R1449">
        <v>0</v>
      </c>
    </row>
    <row r="1450" spans="1:18" x14ac:dyDescent="0.3">
      <c r="A1450" t="s">
        <v>3142</v>
      </c>
      <c r="B1450" s="1">
        <v>46136</v>
      </c>
      <c r="C1450" t="s">
        <v>38</v>
      </c>
      <c r="D1450" t="s">
        <v>20</v>
      </c>
      <c r="E1450">
        <v>47</v>
      </c>
      <c r="F1450" t="s">
        <v>77</v>
      </c>
      <c r="G1450" t="s">
        <v>95</v>
      </c>
      <c r="H1450" t="s">
        <v>32</v>
      </c>
      <c r="I1450" t="s">
        <v>33</v>
      </c>
      <c r="J1450" t="s">
        <v>80</v>
      </c>
      <c r="K1450">
        <v>10</v>
      </c>
      <c r="L1450" s="4">
        <v>32300</v>
      </c>
      <c r="M1450">
        <v>5</v>
      </c>
      <c r="N1450" s="4">
        <v>306850</v>
      </c>
      <c r="O1450" t="s">
        <v>25</v>
      </c>
      <c r="P1450">
        <v>1</v>
      </c>
      <c r="Q1450" t="s">
        <v>74</v>
      </c>
      <c r="R1450">
        <v>0</v>
      </c>
    </row>
    <row r="1451" spans="1:18" x14ac:dyDescent="0.3">
      <c r="A1451" t="s">
        <v>3143</v>
      </c>
      <c r="B1451" s="1">
        <v>46132</v>
      </c>
      <c r="C1451" t="s">
        <v>19</v>
      </c>
      <c r="D1451" t="s">
        <v>20</v>
      </c>
      <c r="E1451">
        <v>40</v>
      </c>
      <c r="F1451" t="s">
        <v>30</v>
      </c>
      <c r="G1451" t="s">
        <v>31</v>
      </c>
      <c r="H1451" t="s">
        <v>62</v>
      </c>
      <c r="I1451" t="s">
        <v>140</v>
      </c>
      <c r="J1451" t="s">
        <v>89</v>
      </c>
      <c r="K1451">
        <v>9</v>
      </c>
      <c r="L1451" s="4">
        <v>49400</v>
      </c>
      <c r="M1451">
        <v>10</v>
      </c>
      <c r="N1451" s="4">
        <v>400140</v>
      </c>
      <c r="O1451" t="s">
        <v>85</v>
      </c>
      <c r="P1451">
        <v>3</v>
      </c>
      <c r="Q1451" t="s">
        <v>74</v>
      </c>
      <c r="R1451">
        <v>0</v>
      </c>
    </row>
    <row r="1452" spans="1:18" x14ac:dyDescent="0.3">
      <c r="A1452" t="s">
        <v>3146</v>
      </c>
      <c r="B1452" s="1">
        <v>45971</v>
      </c>
      <c r="C1452" t="s">
        <v>88</v>
      </c>
      <c r="D1452" t="s">
        <v>39</v>
      </c>
      <c r="E1452">
        <v>19</v>
      </c>
      <c r="F1452" t="s">
        <v>51</v>
      </c>
      <c r="G1452" t="s">
        <v>52</v>
      </c>
      <c r="H1452" t="s">
        <v>46</v>
      </c>
      <c r="I1452" t="s">
        <v>47</v>
      </c>
      <c r="J1452" t="s">
        <v>72</v>
      </c>
      <c r="K1452">
        <v>5</v>
      </c>
      <c r="L1452" s="4">
        <v>6500</v>
      </c>
      <c r="M1452">
        <v>20</v>
      </c>
      <c r="N1452" s="4">
        <v>26000</v>
      </c>
      <c r="O1452" t="s">
        <v>73</v>
      </c>
      <c r="P1452">
        <v>4</v>
      </c>
      <c r="Q1452" t="s">
        <v>41</v>
      </c>
      <c r="R1452">
        <v>1</v>
      </c>
    </row>
    <row r="1453" spans="1:18" x14ac:dyDescent="0.3">
      <c r="A1453" t="s">
        <v>3147</v>
      </c>
      <c r="B1453" s="1">
        <v>45785</v>
      </c>
      <c r="C1453" t="s">
        <v>94</v>
      </c>
      <c r="D1453" t="s">
        <v>3292</v>
      </c>
      <c r="E1453">
        <v>49</v>
      </c>
      <c r="F1453" t="s">
        <v>61</v>
      </c>
      <c r="G1453" t="s">
        <v>61</v>
      </c>
      <c r="H1453" t="s">
        <v>32</v>
      </c>
      <c r="I1453" t="s">
        <v>33</v>
      </c>
      <c r="J1453" t="s">
        <v>89</v>
      </c>
      <c r="K1453">
        <v>7</v>
      </c>
      <c r="L1453" s="4">
        <v>41400</v>
      </c>
      <c r="M1453">
        <v>0</v>
      </c>
      <c r="N1453" s="4">
        <v>289800</v>
      </c>
      <c r="O1453" t="s">
        <v>25</v>
      </c>
      <c r="P1453">
        <v>1</v>
      </c>
      <c r="Q1453" t="s">
        <v>65</v>
      </c>
      <c r="R1453">
        <v>0</v>
      </c>
    </row>
    <row r="1454" spans="1:18" x14ac:dyDescent="0.3">
      <c r="A1454" t="s">
        <v>3148</v>
      </c>
      <c r="B1454" s="1">
        <v>45830</v>
      </c>
      <c r="C1454" t="s">
        <v>121</v>
      </c>
      <c r="D1454" t="s">
        <v>20</v>
      </c>
      <c r="E1454">
        <v>45</v>
      </c>
      <c r="F1454" t="s">
        <v>61</v>
      </c>
      <c r="G1454" t="s">
        <v>61</v>
      </c>
      <c r="H1454" t="s">
        <v>22</v>
      </c>
      <c r="I1454" t="s">
        <v>23</v>
      </c>
      <c r="J1454" t="s">
        <v>89</v>
      </c>
      <c r="K1454">
        <v>7</v>
      </c>
      <c r="L1454" s="4">
        <v>4100</v>
      </c>
      <c r="M1454">
        <v>5</v>
      </c>
      <c r="N1454" s="4">
        <v>27265</v>
      </c>
      <c r="O1454" t="s">
        <v>73</v>
      </c>
      <c r="Q1454" t="s">
        <v>74</v>
      </c>
      <c r="R1454">
        <v>0</v>
      </c>
    </row>
    <row r="1455" spans="1:18" x14ac:dyDescent="0.3">
      <c r="A1455" t="s">
        <v>3149</v>
      </c>
      <c r="B1455" s="1">
        <v>45832</v>
      </c>
      <c r="C1455" t="s">
        <v>60</v>
      </c>
      <c r="D1455" t="s">
        <v>20</v>
      </c>
      <c r="E1455">
        <v>23</v>
      </c>
      <c r="F1455" t="s">
        <v>21</v>
      </c>
      <c r="G1455" t="s">
        <v>21</v>
      </c>
      <c r="H1455" t="s">
        <v>32</v>
      </c>
      <c r="I1455" t="s">
        <v>33</v>
      </c>
      <c r="J1455" t="s">
        <v>80</v>
      </c>
      <c r="K1455">
        <v>3</v>
      </c>
      <c r="L1455" s="4">
        <v>21300</v>
      </c>
      <c r="M1455">
        <v>20</v>
      </c>
      <c r="N1455" s="4">
        <v>51120</v>
      </c>
      <c r="O1455" t="s">
        <v>73</v>
      </c>
      <c r="Q1455" t="s">
        <v>26</v>
      </c>
      <c r="R1455">
        <v>0</v>
      </c>
    </row>
    <row r="1456" spans="1:18" x14ac:dyDescent="0.3">
      <c r="A1456" t="s">
        <v>3153</v>
      </c>
      <c r="B1456" s="1">
        <v>45948</v>
      </c>
      <c r="C1456" t="s">
        <v>68</v>
      </c>
      <c r="D1456" t="s">
        <v>39</v>
      </c>
      <c r="E1456">
        <v>36</v>
      </c>
      <c r="F1456" t="s">
        <v>61</v>
      </c>
      <c r="G1456" t="s">
        <v>61</v>
      </c>
      <c r="H1456" t="s">
        <v>22</v>
      </c>
      <c r="I1456" t="s">
        <v>23</v>
      </c>
      <c r="J1456" t="s">
        <v>72</v>
      </c>
      <c r="K1456">
        <v>1</v>
      </c>
      <c r="L1456" s="4">
        <v>11700</v>
      </c>
      <c r="M1456">
        <v>20</v>
      </c>
      <c r="N1456" s="4">
        <v>9360</v>
      </c>
      <c r="O1456" t="s">
        <v>25</v>
      </c>
      <c r="P1456">
        <v>3</v>
      </c>
      <c r="Q1456" t="s">
        <v>26</v>
      </c>
      <c r="R1456">
        <v>0</v>
      </c>
    </row>
    <row r="1457" spans="1:18" x14ac:dyDescent="0.3">
      <c r="A1457" t="s">
        <v>3154</v>
      </c>
      <c r="B1457" s="1">
        <v>46150</v>
      </c>
      <c r="C1457" t="s">
        <v>121</v>
      </c>
      <c r="D1457" t="s">
        <v>39</v>
      </c>
      <c r="E1457">
        <v>60</v>
      </c>
      <c r="F1457" t="s">
        <v>51</v>
      </c>
      <c r="G1457" t="s">
        <v>52</v>
      </c>
      <c r="H1457" t="s">
        <v>46</v>
      </c>
      <c r="I1457" t="s">
        <v>79</v>
      </c>
      <c r="J1457" t="s">
        <v>80</v>
      </c>
      <c r="K1457">
        <v>3</v>
      </c>
      <c r="L1457" s="4">
        <v>2900</v>
      </c>
      <c r="M1457">
        <v>5</v>
      </c>
      <c r="N1457" s="4">
        <v>8265</v>
      </c>
      <c r="O1457" t="s">
        <v>85</v>
      </c>
      <c r="Q1457" t="s">
        <v>65</v>
      </c>
      <c r="R1457">
        <v>0</v>
      </c>
    </row>
    <row r="1458" spans="1:18" x14ac:dyDescent="0.3">
      <c r="A1458" t="s">
        <v>3155</v>
      </c>
      <c r="B1458" s="1">
        <v>46159</v>
      </c>
      <c r="C1458" t="s">
        <v>121</v>
      </c>
      <c r="D1458" t="s">
        <v>20</v>
      </c>
      <c r="E1458">
        <v>32</v>
      </c>
      <c r="F1458" t="s">
        <v>44</v>
      </c>
      <c r="G1458" t="s">
        <v>100</v>
      </c>
      <c r="H1458" t="s">
        <v>46</v>
      </c>
      <c r="I1458" t="s">
        <v>79</v>
      </c>
      <c r="J1458" t="s">
        <v>34</v>
      </c>
      <c r="K1458">
        <v>1</v>
      </c>
      <c r="L1458" s="4">
        <v>41900</v>
      </c>
      <c r="M1458">
        <v>25</v>
      </c>
      <c r="N1458" s="4">
        <v>31425</v>
      </c>
      <c r="O1458" t="s">
        <v>73</v>
      </c>
      <c r="P1458">
        <v>2</v>
      </c>
      <c r="Q1458" t="s">
        <v>74</v>
      </c>
      <c r="R1458">
        <v>0</v>
      </c>
    </row>
    <row r="1459" spans="1:18" x14ac:dyDescent="0.3">
      <c r="A1459" t="s">
        <v>3161</v>
      </c>
      <c r="B1459" s="1">
        <v>46008</v>
      </c>
      <c r="C1459" t="s">
        <v>19</v>
      </c>
      <c r="D1459" t="s">
        <v>39</v>
      </c>
      <c r="E1459">
        <v>40</v>
      </c>
      <c r="F1459" t="s">
        <v>77</v>
      </c>
      <c r="G1459" t="s">
        <v>95</v>
      </c>
      <c r="H1459" t="s">
        <v>32</v>
      </c>
      <c r="I1459" t="s">
        <v>53</v>
      </c>
      <c r="J1459" t="s">
        <v>89</v>
      </c>
      <c r="K1459">
        <v>10</v>
      </c>
      <c r="L1459" s="4">
        <v>24200</v>
      </c>
      <c r="M1459">
        <v>20</v>
      </c>
      <c r="N1459" s="4">
        <v>193600</v>
      </c>
      <c r="O1459" t="s">
        <v>25</v>
      </c>
      <c r="P1459">
        <v>3</v>
      </c>
      <c r="Q1459" t="s">
        <v>26</v>
      </c>
      <c r="R1459">
        <v>0</v>
      </c>
    </row>
    <row r="1460" spans="1:18" x14ac:dyDescent="0.3">
      <c r="A1460" t="s">
        <v>3163</v>
      </c>
      <c r="B1460" s="1">
        <v>45955</v>
      </c>
      <c r="C1460" t="s">
        <v>68</v>
      </c>
      <c r="D1460" t="s">
        <v>20</v>
      </c>
      <c r="E1460">
        <v>34</v>
      </c>
      <c r="F1460" t="s">
        <v>51</v>
      </c>
      <c r="G1460" t="s">
        <v>104</v>
      </c>
      <c r="H1460" t="s">
        <v>32</v>
      </c>
      <c r="I1460" t="s">
        <v>33</v>
      </c>
      <c r="J1460" t="s">
        <v>24</v>
      </c>
      <c r="K1460">
        <v>1</v>
      </c>
      <c r="L1460" s="4">
        <v>47300</v>
      </c>
      <c r="M1460">
        <v>5</v>
      </c>
      <c r="N1460" s="4">
        <v>44935</v>
      </c>
      <c r="O1460" t="s">
        <v>85</v>
      </c>
      <c r="P1460">
        <v>3</v>
      </c>
      <c r="Q1460" t="s">
        <v>65</v>
      </c>
      <c r="R1460">
        <v>0</v>
      </c>
    </row>
    <row r="1461" spans="1:18" x14ac:dyDescent="0.3">
      <c r="A1461" t="s">
        <v>3165</v>
      </c>
      <c r="B1461" s="1">
        <v>46145</v>
      </c>
      <c r="C1461" t="s">
        <v>68</v>
      </c>
      <c r="D1461" t="s">
        <v>39</v>
      </c>
      <c r="E1461">
        <v>60</v>
      </c>
      <c r="F1461" t="s">
        <v>51</v>
      </c>
      <c r="G1461" t="s">
        <v>52</v>
      </c>
      <c r="H1461" t="s">
        <v>22</v>
      </c>
      <c r="I1461" t="s">
        <v>84</v>
      </c>
      <c r="J1461" t="s">
        <v>34</v>
      </c>
      <c r="K1461">
        <v>4</v>
      </c>
      <c r="L1461" s="4">
        <v>7900</v>
      </c>
      <c r="M1461">
        <v>10</v>
      </c>
      <c r="N1461" s="4">
        <v>28440</v>
      </c>
      <c r="O1461" t="s">
        <v>73</v>
      </c>
      <c r="P1461">
        <v>5</v>
      </c>
      <c r="Q1461" t="s">
        <v>65</v>
      </c>
      <c r="R1461">
        <v>0</v>
      </c>
    </row>
    <row r="1462" spans="1:18" x14ac:dyDescent="0.3">
      <c r="A1462" t="s">
        <v>3167</v>
      </c>
      <c r="B1462" s="1">
        <v>45956</v>
      </c>
      <c r="C1462" t="s">
        <v>19</v>
      </c>
      <c r="D1462" t="s">
        <v>20</v>
      </c>
      <c r="E1462">
        <v>40</v>
      </c>
      <c r="F1462" t="s">
        <v>30</v>
      </c>
      <c r="G1462" t="s">
        <v>57</v>
      </c>
      <c r="H1462" t="s">
        <v>32</v>
      </c>
      <c r="I1462" t="s">
        <v>53</v>
      </c>
      <c r="J1462" t="s">
        <v>89</v>
      </c>
      <c r="K1462">
        <v>5</v>
      </c>
      <c r="L1462" s="4">
        <v>33000</v>
      </c>
      <c r="M1462">
        <v>25</v>
      </c>
      <c r="N1462" s="4">
        <v>123750</v>
      </c>
      <c r="O1462" t="s">
        <v>25</v>
      </c>
      <c r="P1462">
        <v>1</v>
      </c>
      <c r="Q1462" t="s">
        <v>41</v>
      </c>
      <c r="R1462">
        <v>1</v>
      </c>
    </row>
    <row r="1463" spans="1:18" x14ac:dyDescent="0.3">
      <c r="A1463" t="s">
        <v>3168</v>
      </c>
      <c r="B1463" s="1">
        <v>45844</v>
      </c>
      <c r="C1463" t="s">
        <v>121</v>
      </c>
      <c r="D1463" t="s">
        <v>39</v>
      </c>
      <c r="E1463">
        <v>21</v>
      </c>
      <c r="F1463" t="s">
        <v>51</v>
      </c>
      <c r="G1463" t="s">
        <v>52</v>
      </c>
      <c r="H1463" t="s">
        <v>62</v>
      </c>
      <c r="I1463" t="s">
        <v>140</v>
      </c>
      <c r="J1463" t="s">
        <v>64</v>
      </c>
      <c r="K1463">
        <v>10</v>
      </c>
      <c r="L1463" s="4">
        <v>29900</v>
      </c>
      <c r="M1463">
        <v>15</v>
      </c>
      <c r="N1463" s="4">
        <v>254150</v>
      </c>
      <c r="O1463" t="s">
        <v>25</v>
      </c>
      <c r="Q1463" t="s">
        <v>65</v>
      </c>
      <c r="R1463">
        <v>0</v>
      </c>
    </row>
    <row r="1464" spans="1:18" x14ac:dyDescent="0.3">
      <c r="A1464" t="s">
        <v>3171</v>
      </c>
      <c r="B1464" s="1">
        <v>45843</v>
      </c>
      <c r="C1464" t="s">
        <v>113</v>
      </c>
      <c r="D1464" t="s">
        <v>3292</v>
      </c>
      <c r="E1464">
        <v>59</v>
      </c>
      <c r="F1464" t="s">
        <v>30</v>
      </c>
      <c r="G1464" t="s">
        <v>57</v>
      </c>
      <c r="H1464" t="s">
        <v>46</v>
      </c>
      <c r="I1464" t="s">
        <v>47</v>
      </c>
      <c r="J1464" t="s">
        <v>80</v>
      </c>
      <c r="K1464">
        <v>6</v>
      </c>
      <c r="L1464" s="4">
        <v>18500</v>
      </c>
      <c r="M1464">
        <v>15</v>
      </c>
      <c r="N1464" s="4">
        <v>94350</v>
      </c>
      <c r="O1464" t="s">
        <v>73</v>
      </c>
      <c r="Q1464" t="s">
        <v>41</v>
      </c>
      <c r="R1464">
        <v>1</v>
      </c>
    </row>
    <row r="1465" spans="1:18" x14ac:dyDescent="0.3">
      <c r="A1465" t="s">
        <v>3172</v>
      </c>
      <c r="B1465" s="1">
        <v>45926</v>
      </c>
      <c r="C1465" t="s">
        <v>94</v>
      </c>
      <c r="D1465" t="s">
        <v>3292</v>
      </c>
      <c r="E1465">
        <v>33</v>
      </c>
      <c r="F1465" t="s">
        <v>44</v>
      </c>
      <c r="G1465" t="s">
        <v>100</v>
      </c>
      <c r="H1465" t="s">
        <v>22</v>
      </c>
      <c r="I1465" t="s">
        <v>84</v>
      </c>
      <c r="J1465" t="s">
        <v>24</v>
      </c>
      <c r="K1465">
        <v>6</v>
      </c>
      <c r="L1465" s="4">
        <v>4700</v>
      </c>
      <c r="M1465">
        <v>20</v>
      </c>
      <c r="N1465" s="4">
        <v>22560</v>
      </c>
      <c r="O1465" t="s">
        <v>73</v>
      </c>
      <c r="Q1465" t="s">
        <v>74</v>
      </c>
      <c r="R1465">
        <v>0</v>
      </c>
    </row>
    <row r="1466" spans="1:18" x14ac:dyDescent="0.3">
      <c r="A1466" t="s">
        <v>3173</v>
      </c>
      <c r="B1466" s="1">
        <v>45951</v>
      </c>
      <c r="C1466" t="s">
        <v>29</v>
      </c>
      <c r="D1466" t="s">
        <v>39</v>
      </c>
      <c r="E1466">
        <v>31</v>
      </c>
      <c r="F1466" t="s">
        <v>77</v>
      </c>
      <c r="G1466" t="s">
        <v>78</v>
      </c>
      <c r="H1466" t="s">
        <v>22</v>
      </c>
      <c r="I1466" t="s">
        <v>84</v>
      </c>
      <c r="J1466" t="s">
        <v>80</v>
      </c>
      <c r="K1466">
        <v>4</v>
      </c>
      <c r="L1466" s="4">
        <v>46500</v>
      </c>
      <c r="M1466">
        <v>0</v>
      </c>
      <c r="N1466" s="4">
        <v>186000</v>
      </c>
      <c r="O1466" t="s">
        <v>73</v>
      </c>
      <c r="Q1466" t="s">
        <v>41</v>
      </c>
      <c r="R1466">
        <v>1</v>
      </c>
    </row>
    <row r="1467" spans="1:18" x14ac:dyDescent="0.3">
      <c r="A1467" t="s">
        <v>3174</v>
      </c>
      <c r="B1467" s="1">
        <v>46169</v>
      </c>
      <c r="C1467" t="s">
        <v>121</v>
      </c>
      <c r="D1467" t="s">
        <v>20</v>
      </c>
      <c r="E1467">
        <v>18</v>
      </c>
      <c r="F1467" t="s">
        <v>61</v>
      </c>
      <c r="G1467" t="s">
        <v>61</v>
      </c>
      <c r="H1467" t="s">
        <v>32</v>
      </c>
      <c r="I1467" t="s">
        <v>33</v>
      </c>
      <c r="J1467" t="s">
        <v>24</v>
      </c>
      <c r="K1467">
        <v>6</v>
      </c>
      <c r="L1467" s="4">
        <v>11200</v>
      </c>
      <c r="M1467">
        <v>5</v>
      </c>
      <c r="N1467" s="4">
        <v>63840</v>
      </c>
      <c r="O1467" t="s">
        <v>3293</v>
      </c>
      <c r="Q1467" t="s">
        <v>41</v>
      </c>
      <c r="R1467">
        <v>1</v>
      </c>
    </row>
    <row r="1468" spans="1:18" x14ac:dyDescent="0.3">
      <c r="A1468" t="s">
        <v>3178</v>
      </c>
      <c r="B1468" s="1">
        <v>45786</v>
      </c>
      <c r="C1468" t="s">
        <v>68</v>
      </c>
      <c r="D1468" t="s">
        <v>3292</v>
      </c>
      <c r="E1468">
        <v>30</v>
      </c>
      <c r="F1468" t="s">
        <v>77</v>
      </c>
      <c r="G1468" t="s">
        <v>95</v>
      </c>
      <c r="H1468" t="s">
        <v>62</v>
      </c>
      <c r="I1468" t="s">
        <v>140</v>
      </c>
      <c r="J1468" t="s">
        <v>89</v>
      </c>
      <c r="K1468">
        <v>1</v>
      </c>
      <c r="L1468" s="4">
        <v>40300</v>
      </c>
      <c r="M1468">
        <v>25</v>
      </c>
      <c r="N1468" s="4">
        <v>30225</v>
      </c>
      <c r="O1468" t="s">
        <v>85</v>
      </c>
      <c r="Q1468" t="s">
        <v>65</v>
      </c>
      <c r="R1468">
        <v>0</v>
      </c>
    </row>
    <row r="1469" spans="1:18" x14ac:dyDescent="0.3">
      <c r="A1469" t="s">
        <v>3180</v>
      </c>
      <c r="B1469" s="1">
        <v>45842</v>
      </c>
      <c r="C1469" t="s">
        <v>19</v>
      </c>
      <c r="D1469" t="s">
        <v>20</v>
      </c>
      <c r="E1469">
        <v>37</v>
      </c>
      <c r="F1469" t="s">
        <v>77</v>
      </c>
      <c r="G1469" t="s">
        <v>95</v>
      </c>
      <c r="H1469" t="s">
        <v>32</v>
      </c>
      <c r="I1469" t="s">
        <v>33</v>
      </c>
      <c r="J1469" t="s">
        <v>24</v>
      </c>
      <c r="K1469">
        <v>3</v>
      </c>
      <c r="L1469" s="4">
        <v>32200</v>
      </c>
      <c r="M1469">
        <v>0</v>
      </c>
      <c r="N1469" s="4">
        <v>96600</v>
      </c>
      <c r="O1469" t="s">
        <v>85</v>
      </c>
      <c r="Q1469" t="s">
        <v>26</v>
      </c>
      <c r="R1469">
        <v>0</v>
      </c>
    </row>
    <row r="1470" spans="1:18" x14ac:dyDescent="0.3">
      <c r="A1470" t="s">
        <v>3183</v>
      </c>
      <c r="B1470" s="1">
        <v>45865</v>
      </c>
      <c r="C1470" t="s">
        <v>38</v>
      </c>
      <c r="D1470" t="s">
        <v>3292</v>
      </c>
      <c r="E1470">
        <v>22</v>
      </c>
      <c r="F1470" t="s">
        <v>51</v>
      </c>
      <c r="G1470" t="s">
        <v>104</v>
      </c>
      <c r="H1470" t="s">
        <v>32</v>
      </c>
      <c r="I1470" t="s">
        <v>53</v>
      </c>
      <c r="J1470" t="s">
        <v>64</v>
      </c>
      <c r="K1470">
        <v>1</v>
      </c>
      <c r="L1470" s="4">
        <v>36000</v>
      </c>
      <c r="M1470">
        <v>0</v>
      </c>
      <c r="N1470" s="4">
        <v>36000</v>
      </c>
      <c r="O1470" t="s">
        <v>73</v>
      </c>
      <c r="P1470">
        <v>2</v>
      </c>
      <c r="Q1470" t="s">
        <v>41</v>
      </c>
      <c r="R1470">
        <v>1</v>
      </c>
    </row>
    <row r="1471" spans="1:18" x14ac:dyDescent="0.3">
      <c r="A1471" t="s">
        <v>3184</v>
      </c>
      <c r="B1471" s="1">
        <v>45691</v>
      </c>
      <c r="C1471" t="s">
        <v>68</v>
      </c>
      <c r="D1471" t="s">
        <v>39</v>
      </c>
      <c r="E1471">
        <v>34</v>
      </c>
      <c r="F1471" t="s">
        <v>44</v>
      </c>
      <c r="G1471" t="s">
        <v>100</v>
      </c>
      <c r="H1471" t="s">
        <v>62</v>
      </c>
      <c r="I1471" t="s">
        <v>63</v>
      </c>
      <c r="J1471" t="s">
        <v>89</v>
      </c>
      <c r="K1471">
        <v>5</v>
      </c>
      <c r="L1471" s="4">
        <v>12100</v>
      </c>
      <c r="M1471">
        <v>5</v>
      </c>
      <c r="N1471" s="4">
        <v>57475</v>
      </c>
      <c r="O1471" t="s">
        <v>73</v>
      </c>
      <c r="P1471">
        <v>1</v>
      </c>
      <c r="Q1471" t="s">
        <v>26</v>
      </c>
      <c r="R1471">
        <v>0</v>
      </c>
    </row>
    <row r="1472" spans="1:18" x14ac:dyDescent="0.3">
      <c r="A1472" t="s">
        <v>3186</v>
      </c>
      <c r="B1472" s="1">
        <v>45974</v>
      </c>
      <c r="C1472" t="s">
        <v>38</v>
      </c>
      <c r="D1472" t="s">
        <v>20</v>
      </c>
      <c r="E1472">
        <v>22</v>
      </c>
      <c r="F1472" t="s">
        <v>77</v>
      </c>
      <c r="G1472" t="s">
        <v>95</v>
      </c>
      <c r="H1472" t="s">
        <v>22</v>
      </c>
      <c r="I1472" t="s">
        <v>23</v>
      </c>
      <c r="J1472" t="s">
        <v>80</v>
      </c>
      <c r="K1472">
        <v>5</v>
      </c>
      <c r="L1472" s="4">
        <v>11000</v>
      </c>
      <c r="M1472">
        <v>20</v>
      </c>
      <c r="N1472" s="4">
        <v>44000</v>
      </c>
      <c r="O1472" t="s">
        <v>85</v>
      </c>
      <c r="P1472">
        <v>3</v>
      </c>
      <c r="Q1472" t="s">
        <v>41</v>
      </c>
      <c r="R1472">
        <v>1</v>
      </c>
    </row>
    <row r="1473" spans="1:18" x14ac:dyDescent="0.3">
      <c r="A1473" t="s">
        <v>3187</v>
      </c>
      <c r="B1473" s="1">
        <v>45930</v>
      </c>
      <c r="C1473" t="s">
        <v>29</v>
      </c>
      <c r="D1473" t="s">
        <v>3292</v>
      </c>
      <c r="E1473">
        <v>19</v>
      </c>
      <c r="F1473" t="s">
        <v>21</v>
      </c>
      <c r="G1473" t="s">
        <v>21</v>
      </c>
      <c r="H1473" t="s">
        <v>62</v>
      </c>
      <c r="I1473" t="s">
        <v>140</v>
      </c>
      <c r="J1473" t="s">
        <v>64</v>
      </c>
      <c r="K1473">
        <v>6</v>
      </c>
      <c r="L1473" s="4">
        <v>7700</v>
      </c>
      <c r="M1473">
        <v>10</v>
      </c>
      <c r="N1473" s="4">
        <v>41580</v>
      </c>
      <c r="O1473" t="s">
        <v>85</v>
      </c>
      <c r="P1473">
        <v>1</v>
      </c>
      <c r="Q1473" t="s">
        <v>65</v>
      </c>
      <c r="R1473">
        <v>0</v>
      </c>
    </row>
    <row r="1474" spans="1:18" x14ac:dyDescent="0.3">
      <c r="A1474" t="s">
        <v>3189</v>
      </c>
      <c r="B1474" s="1">
        <v>45934</v>
      </c>
      <c r="C1474" t="s">
        <v>88</v>
      </c>
      <c r="D1474" t="s">
        <v>39</v>
      </c>
      <c r="E1474">
        <v>58</v>
      </c>
      <c r="F1474" t="s">
        <v>77</v>
      </c>
      <c r="G1474" t="s">
        <v>95</v>
      </c>
      <c r="H1474" t="s">
        <v>32</v>
      </c>
      <c r="I1474" t="s">
        <v>53</v>
      </c>
      <c r="J1474" t="s">
        <v>80</v>
      </c>
      <c r="K1474">
        <v>7</v>
      </c>
      <c r="L1474" s="4">
        <v>15000</v>
      </c>
      <c r="M1474">
        <v>15</v>
      </c>
      <c r="N1474" s="4">
        <v>89250</v>
      </c>
      <c r="O1474" t="s">
        <v>73</v>
      </c>
      <c r="P1474">
        <v>1</v>
      </c>
      <c r="Q1474" t="s">
        <v>65</v>
      </c>
      <c r="R1474">
        <v>0</v>
      </c>
    </row>
    <row r="1475" spans="1:18" x14ac:dyDescent="0.3">
      <c r="A1475" t="s">
        <v>3190</v>
      </c>
      <c r="B1475" s="1">
        <v>45948</v>
      </c>
      <c r="C1475" t="s">
        <v>60</v>
      </c>
      <c r="D1475" t="s">
        <v>39</v>
      </c>
      <c r="E1475">
        <v>31</v>
      </c>
      <c r="F1475" t="s">
        <v>21</v>
      </c>
      <c r="G1475" t="s">
        <v>21</v>
      </c>
      <c r="H1475" t="s">
        <v>32</v>
      </c>
      <c r="I1475" t="s">
        <v>53</v>
      </c>
      <c r="J1475" t="s">
        <v>34</v>
      </c>
      <c r="K1475">
        <v>2</v>
      </c>
      <c r="L1475" s="4">
        <v>49200</v>
      </c>
      <c r="M1475">
        <v>10</v>
      </c>
      <c r="N1475" s="4">
        <v>88560</v>
      </c>
      <c r="O1475" t="s">
        <v>85</v>
      </c>
      <c r="P1475">
        <v>4</v>
      </c>
      <c r="Q1475" t="s">
        <v>65</v>
      </c>
      <c r="R1475">
        <v>0</v>
      </c>
    </row>
    <row r="1476" spans="1:18" x14ac:dyDescent="0.3">
      <c r="A1476" t="s">
        <v>3191</v>
      </c>
      <c r="B1476" s="1">
        <v>46035</v>
      </c>
      <c r="C1476" t="s">
        <v>19</v>
      </c>
      <c r="D1476" t="s">
        <v>3292</v>
      </c>
      <c r="E1476">
        <v>44</v>
      </c>
      <c r="F1476" t="s">
        <v>61</v>
      </c>
      <c r="G1476" t="s">
        <v>61</v>
      </c>
      <c r="H1476" t="s">
        <v>62</v>
      </c>
      <c r="I1476" t="s">
        <v>140</v>
      </c>
      <c r="J1476" t="s">
        <v>80</v>
      </c>
      <c r="K1476">
        <v>5</v>
      </c>
      <c r="L1476" s="4">
        <v>32200</v>
      </c>
      <c r="M1476">
        <v>25</v>
      </c>
      <c r="N1476" s="4">
        <v>120750</v>
      </c>
      <c r="O1476" t="s">
        <v>85</v>
      </c>
      <c r="P1476">
        <v>1</v>
      </c>
      <c r="Q1476" t="s">
        <v>65</v>
      </c>
      <c r="R1476">
        <v>0</v>
      </c>
    </row>
    <row r="1477" spans="1:18" x14ac:dyDescent="0.3">
      <c r="A1477" t="s">
        <v>3194</v>
      </c>
      <c r="B1477" s="1">
        <v>45728</v>
      </c>
      <c r="C1477" t="s">
        <v>94</v>
      </c>
      <c r="D1477" t="s">
        <v>39</v>
      </c>
      <c r="E1477">
        <v>33</v>
      </c>
      <c r="F1477" t="s">
        <v>51</v>
      </c>
      <c r="G1477" t="s">
        <v>104</v>
      </c>
      <c r="H1477" t="s">
        <v>22</v>
      </c>
      <c r="I1477" t="s">
        <v>84</v>
      </c>
      <c r="J1477" t="s">
        <v>89</v>
      </c>
      <c r="K1477">
        <v>9</v>
      </c>
      <c r="L1477" s="4">
        <v>24300</v>
      </c>
      <c r="M1477">
        <v>10</v>
      </c>
      <c r="N1477" s="4">
        <v>196830</v>
      </c>
      <c r="O1477" t="s">
        <v>25</v>
      </c>
      <c r="Q1477" t="s">
        <v>41</v>
      </c>
      <c r="R1477">
        <v>1</v>
      </c>
    </row>
    <row r="1478" spans="1:18" x14ac:dyDescent="0.3">
      <c r="A1478" t="s">
        <v>3195</v>
      </c>
      <c r="B1478" s="1">
        <v>46026</v>
      </c>
      <c r="C1478" t="s">
        <v>88</v>
      </c>
      <c r="D1478" t="s">
        <v>3292</v>
      </c>
      <c r="E1478">
        <v>26</v>
      </c>
      <c r="F1478" t="s">
        <v>44</v>
      </c>
      <c r="G1478" t="s">
        <v>100</v>
      </c>
      <c r="H1478" t="s">
        <v>32</v>
      </c>
      <c r="I1478" t="s">
        <v>53</v>
      </c>
      <c r="J1478" t="s">
        <v>34</v>
      </c>
      <c r="K1478">
        <v>3</v>
      </c>
      <c r="L1478" s="4">
        <v>41600</v>
      </c>
      <c r="M1478">
        <v>0</v>
      </c>
      <c r="N1478" s="4">
        <v>124800</v>
      </c>
      <c r="O1478" t="s">
        <v>25</v>
      </c>
      <c r="P1478">
        <v>2</v>
      </c>
      <c r="Q1478" t="s">
        <v>65</v>
      </c>
      <c r="R1478">
        <v>0</v>
      </c>
    </row>
    <row r="1479" spans="1:18" x14ac:dyDescent="0.3">
      <c r="A1479" t="s">
        <v>3196</v>
      </c>
      <c r="B1479" s="1">
        <v>46002</v>
      </c>
      <c r="C1479" t="s">
        <v>60</v>
      </c>
      <c r="D1479" t="s">
        <v>3292</v>
      </c>
      <c r="E1479">
        <v>46</v>
      </c>
      <c r="F1479" t="s">
        <v>30</v>
      </c>
      <c r="G1479" t="s">
        <v>31</v>
      </c>
      <c r="H1479" t="s">
        <v>62</v>
      </c>
      <c r="I1479" t="s">
        <v>63</v>
      </c>
      <c r="J1479" t="s">
        <v>64</v>
      </c>
      <c r="K1479">
        <v>6</v>
      </c>
      <c r="L1479" s="4">
        <v>16800</v>
      </c>
      <c r="M1479">
        <v>0</v>
      </c>
      <c r="N1479" s="4">
        <v>100800</v>
      </c>
      <c r="O1479" t="s">
        <v>25</v>
      </c>
      <c r="P1479">
        <v>5</v>
      </c>
      <c r="Q1479" t="s">
        <v>41</v>
      </c>
      <c r="R1479">
        <v>1</v>
      </c>
    </row>
    <row r="1480" spans="1:18" x14ac:dyDescent="0.3">
      <c r="A1480" t="s">
        <v>3198</v>
      </c>
      <c r="B1480" s="1">
        <v>46176</v>
      </c>
      <c r="C1480" t="s">
        <v>29</v>
      </c>
      <c r="D1480" t="s">
        <v>39</v>
      </c>
      <c r="E1480">
        <v>32</v>
      </c>
      <c r="F1480" t="s">
        <v>30</v>
      </c>
      <c r="G1480" t="s">
        <v>57</v>
      </c>
      <c r="H1480" t="s">
        <v>22</v>
      </c>
      <c r="I1480" t="s">
        <v>84</v>
      </c>
      <c r="J1480" t="s">
        <v>64</v>
      </c>
      <c r="K1480">
        <v>8</v>
      </c>
      <c r="L1480" s="4">
        <v>32900</v>
      </c>
      <c r="M1480">
        <v>20</v>
      </c>
      <c r="N1480" s="4">
        <v>210560</v>
      </c>
      <c r="O1480" t="s">
        <v>85</v>
      </c>
      <c r="Q1480" t="s">
        <v>26</v>
      </c>
      <c r="R1480">
        <v>0</v>
      </c>
    </row>
    <row r="1481" spans="1:18" x14ac:dyDescent="0.3">
      <c r="A1481" t="s">
        <v>3201</v>
      </c>
      <c r="B1481" s="1">
        <v>45864</v>
      </c>
      <c r="C1481" t="s">
        <v>71</v>
      </c>
      <c r="D1481" t="s">
        <v>20</v>
      </c>
      <c r="E1481">
        <v>53</v>
      </c>
      <c r="F1481" t="s">
        <v>77</v>
      </c>
      <c r="G1481" t="s">
        <v>78</v>
      </c>
      <c r="H1481" t="s">
        <v>32</v>
      </c>
      <c r="I1481" t="s">
        <v>53</v>
      </c>
      <c r="J1481" t="s">
        <v>34</v>
      </c>
      <c r="K1481">
        <v>5</v>
      </c>
      <c r="L1481" s="4">
        <v>4800</v>
      </c>
      <c r="M1481">
        <v>5</v>
      </c>
      <c r="N1481" s="4">
        <v>22800</v>
      </c>
      <c r="O1481" t="s">
        <v>73</v>
      </c>
      <c r="Q1481" t="s">
        <v>26</v>
      </c>
      <c r="R1481">
        <v>0</v>
      </c>
    </row>
    <row r="1482" spans="1:18" x14ac:dyDescent="0.3">
      <c r="A1482" t="s">
        <v>3203</v>
      </c>
      <c r="B1482" s="1">
        <v>45806</v>
      </c>
      <c r="C1482" t="s">
        <v>94</v>
      </c>
      <c r="D1482" t="s">
        <v>20</v>
      </c>
      <c r="E1482">
        <v>48</v>
      </c>
      <c r="F1482" t="s">
        <v>21</v>
      </c>
      <c r="G1482" t="s">
        <v>21</v>
      </c>
      <c r="H1482" t="s">
        <v>32</v>
      </c>
      <c r="I1482" t="s">
        <v>53</v>
      </c>
      <c r="J1482" t="s">
        <v>34</v>
      </c>
      <c r="K1482">
        <v>2</v>
      </c>
      <c r="L1482" s="4">
        <v>39900</v>
      </c>
      <c r="M1482">
        <v>10</v>
      </c>
      <c r="N1482" s="4">
        <v>71820</v>
      </c>
      <c r="O1482" t="s">
        <v>25</v>
      </c>
      <c r="P1482">
        <v>1</v>
      </c>
      <c r="Q1482" t="s">
        <v>65</v>
      </c>
      <c r="R1482">
        <v>0</v>
      </c>
    </row>
    <row r="1483" spans="1:18" x14ac:dyDescent="0.3">
      <c r="A1483" t="s">
        <v>3204</v>
      </c>
      <c r="B1483" s="1">
        <v>45745</v>
      </c>
      <c r="C1483" t="s">
        <v>19</v>
      </c>
      <c r="D1483" t="s">
        <v>20</v>
      </c>
      <c r="E1483">
        <v>63</v>
      </c>
      <c r="F1483" t="s">
        <v>30</v>
      </c>
      <c r="G1483" t="s">
        <v>57</v>
      </c>
      <c r="H1483" t="s">
        <v>32</v>
      </c>
      <c r="I1483" t="s">
        <v>53</v>
      </c>
      <c r="J1483" t="s">
        <v>80</v>
      </c>
      <c r="K1483">
        <v>6</v>
      </c>
      <c r="L1483" s="4">
        <v>10200</v>
      </c>
      <c r="M1483">
        <v>15</v>
      </c>
      <c r="N1483" s="4">
        <v>52020</v>
      </c>
      <c r="O1483" t="s">
        <v>25</v>
      </c>
      <c r="P1483">
        <v>5</v>
      </c>
      <c r="Q1483" t="s">
        <v>65</v>
      </c>
      <c r="R1483">
        <v>0</v>
      </c>
    </row>
    <row r="1484" spans="1:18" x14ac:dyDescent="0.3">
      <c r="A1484" t="s">
        <v>3207</v>
      </c>
      <c r="B1484" s="1">
        <v>45972</v>
      </c>
      <c r="C1484" t="s">
        <v>121</v>
      </c>
      <c r="D1484" t="s">
        <v>39</v>
      </c>
      <c r="E1484">
        <v>48</v>
      </c>
      <c r="F1484" t="s">
        <v>51</v>
      </c>
      <c r="G1484" t="s">
        <v>52</v>
      </c>
      <c r="H1484" t="s">
        <v>46</v>
      </c>
      <c r="I1484" t="s">
        <v>47</v>
      </c>
      <c r="J1484" t="s">
        <v>64</v>
      </c>
      <c r="K1484">
        <v>10</v>
      </c>
      <c r="L1484" s="4">
        <v>19400</v>
      </c>
      <c r="M1484">
        <v>0</v>
      </c>
      <c r="N1484" s="4">
        <v>194000</v>
      </c>
      <c r="O1484" t="s">
        <v>85</v>
      </c>
      <c r="P1484">
        <v>1</v>
      </c>
      <c r="Q1484" t="s">
        <v>74</v>
      </c>
      <c r="R1484">
        <v>0</v>
      </c>
    </row>
    <row r="1485" spans="1:18" x14ac:dyDescent="0.3">
      <c r="A1485" t="s">
        <v>3208</v>
      </c>
      <c r="B1485" s="1">
        <v>46109</v>
      </c>
      <c r="C1485" t="s">
        <v>38</v>
      </c>
      <c r="D1485" t="s">
        <v>3292</v>
      </c>
      <c r="E1485">
        <v>27</v>
      </c>
      <c r="F1485" t="s">
        <v>61</v>
      </c>
      <c r="G1485" t="s">
        <v>61</v>
      </c>
      <c r="H1485" t="s">
        <v>32</v>
      </c>
      <c r="I1485" t="s">
        <v>53</v>
      </c>
      <c r="J1485" t="s">
        <v>24</v>
      </c>
      <c r="K1485">
        <v>7</v>
      </c>
      <c r="L1485" s="4">
        <v>31000</v>
      </c>
      <c r="M1485">
        <v>0</v>
      </c>
      <c r="N1485" s="4">
        <v>217000</v>
      </c>
      <c r="O1485" t="s">
        <v>85</v>
      </c>
      <c r="Q1485" t="s">
        <v>26</v>
      </c>
      <c r="R1485">
        <v>0</v>
      </c>
    </row>
    <row r="1486" spans="1:18" x14ac:dyDescent="0.3">
      <c r="A1486" t="s">
        <v>3210</v>
      </c>
      <c r="B1486" s="1">
        <v>45892</v>
      </c>
      <c r="C1486" t="s">
        <v>71</v>
      </c>
      <c r="D1486" t="s">
        <v>20</v>
      </c>
      <c r="E1486">
        <v>48</v>
      </c>
      <c r="F1486" t="s">
        <v>44</v>
      </c>
      <c r="G1486" t="s">
        <v>100</v>
      </c>
      <c r="H1486" t="s">
        <v>22</v>
      </c>
      <c r="I1486" t="s">
        <v>84</v>
      </c>
      <c r="J1486" t="s">
        <v>34</v>
      </c>
      <c r="K1486">
        <v>10</v>
      </c>
      <c r="L1486" s="4">
        <v>25100</v>
      </c>
      <c r="M1486">
        <v>15</v>
      </c>
      <c r="N1486" s="4">
        <v>213350</v>
      </c>
      <c r="O1486" t="s">
        <v>85</v>
      </c>
      <c r="Q1486" t="s">
        <v>65</v>
      </c>
      <c r="R1486">
        <v>0</v>
      </c>
    </row>
    <row r="1487" spans="1:18" x14ac:dyDescent="0.3">
      <c r="A1487" t="s">
        <v>3212</v>
      </c>
      <c r="B1487" s="1">
        <v>45941</v>
      </c>
      <c r="C1487" t="s">
        <v>60</v>
      </c>
      <c r="D1487" t="s">
        <v>39</v>
      </c>
      <c r="E1487">
        <v>46</v>
      </c>
      <c r="F1487" t="s">
        <v>44</v>
      </c>
      <c r="G1487" t="s">
        <v>45</v>
      </c>
      <c r="H1487" t="s">
        <v>46</v>
      </c>
      <c r="I1487" t="s">
        <v>47</v>
      </c>
      <c r="J1487" t="s">
        <v>24</v>
      </c>
      <c r="K1487">
        <v>4</v>
      </c>
      <c r="L1487" s="4">
        <v>8500</v>
      </c>
      <c r="M1487">
        <v>15</v>
      </c>
      <c r="N1487" s="4">
        <v>28900</v>
      </c>
      <c r="O1487" t="s">
        <v>85</v>
      </c>
      <c r="Q1487" t="s">
        <v>26</v>
      </c>
      <c r="R1487">
        <v>0</v>
      </c>
    </row>
    <row r="1488" spans="1:18" x14ac:dyDescent="0.3">
      <c r="A1488" t="s">
        <v>3215</v>
      </c>
      <c r="B1488" s="1">
        <v>45676</v>
      </c>
      <c r="C1488" t="s">
        <v>71</v>
      </c>
      <c r="D1488" t="s">
        <v>39</v>
      </c>
      <c r="E1488">
        <v>23</v>
      </c>
      <c r="F1488" t="s">
        <v>61</v>
      </c>
      <c r="G1488" t="s">
        <v>61</v>
      </c>
      <c r="H1488" t="s">
        <v>46</v>
      </c>
      <c r="I1488" t="s">
        <v>47</v>
      </c>
      <c r="J1488" t="s">
        <v>72</v>
      </c>
      <c r="K1488">
        <v>9</v>
      </c>
      <c r="L1488" s="4">
        <v>16600</v>
      </c>
      <c r="M1488">
        <v>20</v>
      </c>
      <c r="N1488" s="4">
        <v>119520</v>
      </c>
      <c r="O1488" t="s">
        <v>25</v>
      </c>
      <c r="Q1488" t="s">
        <v>26</v>
      </c>
      <c r="R1488">
        <v>0</v>
      </c>
    </row>
    <row r="1489" spans="1:18" x14ac:dyDescent="0.3">
      <c r="A1489" t="s">
        <v>3218</v>
      </c>
      <c r="B1489" s="1">
        <v>45937</v>
      </c>
      <c r="C1489" t="s">
        <v>94</v>
      </c>
      <c r="D1489" t="s">
        <v>20</v>
      </c>
      <c r="E1489">
        <v>39</v>
      </c>
      <c r="F1489" t="s">
        <v>21</v>
      </c>
      <c r="G1489" t="s">
        <v>21</v>
      </c>
      <c r="H1489" t="s">
        <v>22</v>
      </c>
      <c r="I1489" t="s">
        <v>23</v>
      </c>
      <c r="J1489" t="s">
        <v>72</v>
      </c>
      <c r="K1489">
        <v>2</v>
      </c>
      <c r="L1489" s="4">
        <v>22600</v>
      </c>
      <c r="M1489">
        <v>20</v>
      </c>
      <c r="N1489" s="4">
        <v>36160</v>
      </c>
      <c r="O1489" t="s">
        <v>25</v>
      </c>
      <c r="Q1489" t="s">
        <v>65</v>
      </c>
      <c r="R1489">
        <v>0</v>
      </c>
    </row>
    <row r="1490" spans="1:18" x14ac:dyDescent="0.3">
      <c r="A1490" t="s">
        <v>3220</v>
      </c>
      <c r="B1490" s="1">
        <v>46092</v>
      </c>
      <c r="C1490" t="s">
        <v>121</v>
      </c>
      <c r="D1490" t="s">
        <v>39</v>
      </c>
      <c r="E1490">
        <v>43</v>
      </c>
      <c r="F1490" t="s">
        <v>44</v>
      </c>
      <c r="G1490" t="s">
        <v>45</v>
      </c>
      <c r="H1490" t="s">
        <v>22</v>
      </c>
      <c r="I1490" t="s">
        <v>84</v>
      </c>
      <c r="J1490" t="s">
        <v>34</v>
      </c>
      <c r="K1490">
        <v>10</v>
      </c>
      <c r="L1490" s="4">
        <v>35500</v>
      </c>
      <c r="M1490">
        <v>10</v>
      </c>
      <c r="N1490" s="4">
        <v>319500</v>
      </c>
      <c r="O1490" t="s">
        <v>85</v>
      </c>
      <c r="Q1490" t="s">
        <v>41</v>
      </c>
      <c r="R1490">
        <v>1</v>
      </c>
    </row>
    <row r="1491" spans="1:18" x14ac:dyDescent="0.3">
      <c r="A1491" t="s">
        <v>3222</v>
      </c>
      <c r="B1491" s="1">
        <v>46113</v>
      </c>
      <c r="C1491" t="s">
        <v>88</v>
      </c>
      <c r="D1491" t="s">
        <v>20</v>
      </c>
      <c r="E1491">
        <v>49</v>
      </c>
      <c r="F1491" t="s">
        <v>21</v>
      </c>
      <c r="G1491" t="s">
        <v>21</v>
      </c>
      <c r="H1491" t="s">
        <v>46</v>
      </c>
      <c r="I1491" t="s">
        <v>47</v>
      </c>
      <c r="J1491" t="s">
        <v>72</v>
      </c>
      <c r="K1491">
        <v>1</v>
      </c>
      <c r="L1491" s="4">
        <v>2700</v>
      </c>
      <c r="M1491">
        <v>0</v>
      </c>
      <c r="N1491" s="4">
        <v>2700</v>
      </c>
      <c r="O1491" t="s">
        <v>25</v>
      </c>
      <c r="P1491">
        <v>2</v>
      </c>
      <c r="Q1491" t="s">
        <v>65</v>
      </c>
      <c r="R1491">
        <v>0</v>
      </c>
    </row>
    <row r="1492" spans="1:18" x14ac:dyDescent="0.3">
      <c r="A1492" t="s">
        <v>3224</v>
      </c>
      <c r="B1492" s="1">
        <v>45834</v>
      </c>
      <c r="C1492" t="s">
        <v>60</v>
      </c>
      <c r="D1492" t="s">
        <v>20</v>
      </c>
      <c r="E1492">
        <v>31</v>
      </c>
      <c r="F1492" t="s">
        <v>44</v>
      </c>
      <c r="G1492" t="s">
        <v>100</v>
      </c>
      <c r="H1492" t="s">
        <v>32</v>
      </c>
      <c r="I1492" t="s">
        <v>33</v>
      </c>
      <c r="J1492" t="s">
        <v>24</v>
      </c>
      <c r="K1492">
        <v>10</v>
      </c>
      <c r="L1492" s="4">
        <v>9100</v>
      </c>
      <c r="M1492">
        <v>25</v>
      </c>
      <c r="N1492" s="4">
        <v>68250</v>
      </c>
      <c r="O1492" t="s">
        <v>25</v>
      </c>
      <c r="P1492">
        <v>3</v>
      </c>
      <c r="Q1492" t="s">
        <v>65</v>
      </c>
      <c r="R1492">
        <v>0</v>
      </c>
    </row>
    <row r="1493" spans="1:18" x14ac:dyDescent="0.3">
      <c r="A1493" t="s">
        <v>3226</v>
      </c>
      <c r="B1493" s="1">
        <v>46055</v>
      </c>
      <c r="C1493" t="s">
        <v>68</v>
      </c>
      <c r="D1493" t="s">
        <v>39</v>
      </c>
      <c r="E1493">
        <v>42</v>
      </c>
      <c r="F1493" t="s">
        <v>77</v>
      </c>
      <c r="G1493" t="s">
        <v>95</v>
      </c>
      <c r="H1493" t="s">
        <v>22</v>
      </c>
      <c r="I1493" t="s">
        <v>23</v>
      </c>
      <c r="J1493" t="s">
        <v>24</v>
      </c>
      <c r="K1493">
        <v>8</v>
      </c>
      <c r="L1493" s="4">
        <v>42000</v>
      </c>
      <c r="M1493">
        <v>0</v>
      </c>
      <c r="N1493" s="4">
        <v>336000</v>
      </c>
      <c r="O1493" t="s">
        <v>25</v>
      </c>
      <c r="P1493">
        <v>4</v>
      </c>
      <c r="Q1493" t="s">
        <v>74</v>
      </c>
      <c r="R1493">
        <v>0</v>
      </c>
    </row>
    <row r="1494" spans="1:18" x14ac:dyDescent="0.3">
      <c r="A1494" t="s">
        <v>3227</v>
      </c>
      <c r="B1494" s="1">
        <v>46041</v>
      </c>
      <c r="C1494" t="s">
        <v>19</v>
      </c>
      <c r="D1494" t="s">
        <v>39</v>
      </c>
      <c r="E1494">
        <v>47</v>
      </c>
      <c r="F1494" t="s">
        <v>77</v>
      </c>
      <c r="G1494" t="s">
        <v>78</v>
      </c>
      <c r="H1494" t="s">
        <v>46</v>
      </c>
      <c r="I1494" t="s">
        <v>47</v>
      </c>
      <c r="J1494" t="s">
        <v>34</v>
      </c>
      <c r="K1494">
        <v>4</v>
      </c>
      <c r="L1494" s="4">
        <v>27300</v>
      </c>
      <c r="M1494">
        <v>0</v>
      </c>
      <c r="N1494" s="4">
        <v>109200</v>
      </c>
      <c r="O1494" t="s">
        <v>25</v>
      </c>
      <c r="Q1494" t="s">
        <v>74</v>
      </c>
      <c r="R1494">
        <v>0</v>
      </c>
    </row>
    <row r="1495" spans="1:18" x14ac:dyDescent="0.3">
      <c r="A1495" t="s">
        <v>3229</v>
      </c>
      <c r="B1495" s="1">
        <v>45974</v>
      </c>
      <c r="C1495" t="s">
        <v>71</v>
      </c>
      <c r="D1495" t="s">
        <v>3292</v>
      </c>
      <c r="E1495">
        <v>41</v>
      </c>
      <c r="F1495" t="s">
        <v>21</v>
      </c>
      <c r="G1495" t="s">
        <v>21</v>
      </c>
      <c r="H1495" t="s">
        <v>22</v>
      </c>
      <c r="I1495" t="s">
        <v>23</v>
      </c>
      <c r="J1495" t="s">
        <v>34</v>
      </c>
      <c r="K1495">
        <v>7</v>
      </c>
      <c r="L1495" s="4">
        <v>47300</v>
      </c>
      <c r="M1495">
        <v>25</v>
      </c>
      <c r="N1495" s="4">
        <v>248325</v>
      </c>
      <c r="O1495" t="s">
        <v>85</v>
      </c>
      <c r="P1495">
        <v>1</v>
      </c>
      <c r="Q1495" t="s">
        <v>41</v>
      </c>
      <c r="R1495">
        <v>1</v>
      </c>
    </row>
    <row r="1496" spans="1:18" x14ac:dyDescent="0.3">
      <c r="A1496" t="s">
        <v>3231</v>
      </c>
      <c r="B1496" s="1">
        <v>45794</v>
      </c>
      <c r="C1496" t="s">
        <v>29</v>
      </c>
      <c r="D1496" t="s">
        <v>39</v>
      </c>
      <c r="E1496">
        <v>34</v>
      </c>
      <c r="F1496" t="s">
        <v>44</v>
      </c>
      <c r="G1496" t="s">
        <v>45</v>
      </c>
      <c r="H1496" t="s">
        <v>32</v>
      </c>
      <c r="I1496" t="s">
        <v>33</v>
      </c>
      <c r="J1496" t="s">
        <v>34</v>
      </c>
      <c r="K1496">
        <v>9</v>
      </c>
      <c r="L1496" s="4">
        <v>15800</v>
      </c>
      <c r="M1496">
        <v>15</v>
      </c>
      <c r="N1496" s="4">
        <v>120870</v>
      </c>
      <c r="O1496" t="s">
        <v>25</v>
      </c>
      <c r="Q1496" t="s">
        <v>74</v>
      </c>
      <c r="R1496">
        <v>0</v>
      </c>
    </row>
    <row r="1497" spans="1:18" x14ac:dyDescent="0.3">
      <c r="A1497" t="s">
        <v>3232</v>
      </c>
      <c r="B1497" s="1">
        <v>45901</v>
      </c>
      <c r="C1497" t="s">
        <v>94</v>
      </c>
      <c r="D1497" t="s">
        <v>20</v>
      </c>
      <c r="E1497">
        <v>46</v>
      </c>
      <c r="F1497" t="s">
        <v>61</v>
      </c>
      <c r="G1497" t="s">
        <v>61</v>
      </c>
      <c r="H1497" t="s">
        <v>62</v>
      </c>
      <c r="I1497" t="s">
        <v>63</v>
      </c>
      <c r="J1497" t="s">
        <v>64</v>
      </c>
      <c r="K1497">
        <v>3</v>
      </c>
      <c r="L1497" s="4">
        <v>27600</v>
      </c>
      <c r="M1497">
        <v>20</v>
      </c>
      <c r="N1497" s="4">
        <v>66240</v>
      </c>
      <c r="O1497" t="s">
        <v>85</v>
      </c>
      <c r="P1497">
        <v>1</v>
      </c>
      <c r="Q1497" t="s">
        <v>65</v>
      </c>
      <c r="R1497">
        <v>0</v>
      </c>
    </row>
    <row r="1498" spans="1:18" x14ac:dyDescent="0.3">
      <c r="A1498" t="s">
        <v>3234</v>
      </c>
      <c r="B1498" s="1">
        <v>45858</v>
      </c>
      <c r="C1498" t="s">
        <v>88</v>
      </c>
      <c r="D1498" t="s">
        <v>3292</v>
      </c>
      <c r="E1498">
        <v>21</v>
      </c>
      <c r="F1498" t="s">
        <v>77</v>
      </c>
      <c r="G1498" t="s">
        <v>78</v>
      </c>
      <c r="H1498" t="s">
        <v>46</v>
      </c>
      <c r="I1498" t="s">
        <v>47</v>
      </c>
      <c r="J1498" t="s">
        <v>34</v>
      </c>
      <c r="K1498">
        <v>2</v>
      </c>
      <c r="L1498" s="4">
        <v>30700</v>
      </c>
      <c r="M1498">
        <v>20</v>
      </c>
      <c r="N1498" s="4">
        <v>49120</v>
      </c>
      <c r="O1498" t="s">
        <v>85</v>
      </c>
      <c r="P1498">
        <v>3</v>
      </c>
      <c r="Q1498" t="s">
        <v>41</v>
      </c>
      <c r="R1498">
        <v>1</v>
      </c>
    </row>
    <row r="1499" spans="1:18" x14ac:dyDescent="0.3">
      <c r="A1499" t="s">
        <v>3236</v>
      </c>
      <c r="B1499" s="1">
        <v>45662</v>
      </c>
      <c r="C1499" t="s">
        <v>38</v>
      </c>
      <c r="D1499" t="s">
        <v>39</v>
      </c>
      <c r="E1499">
        <v>43</v>
      </c>
      <c r="F1499" t="s">
        <v>61</v>
      </c>
      <c r="G1499" t="s">
        <v>61</v>
      </c>
      <c r="H1499" t="s">
        <v>46</v>
      </c>
      <c r="I1499" t="s">
        <v>79</v>
      </c>
      <c r="J1499" t="s">
        <v>34</v>
      </c>
      <c r="K1499">
        <v>8</v>
      </c>
      <c r="L1499" s="4">
        <v>44500</v>
      </c>
      <c r="M1499">
        <v>25</v>
      </c>
      <c r="N1499" s="4">
        <v>267000</v>
      </c>
      <c r="O1499" t="s">
        <v>85</v>
      </c>
      <c r="Q1499" t="s">
        <v>74</v>
      </c>
      <c r="R1499">
        <v>0</v>
      </c>
    </row>
    <row r="1500" spans="1:18" x14ac:dyDescent="0.3">
      <c r="A1500" t="s">
        <v>3238</v>
      </c>
      <c r="B1500" s="1">
        <v>45839</v>
      </c>
      <c r="C1500" t="s">
        <v>94</v>
      </c>
      <c r="D1500" t="s">
        <v>3292</v>
      </c>
      <c r="E1500">
        <v>57</v>
      </c>
      <c r="F1500" t="s">
        <v>51</v>
      </c>
      <c r="G1500" t="s">
        <v>104</v>
      </c>
      <c r="H1500" t="s">
        <v>32</v>
      </c>
      <c r="I1500" t="s">
        <v>33</v>
      </c>
      <c r="J1500" t="s">
        <v>89</v>
      </c>
      <c r="K1500">
        <v>7</v>
      </c>
      <c r="L1500" s="4">
        <v>30900</v>
      </c>
      <c r="M1500">
        <v>0</v>
      </c>
      <c r="N1500" s="4">
        <v>216300</v>
      </c>
      <c r="O1500" t="s">
        <v>85</v>
      </c>
      <c r="P1500">
        <v>1</v>
      </c>
      <c r="Q1500" t="s">
        <v>74</v>
      </c>
      <c r="R1500">
        <v>0</v>
      </c>
    </row>
    <row r="1501" spans="1:18" x14ac:dyDescent="0.3">
      <c r="A1501" t="s">
        <v>3239</v>
      </c>
      <c r="B1501" s="1">
        <v>46178</v>
      </c>
      <c r="C1501" t="s">
        <v>121</v>
      </c>
      <c r="D1501" t="s">
        <v>20</v>
      </c>
      <c r="E1501">
        <v>42</v>
      </c>
      <c r="F1501" t="s">
        <v>44</v>
      </c>
      <c r="G1501" t="s">
        <v>100</v>
      </c>
      <c r="H1501" t="s">
        <v>22</v>
      </c>
      <c r="I1501" t="s">
        <v>23</v>
      </c>
      <c r="J1501" t="s">
        <v>72</v>
      </c>
      <c r="K1501">
        <v>2</v>
      </c>
      <c r="L1501" s="4">
        <v>26800</v>
      </c>
      <c r="M1501">
        <v>10</v>
      </c>
      <c r="N1501" s="4">
        <v>48240</v>
      </c>
      <c r="O1501" t="s">
        <v>85</v>
      </c>
      <c r="P1501">
        <v>1</v>
      </c>
      <c r="Q1501" t="s">
        <v>26</v>
      </c>
      <c r="R1501">
        <v>0</v>
      </c>
    </row>
    <row r="1502" spans="1:18" x14ac:dyDescent="0.3">
      <c r="A1502" t="s">
        <v>3241</v>
      </c>
      <c r="B1502" s="1">
        <v>45888</v>
      </c>
      <c r="C1502" t="s">
        <v>68</v>
      </c>
      <c r="D1502" t="s">
        <v>39</v>
      </c>
      <c r="E1502">
        <v>30</v>
      </c>
      <c r="F1502" t="s">
        <v>44</v>
      </c>
      <c r="G1502" t="s">
        <v>45</v>
      </c>
      <c r="H1502" t="s">
        <v>22</v>
      </c>
      <c r="I1502" t="s">
        <v>84</v>
      </c>
      <c r="J1502" t="s">
        <v>80</v>
      </c>
      <c r="K1502">
        <v>10</v>
      </c>
      <c r="L1502" s="4">
        <v>11200</v>
      </c>
      <c r="M1502">
        <v>5</v>
      </c>
      <c r="N1502" s="4">
        <v>106400</v>
      </c>
      <c r="O1502" t="s">
        <v>85</v>
      </c>
      <c r="P1502">
        <v>4</v>
      </c>
      <c r="Q1502" t="s">
        <v>26</v>
      </c>
      <c r="R1502">
        <v>0</v>
      </c>
    </row>
    <row r="1503" spans="1:18" x14ac:dyDescent="0.3">
      <c r="A1503" t="s">
        <v>3242</v>
      </c>
      <c r="B1503" s="1">
        <v>46148</v>
      </c>
      <c r="C1503" t="s">
        <v>88</v>
      </c>
      <c r="D1503" t="s">
        <v>39</v>
      </c>
      <c r="E1503">
        <v>63</v>
      </c>
      <c r="F1503" t="s">
        <v>51</v>
      </c>
      <c r="G1503" t="s">
        <v>104</v>
      </c>
      <c r="H1503" t="s">
        <v>46</v>
      </c>
      <c r="I1503" t="s">
        <v>79</v>
      </c>
      <c r="J1503" t="s">
        <v>89</v>
      </c>
      <c r="K1503">
        <v>2</v>
      </c>
      <c r="L1503" s="4">
        <v>12900</v>
      </c>
      <c r="M1503">
        <v>0</v>
      </c>
      <c r="N1503" s="4">
        <v>25800</v>
      </c>
      <c r="O1503" t="s">
        <v>85</v>
      </c>
      <c r="P1503">
        <v>1</v>
      </c>
      <c r="Q1503" t="s">
        <v>26</v>
      </c>
      <c r="R1503">
        <v>0</v>
      </c>
    </row>
    <row r="1504" spans="1:18" x14ac:dyDescent="0.3">
      <c r="A1504" t="s">
        <v>3243</v>
      </c>
      <c r="B1504" s="1">
        <v>46103</v>
      </c>
      <c r="C1504" t="s">
        <v>71</v>
      </c>
      <c r="D1504" t="s">
        <v>20</v>
      </c>
      <c r="E1504">
        <v>38</v>
      </c>
      <c r="F1504" t="s">
        <v>77</v>
      </c>
      <c r="G1504" t="s">
        <v>78</v>
      </c>
      <c r="H1504" t="s">
        <v>32</v>
      </c>
      <c r="I1504" t="s">
        <v>33</v>
      </c>
      <c r="J1504" t="s">
        <v>24</v>
      </c>
      <c r="K1504">
        <v>1</v>
      </c>
      <c r="L1504" s="4">
        <v>47300</v>
      </c>
      <c r="M1504">
        <v>25</v>
      </c>
      <c r="N1504" s="4">
        <v>35475</v>
      </c>
      <c r="O1504" t="s">
        <v>25</v>
      </c>
      <c r="P1504">
        <v>3</v>
      </c>
      <c r="Q1504" t="s">
        <v>41</v>
      </c>
      <c r="R1504">
        <v>1</v>
      </c>
    </row>
    <row r="1505" spans="1:18" x14ac:dyDescent="0.3">
      <c r="A1505" t="s">
        <v>3245</v>
      </c>
      <c r="B1505" s="1">
        <v>45995</v>
      </c>
      <c r="C1505" t="s">
        <v>113</v>
      </c>
      <c r="D1505" t="s">
        <v>39</v>
      </c>
      <c r="E1505">
        <v>26</v>
      </c>
      <c r="F1505" t="s">
        <v>51</v>
      </c>
      <c r="G1505" t="s">
        <v>104</v>
      </c>
      <c r="H1505" t="s">
        <v>22</v>
      </c>
      <c r="I1505" t="s">
        <v>84</v>
      </c>
      <c r="J1505" t="s">
        <v>64</v>
      </c>
      <c r="K1505">
        <v>8</v>
      </c>
      <c r="L1505" s="4">
        <v>28700</v>
      </c>
      <c r="M1505">
        <v>5</v>
      </c>
      <c r="N1505" s="4">
        <v>218120</v>
      </c>
      <c r="O1505" t="s">
        <v>85</v>
      </c>
      <c r="Q1505" t="s">
        <v>65</v>
      </c>
      <c r="R1505">
        <v>0</v>
      </c>
    </row>
    <row r="1506" spans="1:18" x14ac:dyDescent="0.3">
      <c r="A1506" t="s">
        <v>3246</v>
      </c>
      <c r="B1506" s="1">
        <v>45910</v>
      </c>
      <c r="C1506" t="s">
        <v>88</v>
      </c>
      <c r="D1506" t="s">
        <v>3292</v>
      </c>
      <c r="E1506">
        <v>37</v>
      </c>
      <c r="F1506" t="s">
        <v>77</v>
      </c>
      <c r="G1506" t="s">
        <v>95</v>
      </c>
      <c r="H1506" t="s">
        <v>46</v>
      </c>
      <c r="I1506" t="s">
        <v>47</v>
      </c>
      <c r="J1506" t="s">
        <v>34</v>
      </c>
      <c r="K1506">
        <v>7</v>
      </c>
      <c r="L1506" s="4">
        <v>38700</v>
      </c>
      <c r="M1506">
        <v>15</v>
      </c>
      <c r="N1506" s="4">
        <v>230265</v>
      </c>
      <c r="O1506" t="s">
        <v>85</v>
      </c>
      <c r="P1506">
        <v>1</v>
      </c>
      <c r="Q1506" t="s">
        <v>41</v>
      </c>
      <c r="R1506">
        <v>1</v>
      </c>
    </row>
    <row r="1507" spans="1:18" x14ac:dyDescent="0.3">
      <c r="A1507" t="s">
        <v>3247</v>
      </c>
      <c r="B1507" s="1">
        <v>46187</v>
      </c>
      <c r="C1507" t="s">
        <v>38</v>
      </c>
      <c r="D1507" t="s">
        <v>20</v>
      </c>
      <c r="E1507">
        <v>60</v>
      </c>
      <c r="F1507" t="s">
        <v>30</v>
      </c>
      <c r="G1507" t="s">
        <v>31</v>
      </c>
      <c r="H1507" t="s">
        <v>46</v>
      </c>
      <c r="I1507" t="s">
        <v>47</v>
      </c>
      <c r="J1507" t="s">
        <v>72</v>
      </c>
      <c r="K1507">
        <v>7</v>
      </c>
      <c r="L1507" s="4">
        <v>2400</v>
      </c>
      <c r="M1507">
        <v>20</v>
      </c>
      <c r="N1507" s="4">
        <v>13440</v>
      </c>
      <c r="O1507" t="s">
        <v>85</v>
      </c>
      <c r="P1507">
        <v>1</v>
      </c>
      <c r="Q1507" t="s">
        <v>41</v>
      </c>
      <c r="R1507">
        <v>1</v>
      </c>
    </row>
    <row r="1508" spans="1:18" x14ac:dyDescent="0.3">
      <c r="A1508" t="s">
        <v>3249</v>
      </c>
      <c r="B1508" s="1">
        <v>46019</v>
      </c>
      <c r="C1508" t="s">
        <v>94</v>
      </c>
      <c r="D1508" t="s">
        <v>39</v>
      </c>
      <c r="E1508">
        <v>47</v>
      </c>
      <c r="F1508" t="s">
        <v>77</v>
      </c>
      <c r="G1508" t="s">
        <v>78</v>
      </c>
      <c r="H1508" t="s">
        <v>32</v>
      </c>
      <c r="I1508" t="s">
        <v>33</v>
      </c>
      <c r="J1508" t="s">
        <v>72</v>
      </c>
      <c r="K1508">
        <v>6</v>
      </c>
      <c r="L1508" s="4">
        <v>23000</v>
      </c>
      <c r="M1508">
        <v>10</v>
      </c>
      <c r="N1508" s="4">
        <v>124200</v>
      </c>
      <c r="O1508" t="s">
        <v>85</v>
      </c>
      <c r="Q1508" t="s">
        <v>26</v>
      </c>
      <c r="R1508">
        <v>0</v>
      </c>
    </row>
    <row r="1509" spans="1:18" x14ac:dyDescent="0.3">
      <c r="A1509" t="s">
        <v>3250</v>
      </c>
      <c r="B1509" s="1">
        <v>45847</v>
      </c>
      <c r="C1509" t="s">
        <v>19</v>
      </c>
      <c r="D1509" t="s">
        <v>20</v>
      </c>
      <c r="E1509">
        <v>48</v>
      </c>
      <c r="F1509" t="s">
        <v>61</v>
      </c>
      <c r="G1509" t="s">
        <v>61</v>
      </c>
      <c r="H1509" t="s">
        <v>62</v>
      </c>
      <c r="I1509" t="s">
        <v>140</v>
      </c>
      <c r="J1509" t="s">
        <v>24</v>
      </c>
      <c r="K1509">
        <v>10</v>
      </c>
      <c r="L1509" s="4">
        <v>31400</v>
      </c>
      <c r="M1509">
        <v>5</v>
      </c>
      <c r="N1509" s="4">
        <v>298300</v>
      </c>
      <c r="O1509" t="s">
        <v>85</v>
      </c>
      <c r="Q1509" t="s">
        <v>65</v>
      </c>
      <c r="R1509">
        <v>0</v>
      </c>
    </row>
    <row r="1510" spans="1:18" x14ac:dyDescent="0.3">
      <c r="A1510" t="s">
        <v>3252</v>
      </c>
      <c r="B1510" s="1">
        <v>45971</v>
      </c>
      <c r="C1510" t="s">
        <v>38</v>
      </c>
      <c r="D1510" t="s">
        <v>39</v>
      </c>
      <c r="E1510">
        <v>65</v>
      </c>
      <c r="F1510" t="s">
        <v>51</v>
      </c>
      <c r="G1510" t="s">
        <v>52</v>
      </c>
      <c r="H1510" t="s">
        <v>32</v>
      </c>
      <c r="I1510" t="s">
        <v>33</v>
      </c>
      <c r="J1510" t="s">
        <v>89</v>
      </c>
      <c r="K1510">
        <v>1</v>
      </c>
      <c r="L1510" s="4">
        <v>16300</v>
      </c>
      <c r="M1510">
        <v>5</v>
      </c>
      <c r="N1510" s="4">
        <v>15485</v>
      </c>
      <c r="O1510" t="s">
        <v>73</v>
      </c>
      <c r="P1510">
        <v>2</v>
      </c>
      <c r="Q1510" t="s">
        <v>65</v>
      </c>
      <c r="R1510">
        <v>0</v>
      </c>
    </row>
    <row r="1511" spans="1:18" x14ac:dyDescent="0.3">
      <c r="A1511" t="s">
        <v>3253</v>
      </c>
      <c r="B1511" s="1">
        <v>45820</v>
      </c>
      <c r="C1511" t="s">
        <v>94</v>
      </c>
      <c r="D1511" t="s">
        <v>39</v>
      </c>
      <c r="E1511">
        <v>64</v>
      </c>
      <c r="F1511" t="s">
        <v>61</v>
      </c>
      <c r="G1511" t="s">
        <v>61</v>
      </c>
      <c r="H1511" t="s">
        <v>22</v>
      </c>
      <c r="I1511" t="s">
        <v>23</v>
      </c>
      <c r="J1511" t="s">
        <v>64</v>
      </c>
      <c r="K1511">
        <v>7</v>
      </c>
      <c r="L1511" s="4">
        <v>42100</v>
      </c>
      <c r="M1511">
        <v>20</v>
      </c>
      <c r="N1511" s="4">
        <v>235760</v>
      </c>
      <c r="O1511" t="s">
        <v>25</v>
      </c>
      <c r="P1511">
        <v>5</v>
      </c>
      <c r="Q1511" t="s">
        <v>74</v>
      </c>
      <c r="R1511">
        <v>0</v>
      </c>
    </row>
    <row r="1512" spans="1:18" x14ac:dyDescent="0.3">
      <c r="A1512" t="s">
        <v>3254</v>
      </c>
      <c r="B1512" s="1">
        <v>46330</v>
      </c>
      <c r="C1512" t="s">
        <v>121</v>
      </c>
      <c r="D1512" t="s">
        <v>20</v>
      </c>
      <c r="E1512">
        <v>29</v>
      </c>
      <c r="F1512" t="s">
        <v>51</v>
      </c>
      <c r="G1512" t="s">
        <v>52</v>
      </c>
      <c r="H1512" t="s">
        <v>22</v>
      </c>
      <c r="I1512" t="s">
        <v>23</v>
      </c>
      <c r="J1512" t="s">
        <v>34</v>
      </c>
      <c r="K1512">
        <v>5</v>
      </c>
      <c r="L1512" s="4">
        <v>21700</v>
      </c>
      <c r="M1512">
        <v>25</v>
      </c>
      <c r="N1512" s="4">
        <v>81375</v>
      </c>
      <c r="O1512" t="s">
        <v>73</v>
      </c>
      <c r="Q1512" t="s">
        <v>65</v>
      </c>
      <c r="R1512">
        <v>0</v>
      </c>
    </row>
    <row r="1513" spans="1:18" x14ac:dyDescent="0.3">
      <c r="A1513" t="s">
        <v>3256</v>
      </c>
      <c r="B1513" s="1">
        <v>46039</v>
      </c>
      <c r="C1513" t="s">
        <v>94</v>
      </c>
      <c r="D1513" t="s">
        <v>20</v>
      </c>
      <c r="E1513">
        <v>58</v>
      </c>
      <c r="F1513" t="s">
        <v>44</v>
      </c>
      <c r="G1513" t="s">
        <v>45</v>
      </c>
      <c r="H1513" t="s">
        <v>62</v>
      </c>
      <c r="I1513" t="s">
        <v>63</v>
      </c>
      <c r="J1513" t="s">
        <v>34</v>
      </c>
      <c r="K1513">
        <v>9</v>
      </c>
      <c r="L1513" s="4">
        <v>37600</v>
      </c>
      <c r="M1513">
        <v>15</v>
      </c>
      <c r="N1513" s="4">
        <v>287640</v>
      </c>
      <c r="O1513" t="s">
        <v>73</v>
      </c>
      <c r="P1513">
        <v>5</v>
      </c>
      <c r="Q1513" t="s">
        <v>65</v>
      </c>
      <c r="R1513">
        <v>0</v>
      </c>
    </row>
    <row r="1514" spans="1:18" x14ac:dyDescent="0.3">
      <c r="A1514" t="s">
        <v>3258</v>
      </c>
      <c r="B1514" s="1">
        <v>45859</v>
      </c>
      <c r="C1514" t="s">
        <v>94</v>
      </c>
      <c r="D1514" t="s">
        <v>39</v>
      </c>
      <c r="E1514">
        <v>48</v>
      </c>
      <c r="F1514" t="s">
        <v>44</v>
      </c>
      <c r="G1514" t="s">
        <v>45</v>
      </c>
      <c r="H1514" t="s">
        <v>22</v>
      </c>
      <c r="I1514" t="s">
        <v>84</v>
      </c>
      <c r="J1514" t="s">
        <v>24</v>
      </c>
      <c r="K1514">
        <v>7</v>
      </c>
      <c r="L1514" s="4">
        <v>24100</v>
      </c>
      <c r="M1514">
        <v>15</v>
      </c>
      <c r="N1514" s="4">
        <v>143395</v>
      </c>
      <c r="O1514" t="s">
        <v>25</v>
      </c>
      <c r="P1514">
        <v>4</v>
      </c>
      <c r="Q1514" t="s">
        <v>65</v>
      </c>
      <c r="R1514">
        <v>0</v>
      </c>
    </row>
    <row r="1515" spans="1:18" x14ac:dyDescent="0.3">
      <c r="A1515" t="s">
        <v>3259</v>
      </c>
      <c r="B1515" s="1">
        <v>46054</v>
      </c>
      <c r="C1515" t="s">
        <v>121</v>
      </c>
      <c r="D1515" t="s">
        <v>20</v>
      </c>
      <c r="E1515">
        <v>48</v>
      </c>
      <c r="F1515" t="s">
        <v>21</v>
      </c>
      <c r="G1515" t="s">
        <v>21</v>
      </c>
      <c r="H1515" t="s">
        <v>22</v>
      </c>
      <c r="I1515" t="s">
        <v>84</v>
      </c>
      <c r="J1515" t="s">
        <v>64</v>
      </c>
      <c r="K1515">
        <v>9</v>
      </c>
      <c r="L1515" s="4">
        <v>5300</v>
      </c>
      <c r="M1515">
        <v>10</v>
      </c>
      <c r="N1515" s="4">
        <v>42930</v>
      </c>
      <c r="O1515" t="s">
        <v>85</v>
      </c>
      <c r="Q1515" t="s">
        <v>26</v>
      </c>
      <c r="R1515">
        <v>0</v>
      </c>
    </row>
    <row r="1516" spans="1:18" x14ac:dyDescent="0.3">
      <c r="A1516" t="s">
        <v>3260</v>
      </c>
      <c r="B1516" s="1">
        <v>45835</v>
      </c>
      <c r="C1516" t="s">
        <v>121</v>
      </c>
      <c r="D1516" t="s">
        <v>20</v>
      </c>
      <c r="E1516">
        <v>61</v>
      </c>
      <c r="F1516" t="s">
        <v>21</v>
      </c>
      <c r="G1516" t="s">
        <v>21</v>
      </c>
      <c r="H1516" t="s">
        <v>62</v>
      </c>
      <c r="I1516" t="s">
        <v>140</v>
      </c>
      <c r="J1516" t="s">
        <v>24</v>
      </c>
      <c r="K1516">
        <v>2</v>
      </c>
      <c r="L1516" s="4">
        <v>8400</v>
      </c>
      <c r="M1516">
        <v>10</v>
      </c>
      <c r="N1516" s="4">
        <v>15120</v>
      </c>
      <c r="O1516" t="s">
        <v>85</v>
      </c>
      <c r="P1516">
        <v>3</v>
      </c>
      <c r="Q1516" t="s">
        <v>65</v>
      </c>
      <c r="R1516">
        <v>0</v>
      </c>
    </row>
    <row r="1517" spans="1:18" x14ac:dyDescent="0.3">
      <c r="A1517" t="s">
        <v>3262</v>
      </c>
      <c r="B1517" s="1">
        <v>46196</v>
      </c>
      <c r="C1517" t="s">
        <v>38</v>
      </c>
      <c r="D1517" t="s">
        <v>20</v>
      </c>
      <c r="E1517">
        <v>60</v>
      </c>
      <c r="F1517" t="s">
        <v>77</v>
      </c>
      <c r="G1517" t="s">
        <v>95</v>
      </c>
      <c r="H1517" t="s">
        <v>62</v>
      </c>
      <c r="I1517" t="s">
        <v>63</v>
      </c>
      <c r="J1517" t="s">
        <v>34</v>
      </c>
      <c r="K1517">
        <v>2</v>
      </c>
      <c r="L1517" s="4">
        <v>44100</v>
      </c>
      <c r="M1517">
        <v>25</v>
      </c>
      <c r="N1517" s="4">
        <v>66150</v>
      </c>
      <c r="O1517" t="s">
        <v>73</v>
      </c>
      <c r="P1517">
        <v>5</v>
      </c>
      <c r="Q1517" t="s">
        <v>26</v>
      </c>
      <c r="R1517">
        <v>0</v>
      </c>
    </row>
    <row r="1518" spans="1:18" x14ac:dyDescent="0.3">
      <c r="A1518" t="s">
        <v>3264</v>
      </c>
      <c r="B1518" s="1">
        <v>46034</v>
      </c>
      <c r="C1518" t="s">
        <v>68</v>
      </c>
      <c r="D1518" t="s">
        <v>39</v>
      </c>
      <c r="E1518">
        <v>56</v>
      </c>
      <c r="F1518" t="s">
        <v>30</v>
      </c>
      <c r="G1518" t="s">
        <v>31</v>
      </c>
      <c r="H1518" t="s">
        <v>22</v>
      </c>
      <c r="I1518" t="s">
        <v>84</v>
      </c>
      <c r="J1518" t="s">
        <v>34</v>
      </c>
      <c r="K1518">
        <v>10</v>
      </c>
      <c r="L1518" s="4">
        <v>20700</v>
      </c>
      <c r="M1518">
        <v>25</v>
      </c>
      <c r="N1518" s="4">
        <v>155250</v>
      </c>
      <c r="O1518" t="s">
        <v>25</v>
      </c>
      <c r="P1518">
        <v>4</v>
      </c>
      <c r="Q1518" t="s">
        <v>41</v>
      </c>
      <c r="R1518">
        <v>1</v>
      </c>
    </row>
    <row r="1519" spans="1:18" x14ac:dyDescent="0.3">
      <c r="A1519" t="s">
        <v>3265</v>
      </c>
      <c r="B1519" s="1">
        <v>45786</v>
      </c>
      <c r="C1519" t="s">
        <v>121</v>
      </c>
      <c r="D1519" t="s">
        <v>3292</v>
      </c>
      <c r="E1519">
        <v>51</v>
      </c>
      <c r="F1519" t="s">
        <v>77</v>
      </c>
      <c r="G1519" t="s">
        <v>78</v>
      </c>
      <c r="H1519" t="s">
        <v>22</v>
      </c>
      <c r="I1519" t="s">
        <v>23</v>
      </c>
      <c r="J1519" t="s">
        <v>24</v>
      </c>
      <c r="K1519">
        <v>1</v>
      </c>
      <c r="L1519" s="4">
        <v>42100</v>
      </c>
      <c r="M1519">
        <v>0</v>
      </c>
      <c r="N1519" s="4">
        <v>42100</v>
      </c>
      <c r="O1519" t="s">
        <v>25</v>
      </c>
      <c r="P1519">
        <v>3</v>
      </c>
      <c r="Q1519" t="s">
        <v>41</v>
      </c>
      <c r="R1519">
        <v>1</v>
      </c>
    </row>
    <row r="1520" spans="1:18" x14ac:dyDescent="0.3">
      <c r="A1520" t="s">
        <v>3267</v>
      </c>
      <c r="B1520" s="1">
        <v>46079</v>
      </c>
      <c r="C1520" t="s">
        <v>38</v>
      </c>
      <c r="D1520" t="s">
        <v>3292</v>
      </c>
      <c r="E1520">
        <v>42</v>
      </c>
      <c r="F1520" t="s">
        <v>30</v>
      </c>
      <c r="G1520" t="s">
        <v>31</v>
      </c>
      <c r="H1520" t="s">
        <v>32</v>
      </c>
      <c r="I1520" t="s">
        <v>53</v>
      </c>
      <c r="J1520" t="s">
        <v>24</v>
      </c>
      <c r="K1520">
        <v>2</v>
      </c>
      <c r="L1520" s="4">
        <v>43300</v>
      </c>
      <c r="M1520">
        <v>25</v>
      </c>
      <c r="N1520" s="4">
        <v>64950</v>
      </c>
      <c r="O1520" t="s">
        <v>25</v>
      </c>
      <c r="P1520">
        <v>1</v>
      </c>
      <c r="Q1520" t="s">
        <v>41</v>
      </c>
      <c r="R1520">
        <v>1</v>
      </c>
    </row>
    <row r="1521" spans="1:18" x14ac:dyDescent="0.3">
      <c r="A1521" t="s">
        <v>3268</v>
      </c>
      <c r="B1521" s="1">
        <v>45720</v>
      </c>
      <c r="C1521" t="s">
        <v>68</v>
      </c>
      <c r="D1521" t="s">
        <v>39</v>
      </c>
      <c r="E1521">
        <v>56</v>
      </c>
      <c r="F1521" t="s">
        <v>44</v>
      </c>
      <c r="G1521" t="s">
        <v>100</v>
      </c>
      <c r="H1521" t="s">
        <v>32</v>
      </c>
      <c r="I1521" t="s">
        <v>33</v>
      </c>
      <c r="J1521" t="s">
        <v>80</v>
      </c>
      <c r="K1521">
        <v>4</v>
      </c>
      <c r="L1521" s="4">
        <v>11000</v>
      </c>
      <c r="M1521">
        <v>25</v>
      </c>
      <c r="N1521" s="4">
        <v>33000</v>
      </c>
      <c r="O1521" t="s">
        <v>85</v>
      </c>
      <c r="P1521">
        <v>1</v>
      </c>
      <c r="Q1521" t="s">
        <v>26</v>
      </c>
      <c r="R1521">
        <v>0</v>
      </c>
    </row>
    <row r="1522" spans="1:18" x14ac:dyDescent="0.3">
      <c r="A1522" t="s">
        <v>3270</v>
      </c>
      <c r="B1522" s="1">
        <v>45706</v>
      </c>
      <c r="C1522" t="s">
        <v>88</v>
      </c>
      <c r="D1522" t="s">
        <v>39</v>
      </c>
      <c r="E1522">
        <v>37</v>
      </c>
      <c r="F1522" t="s">
        <v>77</v>
      </c>
      <c r="G1522" t="s">
        <v>95</v>
      </c>
      <c r="H1522" t="s">
        <v>46</v>
      </c>
      <c r="I1522" t="s">
        <v>47</v>
      </c>
      <c r="J1522" t="s">
        <v>80</v>
      </c>
      <c r="K1522">
        <v>2</v>
      </c>
      <c r="L1522" s="4">
        <v>46300</v>
      </c>
      <c r="M1522">
        <v>10</v>
      </c>
      <c r="N1522" s="4">
        <v>83340</v>
      </c>
      <c r="O1522" t="s">
        <v>85</v>
      </c>
      <c r="P1522">
        <v>4</v>
      </c>
      <c r="Q1522" t="s">
        <v>74</v>
      </c>
      <c r="R1522">
        <v>0</v>
      </c>
    </row>
    <row r="1523" spans="1:18" x14ac:dyDescent="0.3">
      <c r="A1523" t="s">
        <v>3273</v>
      </c>
      <c r="B1523" s="1">
        <v>45794</v>
      </c>
      <c r="C1523" t="s">
        <v>60</v>
      </c>
      <c r="D1523" t="s">
        <v>20</v>
      </c>
      <c r="E1523">
        <v>35</v>
      </c>
      <c r="F1523" t="s">
        <v>61</v>
      </c>
      <c r="G1523" t="s">
        <v>61</v>
      </c>
      <c r="H1523" t="s">
        <v>46</v>
      </c>
      <c r="I1523" t="s">
        <v>47</v>
      </c>
      <c r="J1523" t="s">
        <v>80</v>
      </c>
      <c r="K1523">
        <v>4</v>
      </c>
      <c r="L1523" s="4">
        <v>14500</v>
      </c>
      <c r="M1523">
        <v>10</v>
      </c>
      <c r="N1523" s="4">
        <v>52200</v>
      </c>
      <c r="O1523" t="s">
        <v>73</v>
      </c>
      <c r="Q1523" t="s">
        <v>41</v>
      </c>
      <c r="R1523">
        <v>1</v>
      </c>
    </row>
    <row r="1524" spans="1:18" x14ac:dyDescent="0.3">
      <c r="A1524" t="s">
        <v>3274</v>
      </c>
      <c r="B1524" s="1">
        <v>46185</v>
      </c>
      <c r="C1524" t="s">
        <v>68</v>
      </c>
      <c r="D1524" t="s">
        <v>3292</v>
      </c>
      <c r="E1524">
        <v>28</v>
      </c>
      <c r="F1524" t="s">
        <v>51</v>
      </c>
      <c r="G1524" t="s">
        <v>52</v>
      </c>
      <c r="H1524" t="s">
        <v>32</v>
      </c>
      <c r="I1524" t="s">
        <v>53</v>
      </c>
      <c r="J1524" t="s">
        <v>24</v>
      </c>
      <c r="K1524">
        <v>2</v>
      </c>
      <c r="L1524" s="4">
        <v>41200</v>
      </c>
      <c r="M1524">
        <v>0</v>
      </c>
      <c r="N1524" s="4">
        <v>82400</v>
      </c>
      <c r="O1524" t="s">
        <v>73</v>
      </c>
      <c r="Q1524" t="s">
        <v>26</v>
      </c>
      <c r="R1524">
        <v>0</v>
      </c>
    </row>
    <row r="1525" spans="1:18" x14ac:dyDescent="0.3">
      <c r="A1525" t="s">
        <v>3275</v>
      </c>
      <c r="B1525" s="1">
        <v>45919</v>
      </c>
      <c r="C1525" t="s">
        <v>94</v>
      </c>
      <c r="D1525" t="s">
        <v>39</v>
      </c>
      <c r="E1525">
        <v>61</v>
      </c>
      <c r="F1525" t="s">
        <v>51</v>
      </c>
      <c r="G1525" t="s">
        <v>104</v>
      </c>
      <c r="H1525" t="s">
        <v>62</v>
      </c>
      <c r="I1525" t="s">
        <v>63</v>
      </c>
      <c r="J1525" t="s">
        <v>24</v>
      </c>
      <c r="K1525">
        <v>7</v>
      </c>
      <c r="L1525" s="4">
        <v>34500</v>
      </c>
      <c r="M1525">
        <v>0</v>
      </c>
      <c r="N1525" s="4">
        <v>241500</v>
      </c>
      <c r="O1525" t="s">
        <v>25</v>
      </c>
      <c r="P1525">
        <v>3</v>
      </c>
      <c r="Q1525" t="s">
        <v>41</v>
      </c>
      <c r="R1525">
        <v>1</v>
      </c>
    </row>
    <row r="1526" spans="1:18" x14ac:dyDescent="0.3">
      <c r="A1526" t="s">
        <v>3276</v>
      </c>
      <c r="B1526" s="1">
        <v>45785</v>
      </c>
      <c r="C1526" t="s">
        <v>71</v>
      </c>
      <c r="D1526" t="s">
        <v>39</v>
      </c>
      <c r="E1526">
        <v>35</v>
      </c>
      <c r="F1526" t="s">
        <v>61</v>
      </c>
      <c r="G1526" t="s">
        <v>61</v>
      </c>
      <c r="H1526" t="s">
        <v>32</v>
      </c>
      <c r="I1526" t="s">
        <v>33</v>
      </c>
      <c r="J1526" t="s">
        <v>72</v>
      </c>
      <c r="K1526">
        <v>7</v>
      </c>
      <c r="L1526" s="4">
        <v>10600</v>
      </c>
      <c r="M1526">
        <v>5</v>
      </c>
      <c r="N1526" s="4">
        <v>70490</v>
      </c>
      <c r="O1526" t="s">
        <v>85</v>
      </c>
      <c r="Q1526" t="s">
        <v>41</v>
      </c>
      <c r="R1526">
        <v>1</v>
      </c>
    </row>
    <row r="1527" spans="1:18" x14ac:dyDescent="0.3">
      <c r="A1527" t="s">
        <v>3277</v>
      </c>
      <c r="B1527" s="1">
        <v>45870</v>
      </c>
      <c r="C1527" t="s">
        <v>94</v>
      </c>
      <c r="D1527" t="s">
        <v>20</v>
      </c>
      <c r="E1527">
        <v>58</v>
      </c>
      <c r="F1527" t="s">
        <v>77</v>
      </c>
      <c r="G1527" t="s">
        <v>78</v>
      </c>
      <c r="H1527" t="s">
        <v>62</v>
      </c>
      <c r="I1527" t="s">
        <v>140</v>
      </c>
      <c r="J1527" t="s">
        <v>24</v>
      </c>
      <c r="K1527">
        <v>1</v>
      </c>
      <c r="L1527" s="4">
        <v>21300</v>
      </c>
      <c r="M1527">
        <v>5</v>
      </c>
      <c r="N1527" s="4">
        <v>20235</v>
      </c>
      <c r="O1527" t="s">
        <v>73</v>
      </c>
      <c r="P1527">
        <v>4</v>
      </c>
      <c r="Q1527" t="s">
        <v>26</v>
      </c>
      <c r="R1527">
        <v>0</v>
      </c>
    </row>
    <row r="1528" spans="1:18" x14ac:dyDescent="0.3">
      <c r="A1528" t="s">
        <v>3278</v>
      </c>
      <c r="B1528" s="1">
        <v>46205</v>
      </c>
      <c r="C1528" t="s">
        <v>19</v>
      </c>
      <c r="D1528" t="s">
        <v>20</v>
      </c>
      <c r="E1528">
        <v>61</v>
      </c>
      <c r="F1528" t="s">
        <v>44</v>
      </c>
      <c r="G1528" t="s">
        <v>100</v>
      </c>
      <c r="H1528" t="s">
        <v>32</v>
      </c>
      <c r="I1528" t="s">
        <v>53</v>
      </c>
      <c r="J1528" t="s">
        <v>72</v>
      </c>
      <c r="K1528">
        <v>4</v>
      </c>
      <c r="L1528" s="4">
        <v>31900</v>
      </c>
      <c r="M1528">
        <v>5</v>
      </c>
      <c r="N1528" s="4">
        <v>121220</v>
      </c>
      <c r="O1528" t="s">
        <v>25</v>
      </c>
      <c r="P1528">
        <v>4</v>
      </c>
      <c r="Q1528" t="s">
        <v>74</v>
      </c>
      <c r="R1528">
        <v>0</v>
      </c>
    </row>
    <row r="1529" spans="1:18" x14ac:dyDescent="0.3">
      <c r="A1529" t="s">
        <v>3279</v>
      </c>
      <c r="B1529" s="1">
        <v>45768</v>
      </c>
      <c r="C1529" t="s">
        <v>113</v>
      </c>
      <c r="D1529" t="s">
        <v>39</v>
      </c>
      <c r="E1529">
        <v>22</v>
      </c>
      <c r="F1529" t="s">
        <v>51</v>
      </c>
      <c r="G1529" t="s">
        <v>104</v>
      </c>
      <c r="H1529" t="s">
        <v>46</v>
      </c>
      <c r="I1529" t="s">
        <v>47</v>
      </c>
      <c r="J1529" t="s">
        <v>34</v>
      </c>
      <c r="K1529">
        <v>4</v>
      </c>
      <c r="L1529" s="4">
        <v>23400</v>
      </c>
      <c r="M1529">
        <v>25</v>
      </c>
      <c r="N1529" s="4">
        <v>70200</v>
      </c>
      <c r="O1529" t="s">
        <v>85</v>
      </c>
      <c r="P1529">
        <v>3</v>
      </c>
      <c r="Q1529" t="s">
        <v>41</v>
      </c>
      <c r="R1529">
        <v>1</v>
      </c>
    </row>
    <row r="1530" spans="1:18" x14ac:dyDescent="0.3">
      <c r="A1530" t="s">
        <v>3280</v>
      </c>
      <c r="B1530" s="1">
        <v>45658</v>
      </c>
      <c r="C1530" t="s">
        <v>121</v>
      </c>
      <c r="D1530" t="s">
        <v>3292</v>
      </c>
      <c r="E1530">
        <v>62</v>
      </c>
      <c r="F1530" t="s">
        <v>51</v>
      </c>
      <c r="G1530" t="s">
        <v>52</v>
      </c>
      <c r="H1530" t="s">
        <v>22</v>
      </c>
      <c r="I1530" t="s">
        <v>23</v>
      </c>
      <c r="J1530" t="s">
        <v>64</v>
      </c>
      <c r="K1530">
        <v>5</v>
      </c>
      <c r="L1530" s="4">
        <v>2500</v>
      </c>
      <c r="M1530">
        <v>5</v>
      </c>
      <c r="N1530" s="4">
        <v>11875</v>
      </c>
      <c r="O1530" t="s">
        <v>85</v>
      </c>
      <c r="Q1530" t="s">
        <v>65</v>
      </c>
      <c r="R1530">
        <v>0</v>
      </c>
    </row>
    <row r="1531" spans="1:18" x14ac:dyDescent="0.3">
      <c r="A1531" t="s">
        <v>3282</v>
      </c>
      <c r="B1531" s="1">
        <v>46050</v>
      </c>
      <c r="C1531" t="s">
        <v>121</v>
      </c>
      <c r="D1531" t="s">
        <v>39</v>
      </c>
      <c r="E1531">
        <v>29</v>
      </c>
      <c r="F1531" t="s">
        <v>44</v>
      </c>
      <c r="G1531" t="s">
        <v>100</v>
      </c>
      <c r="H1531" t="s">
        <v>46</v>
      </c>
      <c r="I1531" t="s">
        <v>79</v>
      </c>
      <c r="J1531" t="s">
        <v>89</v>
      </c>
      <c r="K1531">
        <v>3</v>
      </c>
      <c r="L1531" s="4">
        <v>5200</v>
      </c>
      <c r="M1531">
        <v>25</v>
      </c>
      <c r="N1531" s="4">
        <v>11700</v>
      </c>
      <c r="O1531" t="s">
        <v>85</v>
      </c>
      <c r="P1531">
        <v>4</v>
      </c>
      <c r="Q1531" t="s">
        <v>74</v>
      </c>
      <c r="R1531">
        <v>0</v>
      </c>
    </row>
    <row r="1532" spans="1:18" x14ac:dyDescent="0.3">
      <c r="A1532" t="s">
        <v>3284</v>
      </c>
      <c r="B1532" s="1">
        <v>46036</v>
      </c>
      <c r="C1532" t="s">
        <v>121</v>
      </c>
      <c r="D1532" t="s">
        <v>3292</v>
      </c>
      <c r="E1532">
        <v>48</v>
      </c>
      <c r="F1532" t="s">
        <v>61</v>
      </c>
      <c r="G1532" t="s">
        <v>61</v>
      </c>
      <c r="H1532" t="s">
        <v>62</v>
      </c>
      <c r="I1532" t="s">
        <v>63</v>
      </c>
      <c r="J1532" t="s">
        <v>89</v>
      </c>
      <c r="K1532">
        <v>4</v>
      </c>
      <c r="L1532" s="4">
        <v>45800</v>
      </c>
      <c r="M1532">
        <v>25</v>
      </c>
      <c r="N1532" s="4">
        <v>137400</v>
      </c>
      <c r="O1532" t="s">
        <v>85</v>
      </c>
      <c r="P1532">
        <v>2</v>
      </c>
      <c r="Q1532" t="s">
        <v>26</v>
      </c>
      <c r="R1532">
        <v>0</v>
      </c>
    </row>
    <row r="1533" spans="1:18" x14ac:dyDescent="0.3">
      <c r="A1533" t="s">
        <v>3285</v>
      </c>
      <c r="B1533" s="1">
        <v>46145</v>
      </c>
      <c r="C1533" t="s">
        <v>94</v>
      </c>
      <c r="D1533" t="s">
        <v>39</v>
      </c>
      <c r="E1533">
        <v>53</v>
      </c>
      <c r="F1533" t="s">
        <v>61</v>
      </c>
      <c r="G1533" t="s">
        <v>61</v>
      </c>
      <c r="H1533" t="s">
        <v>62</v>
      </c>
      <c r="I1533" t="s">
        <v>63</v>
      </c>
      <c r="J1533" t="s">
        <v>80</v>
      </c>
      <c r="K1533">
        <v>9</v>
      </c>
      <c r="L1533" s="4">
        <v>49300</v>
      </c>
      <c r="M1533">
        <v>25</v>
      </c>
      <c r="N1533" s="4">
        <v>332775</v>
      </c>
      <c r="O1533" t="s">
        <v>25</v>
      </c>
      <c r="P1533">
        <v>4</v>
      </c>
      <c r="Q1533" t="s">
        <v>74</v>
      </c>
      <c r="R1533">
        <v>0</v>
      </c>
    </row>
    <row r="1534" spans="1:18" x14ac:dyDescent="0.3">
      <c r="A1534" t="s">
        <v>3286</v>
      </c>
      <c r="B1534" s="1">
        <v>46057</v>
      </c>
      <c r="C1534" t="s">
        <v>71</v>
      </c>
      <c r="D1534" t="s">
        <v>39</v>
      </c>
      <c r="E1534">
        <v>32</v>
      </c>
      <c r="F1534" t="s">
        <v>30</v>
      </c>
      <c r="G1534" t="s">
        <v>31</v>
      </c>
      <c r="H1534" t="s">
        <v>62</v>
      </c>
      <c r="I1534" t="s">
        <v>140</v>
      </c>
      <c r="J1534" t="s">
        <v>72</v>
      </c>
      <c r="K1534">
        <v>1</v>
      </c>
      <c r="L1534" s="4">
        <v>44800</v>
      </c>
      <c r="M1534">
        <v>5</v>
      </c>
      <c r="N1534" s="4">
        <v>42560</v>
      </c>
      <c r="O1534" t="s">
        <v>25</v>
      </c>
      <c r="P1534">
        <v>5</v>
      </c>
      <c r="Q1534" t="s">
        <v>74</v>
      </c>
      <c r="R1534">
        <v>0</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6">
        <x14:dataValidation type="date" operator="greaterThan" allowBlank="1" showInputMessage="1" showErrorMessage="1" xr:uid="{4EDA3391-5C25-4DF7-AE8D-6CB955F1676C}">
          <x14:formula1>
            <xm:f>'Data Validation'!$A$3</xm:f>
          </x14:formula1>
          <xm:sqref>B1:B1048576</xm:sqref>
        </x14:dataValidation>
        <x14:dataValidation type="list" showInputMessage="1" showErrorMessage="1" xr:uid="{23B76E9C-F1C7-4466-9FAD-C1B3EFCA2483}">
          <x14:formula1>
            <xm:f>'Data Validation'!$A$6:$A$8</xm:f>
          </x14:formula1>
          <xm:sqref>D1:D1048576</xm:sqref>
        </x14:dataValidation>
        <x14:dataValidation type="whole" operator="greaterThan" allowBlank="1" showInputMessage="1" showErrorMessage="1" xr:uid="{FFF239BB-C18D-427C-9405-860A7BBB70EF}">
          <x14:formula1>
            <xm:f>'Data Validation'!$C$3</xm:f>
          </x14:formula1>
          <xm:sqref>E1:E8 E10:E1048576 E9</xm:sqref>
        </x14:dataValidation>
        <x14:dataValidation type="list" showInputMessage="1" showErrorMessage="1" xr:uid="{B4288DC0-8776-48E1-8824-19700594BB26}">
          <x14:formula1>
            <xm:f>'Data Validation'!$C$6:$C$9</xm:f>
          </x14:formula1>
          <xm:sqref>H1:H1048576</xm:sqref>
        </x14:dataValidation>
        <x14:dataValidation type="decimal" operator="greaterThan" showInputMessage="1" showErrorMessage="1" xr:uid="{674A060C-2862-412D-9380-D9E4D47C9FF9}">
          <x14:formula1>
            <xm:f>'Data Validation'!$E$6</xm:f>
          </x14:formula1>
          <xm:sqref>K1:K1048576</xm:sqref>
        </x14:dataValidation>
        <x14:dataValidation type="list" showInputMessage="1" showErrorMessage="1" xr:uid="{13E1DD34-4499-4109-A4E2-337B787932CA}">
          <x14:formula1>
            <xm:f>'Data Validation'!$G$6:$G$8</xm:f>
          </x14:formula1>
          <xm:sqref>O1:O1048576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661DF-7113-4EBD-B2CE-E6FE065BAB1C}">
  <sheetPr codeName="Sheet2"/>
  <dimension ref="A1:O30"/>
  <sheetViews>
    <sheetView zoomScaleNormal="100" workbookViewId="0">
      <selection activeCell="E4" sqref="E4"/>
    </sheetView>
  </sheetViews>
  <sheetFormatPr defaultRowHeight="14.4" x14ac:dyDescent="0.3"/>
  <cols>
    <col min="1" max="2" width="19.6640625" bestFit="1" customWidth="1"/>
    <col min="3" max="3" width="15.88671875" bestFit="1" customWidth="1"/>
    <col min="4" max="4" width="12.5546875" bestFit="1" customWidth="1"/>
    <col min="5" max="5" width="19.6640625" bestFit="1" customWidth="1"/>
    <col min="6" max="6" width="10.77734375" bestFit="1" customWidth="1"/>
    <col min="7" max="7" width="12.5546875" bestFit="1" customWidth="1"/>
    <col min="8" max="8" width="19.6640625" bestFit="1" customWidth="1"/>
    <col min="9" max="9" width="22.88671875" bestFit="1" customWidth="1"/>
    <col min="10" max="10" width="12.5546875" bestFit="1" customWidth="1"/>
    <col min="11" max="11" width="14.88671875" bestFit="1" customWidth="1"/>
    <col min="12" max="12" width="10.5546875" bestFit="1" customWidth="1"/>
    <col min="13" max="13" width="12.5546875" bestFit="1" customWidth="1"/>
    <col min="14" max="14" width="14.88671875" bestFit="1" customWidth="1"/>
    <col min="15" max="15" width="10.77734375" bestFit="1" customWidth="1"/>
  </cols>
  <sheetData>
    <row r="1" spans="1:14" x14ac:dyDescent="0.3">
      <c r="A1" t="s">
        <v>3300</v>
      </c>
      <c r="C1" t="s">
        <v>3303</v>
      </c>
      <c r="E1" t="s">
        <v>3304</v>
      </c>
      <c r="G1" t="s">
        <v>3305</v>
      </c>
      <c r="I1" t="s">
        <v>3321</v>
      </c>
    </row>
    <row r="2" spans="1:14" x14ac:dyDescent="0.3">
      <c r="A2" s="4">
        <v>194197845</v>
      </c>
      <c r="C2" s="8">
        <v>1533</v>
      </c>
      <c r="E2" s="8">
        <v>368</v>
      </c>
      <c r="G2" s="8">
        <v>8476</v>
      </c>
      <c r="I2" s="4">
        <v>126678.3072407045</v>
      </c>
    </row>
    <row r="3" spans="1:14" x14ac:dyDescent="0.3">
      <c r="A3" s="4">
        <f>GETPIVOTDATA("Sales Revenue",$A$1)</f>
        <v>194197845</v>
      </c>
      <c r="C3" s="7">
        <f>GETPIVOTDATA("Order ID",$C$1)</f>
        <v>1533</v>
      </c>
      <c r="E3" s="7">
        <f>GETPIVOTDATA("Delivery Score",$E$1)</f>
        <v>368</v>
      </c>
      <c r="G3" s="7">
        <f>GETPIVOTDATA("Quantity",$G$1)</f>
        <v>8476</v>
      </c>
      <c r="I3" s="4">
        <f>GETPIVOTDATA("Sales Revenue",$I$1)</f>
        <v>126678.3072407045</v>
      </c>
    </row>
    <row r="5" spans="1:14" x14ac:dyDescent="0.3">
      <c r="A5" s="5" t="s">
        <v>3301</v>
      </c>
      <c r="B5" t="s">
        <v>3300</v>
      </c>
      <c r="D5" s="5" t="s">
        <v>3301</v>
      </c>
      <c r="E5" t="s">
        <v>3300</v>
      </c>
      <c r="G5" s="5" t="s">
        <v>3301</v>
      </c>
      <c r="H5" t="s">
        <v>3300</v>
      </c>
      <c r="J5" s="5" t="s">
        <v>3301</v>
      </c>
      <c r="K5" t="s">
        <v>3305</v>
      </c>
      <c r="M5" s="5" t="s">
        <v>3301</v>
      </c>
      <c r="N5" t="s">
        <v>3305</v>
      </c>
    </row>
    <row r="6" spans="1:14" x14ac:dyDescent="0.3">
      <c r="A6" s="6" t="s">
        <v>3306</v>
      </c>
      <c r="B6" s="4">
        <v>20385945</v>
      </c>
      <c r="D6" s="6" t="s">
        <v>89</v>
      </c>
      <c r="E6" s="4">
        <v>29567795</v>
      </c>
      <c r="G6" s="6" t="s">
        <v>32</v>
      </c>
      <c r="H6" s="4">
        <v>52830885</v>
      </c>
      <c r="J6" s="6" t="s">
        <v>89</v>
      </c>
      <c r="K6" s="8">
        <v>1381</v>
      </c>
      <c r="M6" s="6" t="s">
        <v>30</v>
      </c>
      <c r="N6" s="8">
        <v>1367</v>
      </c>
    </row>
    <row r="7" spans="1:14" x14ac:dyDescent="0.3">
      <c r="A7" s="6" t="s">
        <v>3307</v>
      </c>
      <c r="B7" s="4">
        <v>19304555</v>
      </c>
      <c r="D7" s="6" t="s">
        <v>64</v>
      </c>
      <c r="E7" s="4">
        <v>30299095</v>
      </c>
      <c r="G7" s="6" t="s">
        <v>22</v>
      </c>
      <c r="H7" s="4">
        <v>49100880</v>
      </c>
      <c r="J7" s="6" t="s">
        <v>64</v>
      </c>
      <c r="K7" s="8">
        <v>1302</v>
      </c>
      <c r="M7" s="6" t="s">
        <v>21</v>
      </c>
      <c r="N7" s="8">
        <v>1392</v>
      </c>
    </row>
    <row r="8" spans="1:14" x14ac:dyDescent="0.3">
      <c r="A8" s="6" t="s">
        <v>3308</v>
      </c>
      <c r="B8" s="4">
        <v>19259095</v>
      </c>
      <c r="D8" s="6" t="s">
        <v>24</v>
      </c>
      <c r="E8" s="4">
        <v>34217180</v>
      </c>
      <c r="G8" s="6" t="s">
        <v>62</v>
      </c>
      <c r="H8" s="4">
        <v>47549395</v>
      </c>
      <c r="J8" s="6" t="s">
        <v>24</v>
      </c>
      <c r="K8" s="8">
        <v>1417</v>
      </c>
      <c r="M8" s="6" t="s">
        <v>61</v>
      </c>
      <c r="N8" s="8">
        <v>1318</v>
      </c>
    </row>
    <row r="9" spans="1:14" x14ac:dyDescent="0.3">
      <c r="A9" s="6" t="s">
        <v>3309</v>
      </c>
      <c r="B9" s="4">
        <v>21576305</v>
      </c>
      <c r="D9" s="6" t="s">
        <v>34</v>
      </c>
      <c r="E9" s="4">
        <v>33198910</v>
      </c>
      <c r="G9" s="6" t="s">
        <v>46</v>
      </c>
      <c r="H9" s="4">
        <v>44716685</v>
      </c>
      <c r="J9" s="6" t="s">
        <v>34</v>
      </c>
      <c r="K9" s="8">
        <v>1501</v>
      </c>
      <c r="M9" s="6" t="s">
        <v>51</v>
      </c>
      <c r="N9" s="8">
        <v>1315</v>
      </c>
    </row>
    <row r="10" spans="1:14" x14ac:dyDescent="0.3">
      <c r="A10" s="6" t="s">
        <v>3310</v>
      </c>
      <c r="B10" s="4">
        <v>18567260</v>
      </c>
      <c r="D10" s="6" t="s">
        <v>80</v>
      </c>
      <c r="E10" s="4">
        <v>33813560</v>
      </c>
      <c r="G10" s="6" t="s">
        <v>3302</v>
      </c>
      <c r="H10" s="4">
        <v>194197845</v>
      </c>
      <c r="J10" s="6" t="s">
        <v>80</v>
      </c>
      <c r="K10" s="8">
        <v>1479</v>
      </c>
      <c r="M10" s="6" t="s">
        <v>44</v>
      </c>
      <c r="N10" s="8">
        <v>1514</v>
      </c>
    </row>
    <row r="11" spans="1:14" x14ac:dyDescent="0.3">
      <c r="A11" s="6" t="s">
        <v>3311</v>
      </c>
      <c r="B11" s="4">
        <v>19601220</v>
      </c>
      <c r="D11" s="6" t="s">
        <v>72</v>
      </c>
      <c r="E11" s="4">
        <v>33101305</v>
      </c>
      <c r="J11" s="6" t="s">
        <v>72</v>
      </c>
      <c r="K11" s="8">
        <v>1396</v>
      </c>
      <c r="M11" s="6" t="s">
        <v>77</v>
      </c>
      <c r="N11" s="8">
        <v>1570</v>
      </c>
    </row>
    <row r="12" spans="1:14" x14ac:dyDescent="0.3">
      <c r="A12" s="6" t="s">
        <v>3312</v>
      </c>
      <c r="B12" s="4">
        <v>14787210</v>
      </c>
      <c r="D12" s="6" t="s">
        <v>3302</v>
      </c>
      <c r="E12" s="4">
        <v>194197845</v>
      </c>
      <c r="G12" s="5" t="s">
        <v>3301</v>
      </c>
      <c r="H12" t="s">
        <v>3300</v>
      </c>
      <c r="J12" s="6" t="s">
        <v>3302</v>
      </c>
      <c r="K12" s="8">
        <v>8476</v>
      </c>
      <c r="M12" s="6" t="s">
        <v>3302</v>
      </c>
      <c r="N12" s="8">
        <v>8476</v>
      </c>
    </row>
    <row r="13" spans="1:14" x14ac:dyDescent="0.3">
      <c r="A13" s="6" t="s">
        <v>3313</v>
      </c>
      <c r="B13" s="4">
        <v>13513785</v>
      </c>
      <c r="G13" s="6" t="s">
        <v>30</v>
      </c>
      <c r="H13" s="4">
        <v>29832520</v>
      </c>
      <c r="M13" s="4"/>
    </row>
    <row r="14" spans="1:14" x14ac:dyDescent="0.3">
      <c r="A14" s="6" t="s">
        <v>3314</v>
      </c>
      <c r="B14" s="4">
        <v>13078995</v>
      </c>
      <c r="D14" s="5" t="s">
        <v>3301</v>
      </c>
      <c r="E14" t="s">
        <v>3300</v>
      </c>
      <c r="G14" s="6" t="s">
        <v>21</v>
      </c>
      <c r="H14" s="4">
        <v>32341175</v>
      </c>
      <c r="M14" s="4"/>
    </row>
    <row r="15" spans="1:14" x14ac:dyDescent="0.3">
      <c r="A15" s="6" t="s">
        <v>3315</v>
      </c>
      <c r="B15" s="4">
        <v>10866870</v>
      </c>
      <c r="D15" s="6" t="s">
        <v>25</v>
      </c>
      <c r="E15" s="4">
        <v>52988730</v>
      </c>
      <c r="G15" s="6" t="s">
        <v>61</v>
      </c>
      <c r="H15" s="4">
        <v>29760270</v>
      </c>
      <c r="M15" s="4"/>
    </row>
    <row r="16" spans="1:14" x14ac:dyDescent="0.3">
      <c r="A16" s="6" t="s">
        <v>3316</v>
      </c>
      <c r="B16" s="4">
        <v>11168680</v>
      </c>
      <c r="D16" s="6" t="s">
        <v>73</v>
      </c>
      <c r="E16" s="4">
        <v>49924945</v>
      </c>
      <c r="G16" s="6" t="s">
        <v>51</v>
      </c>
      <c r="H16" s="4">
        <v>29917330</v>
      </c>
      <c r="M16" s="4"/>
    </row>
    <row r="17" spans="1:15" x14ac:dyDescent="0.3">
      <c r="A17" s="6" t="s">
        <v>3317</v>
      </c>
      <c r="B17" s="4">
        <v>12087925</v>
      </c>
      <c r="D17" s="6" t="s">
        <v>3293</v>
      </c>
      <c r="E17" s="4">
        <v>4482750</v>
      </c>
      <c r="G17" s="6" t="s">
        <v>44</v>
      </c>
      <c r="H17" s="4">
        <v>35435050</v>
      </c>
      <c r="M17" s="4"/>
    </row>
    <row r="18" spans="1:15" x14ac:dyDescent="0.3">
      <c r="A18" s="6" t="s">
        <v>3302</v>
      </c>
      <c r="B18" s="4">
        <v>194197845</v>
      </c>
      <c r="D18" s="6" t="s">
        <v>85</v>
      </c>
      <c r="E18" s="4">
        <v>86801420</v>
      </c>
      <c r="G18" s="6" t="s">
        <v>77</v>
      </c>
      <c r="H18" s="4">
        <v>36911500</v>
      </c>
      <c r="M18" s="4"/>
    </row>
    <row r="19" spans="1:15" x14ac:dyDescent="0.3">
      <c r="D19" s="6" t="s">
        <v>3302</v>
      </c>
      <c r="E19" s="4">
        <v>194197845</v>
      </c>
      <c r="G19" s="6" t="s">
        <v>3302</v>
      </c>
      <c r="H19" s="4">
        <v>194197845</v>
      </c>
      <c r="M19" s="4"/>
    </row>
    <row r="22" spans="1:15" x14ac:dyDescent="0.3">
      <c r="A22" s="5" t="s">
        <v>3305</v>
      </c>
      <c r="B22" s="5" t="s">
        <v>3318</v>
      </c>
      <c r="H22" s="5" t="s">
        <v>3319</v>
      </c>
      <c r="I22" s="5" t="s">
        <v>3318</v>
      </c>
    </row>
    <row r="23" spans="1:15" x14ac:dyDescent="0.3">
      <c r="A23" s="5" t="s">
        <v>3301</v>
      </c>
      <c r="B23" t="s">
        <v>74</v>
      </c>
      <c r="C23" t="s">
        <v>41</v>
      </c>
      <c r="D23" t="s">
        <v>26</v>
      </c>
      <c r="E23" t="s">
        <v>65</v>
      </c>
      <c r="F23" t="s">
        <v>3302</v>
      </c>
      <c r="H23" s="5" t="s">
        <v>3301</v>
      </c>
      <c r="I23">
        <v>1</v>
      </c>
      <c r="J23">
        <v>2</v>
      </c>
      <c r="K23">
        <v>3</v>
      </c>
      <c r="L23">
        <v>4</v>
      </c>
      <c r="M23">
        <v>5</v>
      </c>
      <c r="N23" t="s">
        <v>3320</v>
      </c>
      <c r="O23" t="s">
        <v>3302</v>
      </c>
    </row>
    <row r="24" spans="1:15" x14ac:dyDescent="0.3">
      <c r="A24" s="6" t="s">
        <v>30</v>
      </c>
      <c r="B24" s="8">
        <v>372</v>
      </c>
      <c r="C24" s="8">
        <v>363</v>
      </c>
      <c r="D24" s="8">
        <v>247</v>
      </c>
      <c r="E24" s="8">
        <v>385</v>
      </c>
      <c r="F24" s="8">
        <v>1367</v>
      </c>
      <c r="H24" s="6" t="s">
        <v>32</v>
      </c>
      <c r="I24" s="8">
        <v>57</v>
      </c>
      <c r="J24" s="8">
        <v>92</v>
      </c>
      <c r="K24" s="8">
        <v>180</v>
      </c>
      <c r="L24" s="8">
        <v>232</v>
      </c>
      <c r="M24" s="8">
        <v>275</v>
      </c>
      <c r="N24" s="8"/>
      <c r="O24" s="8">
        <v>836</v>
      </c>
    </row>
    <row r="25" spans="1:15" x14ac:dyDescent="0.3">
      <c r="A25" s="6" t="s">
        <v>21</v>
      </c>
      <c r="B25" s="8">
        <v>280</v>
      </c>
      <c r="C25" s="8">
        <v>419</v>
      </c>
      <c r="D25" s="8">
        <v>377</v>
      </c>
      <c r="E25" s="8">
        <v>316</v>
      </c>
      <c r="F25" s="8">
        <v>1392</v>
      </c>
      <c r="H25" s="6" t="s">
        <v>22</v>
      </c>
      <c r="I25" s="8">
        <v>65</v>
      </c>
      <c r="J25" s="8">
        <v>102</v>
      </c>
      <c r="K25" s="8">
        <v>147</v>
      </c>
      <c r="L25" s="8">
        <v>208</v>
      </c>
      <c r="M25" s="8">
        <v>220</v>
      </c>
      <c r="N25" s="8"/>
      <c r="O25" s="8">
        <v>742</v>
      </c>
    </row>
    <row r="26" spans="1:15" x14ac:dyDescent="0.3">
      <c r="A26" s="6" t="s">
        <v>61</v>
      </c>
      <c r="B26" s="8">
        <v>376</v>
      </c>
      <c r="C26" s="8">
        <v>253</v>
      </c>
      <c r="D26" s="8">
        <v>387</v>
      </c>
      <c r="E26" s="8">
        <v>302</v>
      </c>
      <c r="F26" s="8">
        <v>1318</v>
      </c>
      <c r="H26" s="6" t="s">
        <v>62</v>
      </c>
      <c r="I26" s="8">
        <v>70</v>
      </c>
      <c r="J26" s="8">
        <v>100</v>
      </c>
      <c r="K26" s="8">
        <v>147</v>
      </c>
      <c r="L26" s="8">
        <v>184</v>
      </c>
      <c r="M26" s="8">
        <v>255</v>
      </c>
      <c r="N26" s="8"/>
      <c r="O26" s="8">
        <v>756</v>
      </c>
    </row>
    <row r="27" spans="1:15" x14ac:dyDescent="0.3">
      <c r="A27" s="6" t="s">
        <v>51</v>
      </c>
      <c r="B27" s="8">
        <v>321</v>
      </c>
      <c r="C27" s="8">
        <v>328</v>
      </c>
      <c r="D27" s="8">
        <v>375</v>
      </c>
      <c r="E27" s="8">
        <v>291</v>
      </c>
      <c r="F27" s="8">
        <v>1315</v>
      </c>
      <c r="H27" s="6" t="s">
        <v>46</v>
      </c>
      <c r="I27" s="8">
        <v>49</v>
      </c>
      <c r="J27" s="8">
        <v>138</v>
      </c>
      <c r="K27" s="8">
        <v>150</v>
      </c>
      <c r="L27" s="8">
        <v>200</v>
      </c>
      <c r="M27" s="8">
        <v>230</v>
      </c>
      <c r="N27" s="8"/>
      <c r="O27" s="8">
        <v>767</v>
      </c>
    </row>
    <row r="28" spans="1:15" x14ac:dyDescent="0.3">
      <c r="A28" s="6" t="s">
        <v>44</v>
      </c>
      <c r="B28" s="8">
        <v>313</v>
      </c>
      <c r="C28" s="8">
        <v>332</v>
      </c>
      <c r="D28" s="8">
        <v>409</v>
      </c>
      <c r="E28" s="8">
        <v>460</v>
      </c>
      <c r="F28" s="8">
        <v>1514</v>
      </c>
      <c r="H28" s="6" t="s">
        <v>3302</v>
      </c>
      <c r="I28" s="8">
        <v>241</v>
      </c>
      <c r="J28" s="8">
        <v>432</v>
      </c>
      <c r="K28" s="8">
        <v>624</v>
      </c>
      <c r="L28" s="8">
        <v>824</v>
      </c>
      <c r="M28" s="8">
        <v>980</v>
      </c>
      <c r="N28" s="8"/>
      <c r="O28" s="8">
        <v>3101</v>
      </c>
    </row>
    <row r="29" spans="1:15" x14ac:dyDescent="0.3">
      <c r="A29" s="6" t="s">
        <v>77</v>
      </c>
      <c r="B29" s="8">
        <v>400</v>
      </c>
      <c r="C29" s="8">
        <v>341</v>
      </c>
      <c r="D29" s="8">
        <v>418</v>
      </c>
      <c r="E29" s="8">
        <v>411</v>
      </c>
      <c r="F29" s="8">
        <v>1570</v>
      </c>
    </row>
    <row r="30" spans="1:15" x14ac:dyDescent="0.3">
      <c r="A30" s="6" t="s">
        <v>3302</v>
      </c>
      <c r="B30" s="8">
        <v>2062</v>
      </c>
      <c r="C30" s="8">
        <v>2036</v>
      </c>
      <c r="D30" s="8">
        <v>2213</v>
      </c>
      <c r="E30" s="8">
        <v>2165</v>
      </c>
      <c r="F30" s="8">
        <v>8476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3693A-BCD5-409F-B511-4B556F2AFF90}">
  <dimension ref="A1"/>
  <sheetViews>
    <sheetView showGridLines="0" zoomScale="80" zoomScaleNormal="80" workbookViewId="0">
      <selection activeCell="AB15" sqref="AB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DE4A2-9952-4993-BFC0-EE76E10F8487}">
  <sheetPr codeName="Sheet4"/>
  <dimension ref="A1:G9"/>
  <sheetViews>
    <sheetView zoomScaleNormal="100" workbookViewId="0">
      <selection activeCell="F15" sqref="F15"/>
    </sheetView>
  </sheetViews>
  <sheetFormatPr defaultRowHeight="14.4" x14ac:dyDescent="0.3"/>
  <cols>
    <col min="1" max="1" width="11.6640625" bestFit="1" customWidth="1"/>
    <col min="3" max="3" width="10.5546875" bestFit="1" customWidth="1"/>
    <col min="7" max="7" width="17.6640625" bestFit="1" customWidth="1"/>
  </cols>
  <sheetData>
    <row r="1" spans="1:7" ht="15" thickBot="1" x14ac:dyDescent="0.35"/>
    <row r="2" spans="1:7" ht="15.6" thickTop="1" thickBot="1" x14ac:dyDescent="0.35">
      <c r="A2" s="2" t="s">
        <v>3294</v>
      </c>
      <c r="C2" s="2" t="s">
        <v>3296</v>
      </c>
    </row>
    <row r="3" spans="1:7" ht="15" thickTop="1" x14ac:dyDescent="0.3">
      <c r="A3" s="1">
        <v>46362</v>
      </c>
      <c r="C3">
        <v>18</v>
      </c>
    </row>
    <row r="4" spans="1:7" ht="15" thickBot="1" x14ac:dyDescent="0.35"/>
    <row r="5" spans="1:7" ht="15.6" thickTop="1" thickBot="1" x14ac:dyDescent="0.35">
      <c r="A5" s="3" t="s">
        <v>3295</v>
      </c>
      <c r="C5" s="3" t="s">
        <v>3297</v>
      </c>
      <c r="E5" s="3" t="s">
        <v>3298</v>
      </c>
      <c r="G5" s="3" t="s">
        <v>3299</v>
      </c>
    </row>
    <row r="6" spans="1:7" ht="15" thickTop="1" x14ac:dyDescent="0.3">
      <c r="A6" t="s">
        <v>20</v>
      </c>
      <c r="C6" t="s">
        <v>22</v>
      </c>
      <c r="E6">
        <v>1</v>
      </c>
      <c r="G6" t="s">
        <v>25</v>
      </c>
    </row>
    <row r="7" spans="1:7" x14ac:dyDescent="0.3">
      <c r="A7" t="s">
        <v>39</v>
      </c>
      <c r="C7" t="s">
        <v>32</v>
      </c>
      <c r="G7" t="s">
        <v>73</v>
      </c>
    </row>
    <row r="8" spans="1:7" x14ac:dyDescent="0.3">
      <c r="A8" t="s">
        <v>3292</v>
      </c>
      <c r="C8" t="s">
        <v>46</v>
      </c>
      <c r="G8" t="s">
        <v>85</v>
      </c>
    </row>
    <row r="9" spans="1:7" x14ac:dyDescent="0.3">
      <c r="C9" t="s">
        <v>62</v>
      </c>
    </row>
  </sheetData>
  <sheetProtection algorithmName="SHA-512" hashValue="qATNt4xvC3tppgCNAGVodVFwv+C6NtTm+prJc+7zEsf+3xiT4/4tLXqNJ83zhTxnoX/m0g8iWl0+fH+t8UBEgw==" saltValue="jOiFuG2OJIxOYHwCnhzuxA==" spinCount="100000" sheet="1" formatCells="0" formatColumns="0" formatRows="0" insertColumns="0" insertRows="0" insertHyperlinks="0" deleteColumns="0" deleteRows="0" sort="0" autoFilter="0" pivotTable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C512E6-AEBD-4526-8050-1DD1400A96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MessySalesData</vt:lpstr>
      <vt:lpstr>Cleaned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Jonathan Ogana</cp:lastModifiedBy>
  <dcterms:created xsi:type="dcterms:W3CDTF">2026-07-04T04:38:22Z</dcterms:created>
  <dcterms:modified xsi:type="dcterms:W3CDTF">2026-07-11T11:01:11Z</dcterms:modified>
</cp:coreProperties>
</file>